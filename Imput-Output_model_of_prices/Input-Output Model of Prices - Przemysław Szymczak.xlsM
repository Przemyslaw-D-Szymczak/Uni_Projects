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rzem\Desktop\projekty_na_hub\modele makro\"/>
    </mc:Choice>
  </mc:AlternateContent>
  <xr:revisionPtr revIDLastSave="0" documentId="13_ncr:1_{60D92132-CEC0-4B6C-AAE2-BF71BA72D3CD}" xr6:coauthVersionLast="47" xr6:coauthVersionMax="47" xr10:uidLastSave="{00000000-0000-0000-0000-000000000000}"/>
  <bookViews>
    <workbookView xWindow="-108" yWindow="-108" windowWidth="23256" windowHeight="12456" xr2:uid="{AF3102C2-A741-48CE-A419-EF4276B3F3B1}"/>
  </bookViews>
  <sheets>
    <sheet name="Tablica IO" sheetId="3" r:id="rId1"/>
    <sheet name="Model" sheetId="5" r:id="rId2"/>
    <sheet name="Prezentacja" sheetId="6" r:id="rId3"/>
  </sheets>
  <definedNames>
    <definedName name="Nazwisko">#REF!</definedName>
    <definedName name="petla_kosztow_materialowych_wlaczona">Prezentacja!$A$3</definedName>
    <definedName name="petla_placowa_wlaczona">Prezentacja!$A$4</definedName>
    <definedName name="wplyw_cen_import_wlaczony">Prezentacja!$A$2</definedName>
  </definedNames>
  <calcPr calcId="191028" iterate="1" iterateCount="150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BN3" i="5"/>
  <c r="BO3" i="5"/>
  <c r="BP3" i="5"/>
  <c r="BQ3" i="5"/>
  <c r="BR3" i="5"/>
  <c r="BS3" i="5"/>
  <c r="BT3" i="5"/>
  <c r="BU3" i="5"/>
  <c r="BV3" i="5"/>
  <c r="BW3" i="5"/>
  <c r="BX3" i="5"/>
  <c r="BY3" i="5"/>
  <c r="BZ3" i="5"/>
  <c r="CA3" i="5"/>
  <c r="C2" i="5"/>
  <c r="C9" i="5"/>
  <c r="CA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BA9" i="5"/>
  <c r="BB9" i="5"/>
  <c r="BC9" i="5"/>
  <c r="BD9" i="5"/>
  <c r="BE9" i="5"/>
  <c r="BF9" i="5"/>
  <c r="BG9" i="5"/>
  <c r="BH9" i="5"/>
  <c r="BI9" i="5"/>
  <c r="BJ9" i="5"/>
  <c r="BK9" i="5"/>
  <c r="BL9" i="5"/>
  <c r="BM9" i="5"/>
  <c r="BN9" i="5"/>
  <c r="BO9" i="5"/>
  <c r="BP9" i="5"/>
  <c r="BQ9" i="5"/>
  <c r="BR9" i="5"/>
  <c r="BS9" i="5"/>
  <c r="BT9" i="5"/>
  <c r="BU9" i="5"/>
  <c r="BV9" i="5"/>
  <c r="BW9" i="5"/>
  <c r="BX9" i="5"/>
  <c r="BY9" i="5"/>
  <c r="BZ9" i="5"/>
  <c r="CD169" i="3"/>
  <c r="CE322" i="3"/>
  <c r="CF322" i="3"/>
  <c r="CG322" i="3"/>
  <c r="CE323" i="3"/>
  <c r="CF323" i="3"/>
  <c r="CG323" i="3"/>
  <c r="CD323" i="3"/>
  <c r="CD322" i="3"/>
  <c r="D322" i="3"/>
  <c r="E322" i="3"/>
  <c r="F322" i="3"/>
  <c r="G322" i="3"/>
  <c r="H322" i="3"/>
  <c r="I322" i="3"/>
  <c r="J322" i="3"/>
  <c r="K322" i="3"/>
  <c r="L322" i="3"/>
  <c r="M322" i="3"/>
  <c r="N322" i="3"/>
  <c r="O322" i="3"/>
  <c r="P322" i="3"/>
  <c r="Q322" i="3"/>
  <c r="R322" i="3"/>
  <c r="S322" i="3"/>
  <c r="T322" i="3"/>
  <c r="U322" i="3"/>
  <c r="V322" i="3"/>
  <c r="W322" i="3"/>
  <c r="X322" i="3"/>
  <c r="Y322" i="3"/>
  <c r="Z322" i="3"/>
  <c r="AA322" i="3"/>
  <c r="AB322" i="3"/>
  <c r="AC322" i="3"/>
  <c r="AD322" i="3"/>
  <c r="AE322" i="3"/>
  <c r="AF322" i="3"/>
  <c r="AG322" i="3"/>
  <c r="AH322" i="3"/>
  <c r="AI322" i="3"/>
  <c r="AJ322" i="3"/>
  <c r="AK322" i="3"/>
  <c r="AL322" i="3"/>
  <c r="AM322" i="3"/>
  <c r="AN322" i="3"/>
  <c r="AO322" i="3"/>
  <c r="AP322" i="3"/>
  <c r="AQ322" i="3"/>
  <c r="AR322" i="3"/>
  <c r="AS322" i="3"/>
  <c r="AT322" i="3"/>
  <c r="AU322" i="3"/>
  <c r="AV322" i="3"/>
  <c r="AW322" i="3"/>
  <c r="AX322" i="3"/>
  <c r="AY322" i="3"/>
  <c r="AZ322" i="3"/>
  <c r="BA322" i="3"/>
  <c r="BB322" i="3"/>
  <c r="BC322" i="3"/>
  <c r="BD322" i="3"/>
  <c r="BE322" i="3"/>
  <c r="BF322" i="3"/>
  <c r="BG322" i="3"/>
  <c r="BH322" i="3"/>
  <c r="BI322" i="3"/>
  <c r="BJ322" i="3"/>
  <c r="BK322" i="3"/>
  <c r="BL322" i="3"/>
  <c r="BM322" i="3"/>
  <c r="BN322" i="3"/>
  <c r="BO322" i="3"/>
  <c r="BP322" i="3"/>
  <c r="BQ322" i="3"/>
  <c r="BR322" i="3"/>
  <c r="BS322" i="3"/>
  <c r="BT322" i="3"/>
  <c r="BU322" i="3"/>
  <c r="BV322" i="3"/>
  <c r="BW322" i="3"/>
  <c r="BX322" i="3"/>
  <c r="BY322" i="3"/>
  <c r="BZ322" i="3"/>
  <c r="CA322" i="3"/>
  <c r="D323" i="3"/>
  <c r="E323" i="3"/>
  <c r="F323" i="3"/>
  <c r="G323" i="3"/>
  <c r="H323" i="3"/>
  <c r="I323" i="3"/>
  <c r="J323" i="3"/>
  <c r="K323" i="3"/>
  <c r="L323" i="3"/>
  <c r="M323" i="3"/>
  <c r="N323" i="3"/>
  <c r="O323" i="3"/>
  <c r="P323" i="3"/>
  <c r="Q323" i="3"/>
  <c r="R323" i="3"/>
  <c r="S323" i="3"/>
  <c r="T323" i="3"/>
  <c r="U323" i="3"/>
  <c r="V323" i="3"/>
  <c r="W323" i="3"/>
  <c r="X323" i="3"/>
  <c r="Y323" i="3"/>
  <c r="Z323" i="3"/>
  <c r="AA323" i="3"/>
  <c r="AB323" i="3"/>
  <c r="AC323" i="3"/>
  <c r="AD323" i="3"/>
  <c r="AE323" i="3"/>
  <c r="AF323" i="3"/>
  <c r="AG323" i="3"/>
  <c r="AH323" i="3"/>
  <c r="AI323" i="3"/>
  <c r="AJ323" i="3"/>
  <c r="AK323" i="3"/>
  <c r="AL323" i="3"/>
  <c r="AM323" i="3"/>
  <c r="AN323" i="3"/>
  <c r="AO323" i="3"/>
  <c r="AP323" i="3"/>
  <c r="AQ323" i="3"/>
  <c r="AR323" i="3"/>
  <c r="AS323" i="3"/>
  <c r="AT323" i="3"/>
  <c r="AU323" i="3"/>
  <c r="AV323" i="3"/>
  <c r="AW323" i="3"/>
  <c r="AX323" i="3"/>
  <c r="AY323" i="3"/>
  <c r="AZ323" i="3"/>
  <c r="BA323" i="3"/>
  <c r="BB323" i="3"/>
  <c r="BC323" i="3"/>
  <c r="BD323" i="3"/>
  <c r="BE323" i="3"/>
  <c r="BF323" i="3"/>
  <c r="BG323" i="3"/>
  <c r="BH323" i="3"/>
  <c r="BI323" i="3"/>
  <c r="BJ323" i="3"/>
  <c r="BK323" i="3"/>
  <c r="BL323" i="3"/>
  <c r="BM323" i="3"/>
  <c r="BN323" i="3"/>
  <c r="BO323" i="3"/>
  <c r="BP323" i="3"/>
  <c r="BQ323" i="3"/>
  <c r="BR323" i="3"/>
  <c r="BS323" i="3"/>
  <c r="BT323" i="3"/>
  <c r="BU323" i="3"/>
  <c r="BV323" i="3"/>
  <c r="BW323" i="3"/>
  <c r="BX323" i="3"/>
  <c r="BY323" i="3"/>
  <c r="BZ323" i="3"/>
  <c r="CA323" i="3"/>
  <c r="C323" i="3"/>
  <c r="C322" i="3"/>
  <c r="CE244" i="3"/>
  <c r="CF244" i="3"/>
  <c r="CG244" i="3"/>
  <c r="CE245" i="3"/>
  <c r="CF245" i="3"/>
  <c r="CG245" i="3"/>
  <c r="CD245" i="3"/>
  <c r="CD244" i="3"/>
  <c r="E244" i="3"/>
  <c r="F244" i="3"/>
  <c r="G244" i="3"/>
  <c r="H244" i="3"/>
  <c r="I244" i="3"/>
  <c r="J244" i="3"/>
  <c r="K244" i="3"/>
  <c r="L244" i="3"/>
  <c r="M244" i="3"/>
  <c r="N244" i="3"/>
  <c r="O244" i="3"/>
  <c r="P244" i="3"/>
  <c r="Q244" i="3"/>
  <c r="R244" i="3"/>
  <c r="S244" i="3"/>
  <c r="T244" i="3"/>
  <c r="U244" i="3"/>
  <c r="V244" i="3"/>
  <c r="W244" i="3"/>
  <c r="X244" i="3"/>
  <c r="Y244" i="3"/>
  <c r="Z244" i="3"/>
  <c r="AA244" i="3"/>
  <c r="AB244" i="3"/>
  <c r="AC244" i="3"/>
  <c r="AD244" i="3"/>
  <c r="AE244" i="3"/>
  <c r="AF244" i="3"/>
  <c r="AG244" i="3"/>
  <c r="AH244" i="3"/>
  <c r="AI244" i="3"/>
  <c r="AJ244" i="3"/>
  <c r="AK244" i="3"/>
  <c r="AL244" i="3"/>
  <c r="AM244" i="3"/>
  <c r="AN244" i="3"/>
  <c r="AO244" i="3"/>
  <c r="AP244" i="3"/>
  <c r="AQ244" i="3"/>
  <c r="AR244" i="3"/>
  <c r="AS244" i="3"/>
  <c r="AT244" i="3"/>
  <c r="AU244" i="3"/>
  <c r="AV244" i="3"/>
  <c r="AW244" i="3"/>
  <c r="AX244" i="3"/>
  <c r="AY244" i="3"/>
  <c r="AZ244" i="3"/>
  <c r="BA244" i="3"/>
  <c r="BB244" i="3"/>
  <c r="BC244" i="3"/>
  <c r="BD244" i="3"/>
  <c r="BE244" i="3"/>
  <c r="BF244" i="3"/>
  <c r="BG244" i="3"/>
  <c r="BH244" i="3"/>
  <c r="BI244" i="3"/>
  <c r="BJ244" i="3"/>
  <c r="BK244" i="3"/>
  <c r="BL244" i="3"/>
  <c r="BM244" i="3"/>
  <c r="BN244" i="3"/>
  <c r="BO244" i="3"/>
  <c r="BP244" i="3"/>
  <c r="BQ244" i="3"/>
  <c r="BR244" i="3"/>
  <c r="BS244" i="3"/>
  <c r="BT244" i="3"/>
  <c r="BU244" i="3"/>
  <c r="BV244" i="3"/>
  <c r="BW244" i="3"/>
  <c r="BX244" i="3"/>
  <c r="BY244" i="3"/>
  <c r="BZ244" i="3"/>
  <c r="CA244" i="3"/>
  <c r="E245" i="3"/>
  <c r="F245" i="3"/>
  <c r="G245" i="3"/>
  <c r="H245" i="3"/>
  <c r="I245" i="3"/>
  <c r="J245" i="3"/>
  <c r="K245" i="3"/>
  <c r="L245" i="3"/>
  <c r="M245" i="3"/>
  <c r="N245" i="3"/>
  <c r="O245" i="3"/>
  <c r="P245" i="3"/>
  <c r="Q245" i="3"/>
  <c r="R245" i="3"/>
  <c r="S245" i="3"/>
  <c r="T245" i="3"/>
  <c r="U245" i="3"/>
  <c r="V245" i="3"/>
  <c r="W245" i="3"/>
  <c r="X245" i="3"/>
  <c r="Y245" i="3"/>
  <c r="Z245" i="3"/>
  <c r="AA245" i="3"/>
  <c r="AB245" i="3"/>
  <c r="AC245" i="3"/>
  <c r="AD245" i="3"/>
  <c r="AE245" i="3"/>
  <c r="AF245" i="3"/>
  <c r="AG245" i="3"/>
  <c r="AH245" i="3"/>
  <c r="AI245" i="3"/>
  <c r="AJ245" i="3"/>
  <c r="AK245" i="3"/>
  <c r="AL245" i="3"/>
  <c r="AM245" i="3"/>
  <c r="AN245" i="3"/>
  <c r="AO245" i="3"/>
  <c r="AP245" i="3"/>
  <c r="AQ245" i="3"/>
  <c r="AR245" i="3"/>
  <c r="AS245" i="3"/>
  <c r="AT245" i="3"/>
  <c r="AU245" i="3"/>
  <c r="AV245" i="3"/>
  <c r="AW245" i="3"/>
  <c r="AX245" i="3"/>
  <c r="AY245" i="3"/>
  <c r="AZ245" i="3"/>
  <c r="BA245" i="3"/>
  <c r="BB245" i="3"/>
  <c r="BC245" i="3"/>
  <c r="BD245" i="3"/>
  <c r="BE245" i="3"/>
  <c r="BF245" i="3"/>
  <c r="BG245" i="3"/>
  <c r="BH245" i="3"/>
  <c r="BI245" i="3"/>
  <c r="BJ245" i="3"/>
  <c r="BK245" i="3"/>
  <c r="BL245" i="3"/>
  <c r="BM245" i="3"/>
  <c r="BN245" i="3"/>
  <c r="BO245" i="3"/>
  <c r="BP245" i="3"/>
  <c r="BQ245" i="3"/>
  <c r="BR245" i="3"/>
  <c r="BS245" i="3"/>
  <c r="BT245" i="3"/>
  <c r="BU245" i="3"/>
  <c r="BV245" i="3"/>
  <c r="BW245" i="3"/>
  <c r="BX245" i="3"/>
  <c r="BY245" i="3"/>
  <c r="BZ245" i="3"/>
  <c r="CA245" i="3"/>
  <c r="D244" i="3"/>
  <c r="D245" i="3"/>
  <c r="C245" i="3"/>
  <c r="C244" i="3"/>
  <c r="CA85" i="3"/>
  <c r="CB85" i="3"/>
  <c r="CE166" i="3"/>
  <c r="CF166" i="3"/>
  <c r="CG166" i="3"/>
  <c r="CH166" i="3"/>
  <c r="CD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P166" i="3"/>
  <c r="Q166" i="3"/>
  <c r="R166" i="3"/>
  <c r="S166" i="3"/>
  <c r="T166" i="3"/>
  <c r="U166" i="3"/>
  <c r="V166" i="3"/>
  <c r="W166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K166" i="3"/>
  <c r="AL166" i="3"/>
  <c r="AM166" i="3"/>
  <c r="AN166" i="3"/>
  <c r="AO166" i="3"/>
  <c r="AP166" i="3"/>
  <c r="AQ166" i="3"/>
  <c r="AR166" i="3"/>
  <c r="AS166" i="3"/>
  <c r="AT166" i="3"/>
  <c r="AU166" i="3"/>
  <c r="AV166" i="3"/>
  <c r="AW166" i="3"/>
  <c r="AX166" i="3"/>
  <c r="AY166" i="3"/>
  <c r="AZ166" i="3"/>
  <c r="BA166" i="3"/>
  <c r="BB166" i="3"/>
  <c r="BC166" i="3"/>
  <c r="BD166" i="3"/>
  <c r="BE166" i="3"/>
  <c r="BF166" i="3"/>
  <c r="BG166" i="3"/>
  <c r="BH166" i="3"/>
  <c r="BI166" i="3"/>
  <c r="BJ166" i="3"/>
  <c r="BK166" i="3"/>
  <c r="BL166" i="3"/>
  <c r="BM166" i="3"/>
  <c r="BN166" i="3"/>
  <c r="BO166" i="3"/>
  <c r="BP166" i="3"/>
  <c r="BQ166" i="3"/>
  <c r="BR166" i="3"/>
  <c r="BS166" i="3"/>
  <c r="BT166" i="3"/>
  <c r="BU166" i="3"/>
  <c r="BV166" i="3"/>
  <c r="BW166" i="3"/>
  <c r="BX166" i="3"/>
  <c r="BY166" i="3"/>
  <c r="BZ166" i="3"/>
  <c r="CA166" i="3"/>
  <c r="CA167" i="3" s="1"/>
  <c r="CB166" i="3"/>
  <c r="C166" i="3"/>
  <c r="CJ164" i="3"/>
  <c r="CI164" i="3"/>
  <c r="CI78" i="3"/>
  <c r="CJ78" i="3" s="1"/>
  <c r="CI77" i="3"/>
  <c r="CA326" i="3"/>
  <c r="CA325" i="3"/>
  <c r="CA249" i="3"/>
  <c r="CA250" i="3"/>
  <c r="CA251" i="3"/>
  <c r="CA252" i="3"/>
  <c r="CA253" i="3"/>
  <c r="CA254" i="3"/>
  <c r="CA255" i="3"/>
  <c r="CA256" i="3"/>
  <c r="CA257" i="3"/>
  <c r="CA258" i="3"/>
  <c r="CA259" i="3"/>
  <c r="CA260" i="3"/>
  <c r="CA261" i="3"/>
  <c r="CA262" i="3"/>
  <c r="CA263" i="3"/>
  <c r="CA264" i="3"/>
  <c r="CA265" i="3"/>
  <c r="CA266" i="3"/>
  <c r="CA267" i="3"/>
  <c r="CA268" i="3"/>
  <c r="CA269" i="3"/>
  <c r="CA270" i="3"/>
  <c r="CA271" i="3"/>
  <c r="CA272" i="3"/>
  <c r="CA273" i="3"/>
  <c r="CA274" i="3"/>
  <c r="CA275" i="3"/>
  <c r="CA276" i="3"/>
  <c r="CA277" i="3"/>
  <c r="CA278" i="3"/>
  <c r="CA279" i="3"/>
  <c r="CA280" i="3"/>
  <c r="CA281" i="3"/>
  <c r="CA282" i="3"/>
  <c r="CA283" i="3"/>
  <c r="CA284" i="3"/>
  <c r="CA285" i="3"/>
  <c r="CA286" i="3"/>
  <c r="CA287" i="3"/>
  <c r="CA288" i="3"/>
  <c r="CA289" i="3"/>
  <c r="CA290" i="3"/>
  <c r="CA291" i="3"/>
  <c r="CA292" i="3"/>
  <c r="CA293" i="3"/>
  <c r="CA294" i="3"/>
  <c r="CA295" i="3"/>
  <c r="CA296" i="3"/>
  <c r="CA297" i="3"/>
  <c r="CA298" i="3"/>
  <c r="CA299" i="3"/>
  <c r="CA300" i="3"/>
  <c r="CA301" i="3"/>
  <c r="CA302" i="3"/>
  <c r="CA303" i="3"/>
  <c r="CA304" i="3"/>
  <c r="CA305" i="3"/>
  <c r="CA306" i="3"/>
  <c r="CA307" i="3"/>
  <c r="CA308" i="3"/>
  <c r="CA309" i="3"/>
  <c r="CA310" i="3"/>
  <c r="CA311" i="3"/>
  <c r="CA312" i="3"/>
  <c r="CA313" i="3"/>
  <c r="CA314" i="3"/>
  <c r="CA315" i="3"/>
  <c r="CA316" i="3"/>
  <c r="CA317" i="3"/>
  <c r="CA318" i="3"/>
  <c r="CA319" i="3"/>
  <c r="CA320" i="3"/>
  <c r="CA321" i="3"/>
  <c r="CA248" i="3"/>
  <c r="BZ248" i="3"/>
  <c r="BZ249" i="3"/>
  <c r="BZ250" i="3"/>
  <c r="BZ251" i="3"/>
  <c r="BZ252" i="3"/>
  <c r="BZ253" i="3"/>
  <c r="BZ254" i="3"/>
  <c r="BZ255" i="3"/>
  <c r="BZ256" i="3"/>
  <c r="BZ257" i="3"/>
  <c r="BZ258" i="3"/>
  <c r="BZ259" i="3"/>
  <c r="BZ260" i="3"/>
  <c r="BZ261" i="3"/>
  <c r="BZ262" i="3"/>
  <c r="BZ263" i="3"/>
  <c r="BZ264" i="3"/>
  <c r="BZ265" i="3"/>
  <c r="BZ266" i="3"/>
  <c r="BZ267" i="3"/>
  <c r="BZ268" i="3"/>
  <c r="BZ269" i="3"/>
  <c r="BZ270" i="3"/>
  <c r="BZ271" i="3"/>
  <c r="BZ272" i="3"/>
  <c r="BZ273" i="3"/>
  <c r="BZ274" i="3"/>
  <c r="BZ275" i="3"/>
  <c r="BZ276" i="3"/>
  <c r="BZ277" i="3"/>
  <c r="BZ278" i="3"/>
  <c r="BZ279" i="3"/>
  <c r="BZ280" i="3"/>
  <c r="BZ281" i="3"/>
  <c r="BZ282" i="3"/>
  <c r="BZ283" i="3"/>
  <c r="BZ284" i="3"/>
  <c r="BZ285" i="3"/>
  <c r="BZ286" i="3"/>
  <c r="BZ287" i="3"/>
  <c r="BZ288" i="3"/>
  <c r="BZ289" i="3"/>
  <c r="BZ290" i="3"/>
  <c r="BZ291" i="3"/>
  <c r="BZ292" i="3"/>
  <c r="BZ293" i="3"/>
  <c r="BZ294" i="3"/>
  <c r="BZ295" i="3"/>
  <c r="BZ296" i="3"/>
  <c r="BZ297" i="3"/>
  <c r="BZ298" i="3"/>
  <c r="BZ299" i="3"/>
  <c r="BZ300" i="3"/>
  <c r="BZ301" i="3"/>
  <c r="BZ302" i="3"/>
  <c r="BZ303" i="3"/>
  <c r="BZ304" i="3"/>
  <c r="BZ305" i="3"/>
  <c r="BZ306" i="3"/>
  <c r="BZ307" i="3"/>
  <c r="BZ308" i="3"/>
  <c r="BZ309" i="3"/>
  <c r="BZ310" i="3"/>
  <c r="BZ311" i="3"/>
  <c r="BZ312" i="3"/>
  <c r="BZ313" i="3"/>
  <c r="BZ314" i="3"/>
  <c r="BZ315" i="3"/>
  <c r="BZ316" i="3"/>
  <c r="BZ317" i="3"/>
  <c r="BZ318" i="3"/>
  <c r="BZ319" i="3"/>
  <c r="BZ320" i="3"/>
  <c r="BZ321" i="3"/>
  <c r="CA247" i="3"/>
  <c r="CA170" i="3"/>
  <c r="CA171" i="3"/>
  <c r="CA172" i="3"/>
  <c r="CA173" i="3"/>
  <c r="CA174" i="3"/>
  <c r="CA175" i="3"/>
  <c r="CA176" i="3"/>
  <c r="CA177" i="3"/>
  <c r="CA178" i="3"/>
  <c r="CA179" i="3"/>
  <c r="CA180" i="3"/>
  <c r="CA181" i="3"/>
  <c r="CA182" i="3"/>
  <c r="CA183" i="3"/>
  <c r="CA184" i="3"/>
  <c r="CA185" i="3"/>
  <c r="CA186" i="3"/>
  <c r="CA187" i="3"/>
  <c r="CA188" i="3"/>
  <c r="CA189" i="3"/>
  <c r="CA190" i="3"/>
  <c r="CA191" i="3"/>
  <c r="CA192" i="3"/>
  <c r="CA193" i="3"/>
  <c r="CA194" i="3"/>
  <c r="CA195" i="3"/>
  <c r="CA196" i="3"/>
  <c r="CA197" i="3"/>
  <c r="CA198" i="3"/>
  <c r="CA199" i="3"/>
  <c r="CA200" i="3"/>
  <c r="CA201" i="3"/>
  <c r="CA202" i="3"/>
  <c r="CA203" i="3"/>
  <c r="CA204" i="3"/>
  <c r="CA205" i="3"/>
  <c r="CA206" i="3"/>
  <c r="CA207" i="3"/>
  <c r="CA208" i="3"/>
  <c r="CA209" i="3"/>
  <c r="CA210" i="3"/>
  <c r="CA211" i="3"/>
  <c r="CA212" i="3"/>
  <c r="CA213" i="3"/>
  <c r="CA214" i="3"/>
  <c r="CA215" i="3"/>
  <c r="CA216" i="3"/>
  <c r="CA217" i="3"/>
  <c r="CA218" i="3"/>
  <c r="CA219" i="3"/>
  <c r="CA220" i="3"/>
  <c r="CA221" i="3"/>
  <c r="CA222" i="3"/>
  <c r="CA223" i="3"/>
  <c r="CA224" i="3"/>
  <c r="CA225" i="3"/>
  <c r="CA226" i="3"/>
  <c r="CA227" i="3"/>
  <c r="CA228" i="3"/>
  <c r="CA229" i="3"/>
  <c r="CA230" i="3"/>
  <c r="CA231" i="3"/>
  <c r="CA232" i="3"/>
  <c r="CA233" i="3"/>
  <c r="CA234" i="3"/>
  <c r="CA235" i="3"/>
  <c r="CA236" i="3"/>
  <c r="CA237" i="3"/>
  <c r="CA238" i="3"/>
  <c r="CA239" i="3"/>
  <c r="CA240" i="3"/>
  <c r="CA241" i="3"/>
  <c r="CA242" i="3"/>
  <c r="CA243" i="3"/>
  <c r="CA169" i="3"/>
  <c r="CA86" i="3"/>
  <c r="CA328" i="3" l="1"/>
  <c r="C169" i="3" l="1"/>
  <c r="CD248" i="3"/>
  <c r="CE248" i="3"/>
  <c r="CF248" i="3"/>
  <c r="CG248" i="3"/>
  <c r="CD249" i="3"/>
  <c r="CE249" i="3"/>
  <c r="CF249" i="3"/>
  <c r="CG249" i="3"/>
  <c r="CD250" i="3"/>
  <c r="CE250" i="3"/>
  <c r="CF250" i="3"/>
  <c r="CG250" i="3"/>
  <c r="CD251" i="3"/>
  <c r="CE251" i="3"/>
  <c r="CF251" i="3"/>
  <c r="CG251" i="3"/>
  <c r="CD252" i="3"/>
  <c r="CE252" i="3"/>
  <c r="CF252" i="3"/>
  <c r="CG252" i="3"/>
  <c r="CD253" i="3"/>
  <c r="CE253" i="3"/>
  <c r="CF253" i="3"/>
  <c r="CG253" i="3"/>
  <c r="CD254" i="3"/>
  <c r="CE254" i="3"/>
  <c r="CF254" i="3"/>
  <c r="CG254" i="3"/>
  <c r="CD255" i="3"/>
  <c r="CE255" i="3"/>
  <c r="CF255" i="3"/>
  <c r="CG255" i="3"/>
  <c r="CD256" i="3"/>
  <c r="CE256" i="3"/>
  <c r="CF256" i="3"/>
  <c r="CG256" i="3"/>
  <c r="CD257" i="3"/>
  <c r="CE257" i="3"/>
  <c r="CF257" i="3"/>
  <c r="CG257" i="3"/>
  <c r="CD258" i="3"/>
  <c r="CE258" i="3"/>
  <c r="CF258" i="3"/>
  <c r="CG258" i="3"/>
  <c r="CD259" i="3"/>
  <c r="CE259" i="3"/>
  <c r="CF259" i="3"/>
  <c r="CG259" i="3"/>
  <c r="CD260" i="3"/>
  <c r="CE260" i="3"/>
  <c r="CF260" i="3"/>
  <c r="CG260" i="3"/>
  <c r="CD261" i="3"/>
  <c r="CE261" i="3"/>
  <c r="CF261" i="3"/>
  <c r="CG261" i="3"/>
  <c r="CD262" i="3"/>
  <c r="CE262" i="3"/>
  <c r="CF262" i="3"/>
  <c r="CG262" i="3"/>
  <c r="CD263" i="3"/>
  <c r="CE263" i="3"/>
  <c r="CF263" i="3"/>
  <c r="CG263" i="3"/>
  <c r="CD264" i="3"/>
  <c r="CE264" i="3"/>
  <c r="CF264" i="3"/>
  <c r="CG264" i="3"/>
  <c r="CD265" i="3"/>
  <c r="CE265" i="3"/>
  <c r="CF265" i="3"/>
  <c r="CG265" i="3"/>
  <c r="CD266" i="3"/>
  <c r="CE266" i="3"/>
  <c r="CF266" i="3"/>
  <c r="CG266" i="3"/>
  <c r="CD267" i="3"/>
  <c r="CE267" i="3"/>
  <c r="CF267" i="3"/>
  <c r="CG267" i="3"/>
  <c r="CD268" i="3"/>
  <c r="CE268" i="3"/>
  <c r="CF268" i="3"/>
  <c r="CG268" i="3"/>
  <c r="CD269" i="3"/>
  <c r="CE269" i="3"/>
  <c r="CF269" i="3"/>
  <c r="CG269" i="3"/>
  <c r="CD270" i="3"/>
  <c r="CE270" i="3"/>
  <c r="CF270" i="3"/>
  <c r="CG270" i="3"/>
  <c r="CD271" i="3"/>
  <c r="CE271" i="3"/>
  <c r="CF271" i="3"/>
  <c r="CG271" i="3"/>
  <c r="CD272" i="3"/>
  <c r="CE272" i="3"/>
  <c r="CF272" i="3"/>
  <c r="CG272" i="3"/>
  <c r="CD273" i="3"/>
  <c r="CE273" i="3"/>
  <c r="CF273" i="3"/>
  <c r="CG273" i="3"/>
  <c r="CD274" i="3"/>
  <c r="CE274" i="3"/>
  <c r="CF274" i="3"/>
  <c r="CG274" i="3"/>
  <c r="CD275" i="3"/>
  <c r="CE275" i="3"/>
  <c r="CF275" i="3"/>
  <c r="CG275" i="3"/>
  <c r="CD276" i="3"/>
  <c r="CE276" i="3"/>
  <c r="CF276" i="3"/>
  <c r="CG276" i="3"/>
  <c r="CD277" i="3"/>
  <c r="CE277" i="3"/>
  <c r="CF277" i="3"/>
  <c r="CG277" i="3"/>
  <c r="CD278" i="3"/>
  <c r="CE278" i="3"/>
  <c r="CF278" i="3"/>
  <c r="CG278" i="3"/>
  <c r="CD279" i="3"/>
  <c r="CE279" i="3"/>
  <c r="CF279" i="3"/>
  <c r="CG279" i="3"/>
  <c r="CD280" i="3"/>
  <c r="CE280" i="3"/>
  <c r="CF280" i="3"/>
  <c r="CG280" i="3"/>
  <c r="CD281" i="3"/>
  <c r="CE281" i="3"/>
  <c r="CF281" i="3"/>
  <c r="CG281" i="3"/>
  <c r="CD282" i="3"/>
  <c r="CE282" i="3"/>
  <c r="CF282" i="3"/>
  <c r="CG282" i="3"/>
  <c r="CD283" i="3"/>
  <c r="CE283" i="3"/>
  <c r="CF283" i="3"/>
  <c r="CG283" i="3"/>
  <c r="CD284" i="3"/>
  <c r="CE284" i="3"/>
  <c r="CF284" i="3"/>
  <c r="CG284" i="3"/>
  <c r="CD285" i="3"/>
  <c r="CE285" i="3"/>
  <c r="CF285" i="3"/>
  <c r="CG285" i="3"/>
  <c r="CD286" i="3"/>
  <c r="CE286" i="3"/>
  <c r="CF286" i="3"/>
  <c r="CG286" i="3"/>
  <c r="CD287" i="3"/>
  <c r="CE287" i="3"/>
  <c r="CF287" i="3"/>
  <c r="CG287" i="3"/>
  <c r="CD288" i="3"/>
  <c r="CE288" i="3"/>
  <c r="CF288" i="3"/>
  <c r="CG288" i="3"/>
  <c r="CD289" i="3"/>
  <c r="CE289" i="3"/>
  <c r="CF289" i="3"/>
  <c r="CG289" i="3"/>
  <c r="CD290" i="3"/>
  <c r="CE290" i="3"/>
  <c r="CF290" i="3"/>
  <c r="CG290" i="3"/>
  <c r="CD291" i="3"/>
  <c r="CE291" i="3"/>
  <c r="CF291" i="3"/>
  <c r="CG291" i="3"/>
  <c r="CD292" i="3"/>
  <c r="CE292" i="3"/>
  <c r="CF292" i="3"/>
  <c r="CG292" i="3"/>
  <c r="CD293" i="3"/>
  <c r="CE293" i="3"/>
  <c r="CF293" i="3"/>
  <c r="CG293" i="3"/>
  <c r="CD294" i="3"/>
  <c r="CE294" i="3"/>
  <c r="CF294" i="3"/>
  <c r="CG294" i="3"/>
  <c r="CD295" i="3"/>
  <c r="CE295" i="3"/>
  <c r="CF295" i="3"/>
  <c r="CG295" i="3"/>
  <c r="CD296" i="3"/>
  <c r="CE296" i="3"/>
  <c r="CF296" i="3"/>
  <c r="CG296" i="3"/>
  <c r="CD297" i="3"/>
  <c r="CE297" i="3"/>
  <c r="CF297" i="3"/>
  <c r="CG297" i="3"/>
  <c r="CD298" i="3"/>
  <c r="CE298" i="3"/>
  <c r="CF298" i="3"/>
  <c r="CG298" i="3"/>
  <c r="CD299" i="3"/>
  <c r="CE299" i="3"/>
  <c r="CF299" i="3"/>
  <c r="CG299" i="3"/>
  <c r="CD300" i="3"/>
  <c r="CE300" i="3"/>
  <c r="CF300" i="3"/>
  <c r="CG300" i="3"/>
  <c r="CD301" i="3"/>
  <c r="CE301" i="3"/>
  <c r="CF301" i="3"/>
  <c r="CG301" i="3"/>
  <c r="CD302" i="3"/>
  <c r="CE302" i="3"/>
  <c r="CF302" i="3"/>
  <c r="CG302" i="3"/>
  <c r="CD303" i="3"/>
  <c r="CE303" i="3"/>
  <c r="CF303" i="3"/>
  <c r="CG303" i="3"/>
  <c r="CD304" i="3"/>
  <c r="CE304" i="3"/>
  <c r="CF304" i="3"/>
  <c r="CG304" i="3"/>
  <c r="CD305" i="3"/>
  <c r="CE305" i="3"/>
  <c r="CF305" i="3"/>
  <c r="CG305" i="3"/>
  <c r="CD306" i="3"/>
  <c r="CE306" i="3"/>
  <c r="CF306" i="3"/>
  <c r="CG306" i="3"/>
  <c r="CD307" i="3"/>
  <c r="CE307" i="3"/>
  <c r="CF307" i="3"/>
  <c r="CG307" i="3"/>
  <c r="CD308" i="3"/>
  <c r="CE308" i="3"/>
  <c r="CF308" i="3"/>
  <c r="CG308" i="3"/>
  <c r="CD309" i="3"/>
  <c r="CE309" i="3"/>
  <c r="CF309" i="3"/>
  <c r="CG309" i="3"/>
  <c r="CD310" i="3"/>
  <c r="CE310" i="3"/>
  <c r="CF310" i="3"/>
  <c r="CG310" i="3"/>
  <c r="CD311" i="3"/>
  <c r="CE311" i="3"/>
  <c r="CF311" i="3"/>
  <c r="CG311" i="3"/>
  <c r="CD312" i="3"/>
  <c r="CE312" i="3"/>
  <c r="CF312" i="3"/>
  <c r="CG312" i="3"/>
  <c r="CD313" i="3"/>
  <c r="CE313" i="3"/>
  <c r="CF313" i="3"/>
  <c r="CG313" i="3"/>
  <c r="CD314" i="3"/>
  <c r="CE314" i="3"/>
  <c r="CF314" i="3"/>
  <c r="CG314" i="3"/>
  <c r="CD315" i="3"/>
  <c r="CE315" i="3"/>
  <c r="CF315" i="3"/>
  <c r="CG315" i="3"/>
  <c r="CD316" i="3"/>
  <c r="CE316" i="3"/>
  <c r="CF316" i="3"/>
  <c r="CG316" i="3"/>
  <c r="CD317" i="3"/>
  <c r="CE317" i="3"/>
  <c r="CF317" i="3"/>
  <c r="CG317" i="3"/>
  <c r="CD318" i="3"/>
  <c r="CE318" i="3"/>
  <c r="CF318" i="3"/>
  <c r="CG318" i="3"/>
  <c r="CD319" i="3"/>
  <c r="CE319" i="3"/>
  <c r="CF319" i="3"/>
  <c r="CG319" i="3"/>
  <c r="CD320" i="3"/>
  <c r="CE320" i="3"/>
  <c r="CF320" i="3"/>
  <c r="CG320" i="3"/>
  <c r="CD321" i="3"/>
  <c r="CE321" i="3"/>
  <c r="CF321" i="3"/>
  <c r="CG321" i="3"/>
  <c r="CE247" i="3"/>
  <c r="CF247" i="3"/>
  <c r="CG247" i="3"/>
  <c r="CD247" i="3"/>
  <c r="D247" i="3"/>
  <c r="E247" i="3"/>
  <c r="F247" i="3"/>
  <c r="G247" i="3"/>
  <c r="H247" i="3"/>
  <c r="I247" i="3"/>
  <c r="J247" i="3"/>
  <c r="K247" i="3"/>
  <c r="L247" i="3"/>
  <c r="M247" i="3"/>
  <c r="N247" i="3"/>
  <c r="O247" i="3"/>
  <c r="P247" i="3"/>
  <c r="Q247" i="3"/>
  <c r="R247" i="3"/>
  <c r="S247" i="3"/>
  <c r="T247" i="3"/>
  <c r="U247" i="3"/>
  <c r="V247" i="3"/>
  <c r="W247" i="3"/>
  <c r="X247" i="3"/>
  <c r="Y247" i="3"/>
  <c r="Z247" i="3"/>
  <c r="AA247" i="3"/>
  <c r="AB247" i="3"/>
  <c r="AC247" i="3"/>
  <c r="AD247" i="3"/>
  <c r="AE247" i="3"/>
  <c r="AF247" i="3"/>
  <c r="AG247" i="3"/>
  <c r="AH247" i="3"/>
  <c r="AI247" i="3"/>
  <c r="AJ247" i="3"/>
  <c r="AK247" i="3"/>
  <c r="AL247" i="3"/>
  <c r="AM247" i="3"/>
  <c r="AN247" i="3"/>
  <c r="AO247" i="3"/>
  <c r="AP247" i="3"/>
  <c r="AQ247" i="3"/>
  <c r="AR247" i="3"/>
  <c r="AS247" i="3"/>
  <c r="AT247" i="3"/>
  <c r="AU247" i="3"/>
  <c r="AV247" i="3"/>
  <c r="AW247" i="3"/>
  <c r="AX247" i="3"/>
  <c r="AY247" i="3"/>
  <c r="AZ247" i="3"/>
  <c r="BA247" i="3"/>
  <c r="BB247" i="3"/>
  <c r="BC247" i="3"/>
  <c r="BD247" i="3"/>
  <c r="BE247" i="3"/>
  <c r="BF247" i="3"/>
  <c r="BG247" i="3"/>
  <c r="BH247" i="3"/>
  <c r="BI247" i="3"/>
  <c r="BJ247" i="3"/>
  <c r="BK247" i="3"/>
  <c r="BL247" i="3"/>
  <c r="BM247" i="3"/>
  <c r="BN247" i="3"/>
  <c r="BO247" i="3"/>
  <c r="BP247" i="3"/>
  <c r="BQ247" i="3"/>
  <c r="BR247" i="3"/>
  <c r="BS247" i="3"/>
  <c r="BT247" i="3"/>
  <c r="BU247" i="3"/>
  <c r="BV247" i="3"/>
  <c r="BW247" i="3"/>
  <c r="BX247" i="3"/>
  <c r="BY247" i="3"/>
  <c r="BZ247" i="3"/>
  <c r="D248" i="3"/>
  <c r="E248" i="3"/>
  <c r="F248" i="3"/>
  <c r="G248" i="3"/>
  <c r="H248" i="3"/>
  <c r="I248" i="3"/>
  <c r="J248" i="3"/>
  <c r="K248" i="3"/>
  <c r="L248" i="3"/>
  <c r="M248" i="3"/>
  <c r="N248" i="3"/>
  <c r="O248" i="3"/>
  <c r="P248" i="3"/>
  <c r="Q248" i="3"/>
  <c r="R248" i="3"/>
  <c r="S248" i="3"/>
  <c r="T248" i="3"/>
  <c r="U248" i="3"/>
  <c r="V248" i="3"/>
  <c r="W248" i="3"/>
  <c r="X248" i="3"/>
  <c r="Y248" i="3"/>
  <c r="Z248" i="3"/>
  <c r="AA248" i="3"/>
  <c r="AB248" i="3"/>
  <c r="AC248" i="3"/>
  <c r="AD248" i="3"/>
  <c r="AE248" i="3"/>
  <c r="AF248" i="3"/>
  <c r="AG248" i="3"/>
  <c r="AH248" i="3"/>
  <c r="AI248" i="3"/>
  <c r="AJ248" i="3"/>
  <c r="AK248" i="3"/>
  <c r="AL248" i="3"/>
  <c r="AM248" i="3"/>
  <c r="AN248" i="3"/>
  <c r="AO248" i="3"/>
  <c r="AP248" i="3"/>
  <c r="AQ248" i="3"/>
  <c r="AR248" i="3"/>
  <c r="AS248" i="3"/>
  <c r="AT248" i="3"/>
  <c r="AU248" i="3"/>
  <c r="AV248" i="3"/>
  <c r="AW248" i="3"/>
  <c r="AX248" i="3"/>
  <c r="AY248" i="3"/>
  <c r="AZ248" i="3"/>
  <c r="BA248" i="3"/>
  <c r="BB248" i="3"/>
  <c r="BC248" i="3"/>
  <c r="BD248" i="3"/>
  <c r="BE248" i="3"/>
  <c r="BF248" i="3"/>
  <c r="BG248" i="3"/>
  <c r="BH248" i="3"/>
  <c r="BI248" i="3"/>
  <c r="BJ248" i="3"/>
  <c r="BK248" i="3"/>
  <c r="BL248" i="3"/>
  <c r="BM248" i="3"/>
  <c r="BN248" i="3"/>
  <c r="BO248" i="3"/>
  <c r="BP248" i="3"/>
  <c r="BQ248" i="3"/>
  <c r="BR248" i="3"/>
  <c r="BS248" i="3"/>
  <c r="BT248" i="3"/>
  <c r="BU248" i="3"/>
  <c r="BV248" i="3"/>
  <c r="BW248" i="3"/>
  <c r="BX248" i="3"/>
  <c r="BY248" i="3"/>
  <c r="D249" i="3"/>
  <c r="E249" i="3"/>
  <c r="F249" i="3"/>
  <c r="G249" i="3"/>
  <c r="H249" i="3"/>
  <c r="I249" i="3"/>
  <c r="J249" i="3"/>
  <c r="K249" i="3"/>
  <c r="L249" i="3"/>
  <c r="M249" i="3"/>
  <c r="N249" i="3"/>
  <c r="O249" i="3"/>
  <c r="P249" i="3"/>
  <c r="Q249" i="3"/>
  <c r="R249" i="3"/>
  <c r="S249" i="3"/>
  <c r="T249" i="3"/>
  <c r="U249" i="3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AI249" i="3"/>
  <c r="AJ249" i="3"/>
  <c r="AK249" i="3"/>
  <c r="AL249" i="3"/>
  <c r="AM249" i="3"/>
  <c r="AN249" i="3"/>
  <c r="AO249" i="3"/>
  <c r="AP249" i="3"/>
  <c r="AQ249" i="3"/>
  <c r="AR249" i="3"/>
  <c r="AS249" i="3"/>
  <c r="AT249" i="3"/>
  <c r="AU249" i="3"/>
  <c r="AV249" i="3"/>
  <c r="AW249" i="3"/>
  <c r="AX249" i="3"/>
  <c r="AY249" i="3"/>
  <c r="AZ249" i="3"/>
  <c r="BA249" i="3"/>
  <c r="BB249" i="3"/>
  <c r="BC249" i="3"/>
  <c r="BD249" i="3"/>
  <c r="BE249" i="3"/>
  <c r="BF249" i="3"/>
  <c r="BG249" i="3"/>
  <c r="BH249" i="3"/>
  <c r="BI249" i="3"/>
  <c r="BJ249" i="3"/>
  <c r="BK249" i="3"/>
  <c r="BL249" i="3"/>
  <c r="BM249" i="3"/>
  <c r="BN249" i="3"/>
  <c r="BO249" i="3"/>
  <c r="BP249" i="3"/>
  <c r="BQ249" i="3"/>
  <c r="BR249" i="3"/>
  <c r="BS249" i="3"/>
  <c r="BT249" i="3"/>
  <c r="BU249" i="3"/>
  <c r="BV249" i="3"/>
  <c r="BW249" i="3"/>
  <c r="BX249" i="3"/>
  <c r="BY249" i="3"/>
  <c r="D250" i="3"/>
  <c r="E250" i="3"/>
  <c r="F250" i="3"/>
  <c r="G250" i="3"/>
  <c r="H250" i="3"/>
  <c r="I250" i="3"/>
  <c r="J250" i="3"/>
  <c r="K250" i="3"/>
  <c r="L250" i="3"/>
  <c r="M250" i="3"/>
  <c r="N250" i="3"/>
  <c r="O250" i="3"/>
  <c r="P250" i="3"/>
  <c r="Q250" i="3"/>
  <c r="R250" i="3"/>
  <c r="S250" i="3"/>
  <c r="T250" i="3"/>
  <c r="U250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AI250" i="3"/>
  <c r="AJ250" i="3"/>
  <c r="AK250" i="3"/>
  <c r="AL250" i="3"/>
  <c r="AM250" i="3"/>
  <c r="AN250" i="3"/>
  <c r="AO250" i="3"/>
  <c r="AP250" i="3"/>
  <c r="AQ250" i="3"/>
  <c r="AR250" i="3"/>
  <c r="AS250" i="3"/>
  <c r="AT250" i="3"/>
  <c r="AU250" i="3"/>
  <c r="AV250" i="3"/>
  <c r="AW250" i="3"/>
  <c r="AX250" i="3"/>
  <c r="AY250" i="3"/>
  <c r="AZ250" i="3"/>
  <c r="BA250" i="3"/>
  <c r="BB250" i="3"/>
  <c r="BC250" i="3"/>
  <c r="BD250" i="3"/>
  <c r="BE250" i="3"/>
  <c r="BF250" i="3"/>
  <c r="BG250" i="3"/>
  <c r="BH250" i="3"/>
  <c r="BI250" i="3"/>
  <c r="BJ250" i="3"/>
  <c r="BK250" i="3"/>
  <c r="BL250" i="3"/>
  <c r="BM250" i="3"/>
  <c r="BN250" i="3"/>
  <c r="BO250" i="3"/>
  <c r="BP250" i="3"/>
  <c r="BQ250" i="3"/>
  <c r="BR250" i="3"/>
  <c r="BS250" i="3"/>
  <c r="BT250" i="3"/>
  <c r="BU250" i="3"/>
  <c r="BV250" i="3"/>
  <c r="BW250" i="3"/>
  <c r="BX250" i="3"/>
  <c r="BY250" i="3"/>
  <c r="D251" i="3"/>
  <c r="E251" i="3"/>
  <c r="F251" i="3"/>
  <c r="G251" i="3"/>
  <c r="H251" i="3"/>
  <c r="I251" i="3"/>
  <c r="J251" i="3"/>
  <c r="K251" i="3"/>
  <c r="L251" i="3"/>
  <c r="M251" i="3"/>
  <c r="N251" i="3"/>
  <c r="O251" i="3"/>
  <c r="P251" i="3"/>
  <c r="Q251" i="3"/>
  <c r="R251" i="3"/>
  <c r="S251" i="3"/>
  <c r="T251" i="3"/>
  <c r="U251" i="3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AI251" i="3"/>
  <c r="AJ251" i="3"/>
  <c r="AK251" i="3"/>
  <c r="AL251" i="3"/>
  <c r="AM251" i="3"/>
  <c r="AN251" i="3"/>
  <c r="AO251" i="3"/>
  <c r="AP251" i="3"/>
  <c r="AQ251" i="3"/>
  <c r="AR251" i="3"/>
  <c r="AS251" i="3"/>
  <c r="AT251" i="3"/>
  <c r="AU251" i="3"/>
  <c r="AV251" i="3"/>
  <c r="AW251" i="3"/>
  <c r="AX251" i="3"/>
  <c r="AY251" i="3"/>
  <c r="AZ251" i="3"/>
  <c r="BA251" i="3"/>
  <c r="BB251" i="3"/>
  <c r="BC251" i="3"/>
  <c r="BD251" i="3"/>
  <c r="BE251" i="3"/>
  <c r="BF251" i="3"/>
  <c r="BG251" i="3"/>
  <c r="BH251" i="3"/>
  <c r="BI251" i="3"/>
  <c r="BJ251" i="3"/>
  <c r="BK251" i="3"/>
  <c r="BL251" i="3"/>
  <c r="BM251" i="3"/>
  <c r="BN251" i="3"/>
  <c r="BO251" i="3"/>
  <c r="BP251" i="3"/>
  <c r="BQ251" i="3"/>
  <c r="BR251" i="3"/>
  <c r="BS251" i="3"/>
  <c r="BT251" i="3"/>
  <c r="BU251" i="3"/>
  <c r="BV251" i="3"/>
  <c r="BW251" i="3"/>
  <c r="BX251" i="3"/>
  <c r="BY251" i="3"/>
  <c r="D252" i="3"/>
  <c r="E252" i="3"/>
  <c r="F252" i="3"/>
  <c r="G252" i="3"/>
  <c r="H252" i="3"/>
  <c r="I252" i="3"/>
  <c r="J252" i="3"/>
  <c r="K252" i="3"/>
  <c r="L252" i="3"/>
  <c r="M252" i="3"/>
  <c r="N252" i="3"/>
  <c r="O252" i="3"/>
  <c r="P252" i="3"/>
  <c r="Q252" i="3"/>
  <c r="R252" i="3"/>
  <c r="S252" i="3"/>
  <c r="T252" i="3"/>
  <c r="U252" i="3"/>
  <c r="V252" i="3"/>
  <c r="W252" i="3"/>
  <c r="X252" i="3"/>
  <c r="Y252" i="3"/>
  <c r="Z252" i="3"/>
  <c r="AA252" i="3"/>
  <c r="AB252" i="3"/>
  <c r="AC252" i="3"/>
  <c r="AD252" i="3"/>
  <c r="AE252" i="3"/>
  <c r="AF252" i="3"/>
  <c r="AG252" i="3"/>
  <c r="AH252" i="3"/>
  <c r="AI252" i="3"/>
  <c r="AJ252" i="3"/>
  <c r="AK252" i="3"/>
  <c r="AL252" i="3"/>
  <c r="AM252" i="3"/>
  <c r="AN252" i="3"/>
  <c r="AO252" i="3"/>
  <c r="AP252" i="3"/>
  <c r="AQ252" i="3"/>
  <c r="AR252" i="3"/>
  <c r="AS252" i="3"/>
  <c r="AT252" i="3"/>
  <c r="AU252" i="3"/>
  <c r="AV252" i="3"/>
  <c r="AW252" i="3"/>
  <c r="AX252" i="3"/>
  <c r="AY252" i="3"/>
  <c r="AZ252" i="3"/>
  <c r="BA252" i="3"/>
  <c r="BB252" i="3"/>
  <c r="BC252" i="3"/>
  <c r="BD252" i="3"/>
  <c r="BE252" i="3"/>
  <c r="BF252" i="3"/>
  <c r="BG252" i="3"/>
  <c r="BH252" i="3"/>
  <c r="BI252" i="3"/>
  <c r="BJ252" i="3"/>
  <c r="BK252" i="3"/>
  <c r="BL252" i="3"/>
  <c r="BM252" i="3"/>
  <c r="BN252" i="3"/>
  <c r="BO252" i="3"/>
  <c r="BP252" i="3"/>
  <c r="BQ252" i="3"/>
  <c r="BR252" i="3"/>
  <c r="BS252" i="3"/>
  <c r="BT252" i="3"/>
  <c r="BU252" i="3"/>
  <c r="BV252" i="3"/>
  <c r="BW252" i="3"/>
  <c r="BX252" i="3"/>
  <c r="BY252" i="3"/>
  <c r="D253" i="3"/>
  <c r="E253" i="3"/>
  <c r="F253" i="3"/>
  <c r="G253" i="3"/>
  <c r="H253" i="3"/>
  <c r="I253" i="3"/>
  <c r="J253" i="3"/>
  <c r="K253" i="3"/>
  <c r="L253" i="3"/>
  <c r="M253" i="3"/>
  <c r="N253" i="3"/>
  <c r="O253" i="3"/>
  <c r="P253" i="3"/>
  <c r="Q253" i="3"/>
  <c r="R253" i="3"/>
  <c r="S253" i="3"/>
  <c r="T253" i="3"/>
  <c r="U253" i="3"/>
  <c r="V253" i="3"/>
  <c r="W253" i="3"/>
  <c r="X253" i="3"/>
  <c r="Y253" i="3"/>
  <c r="Z253" i="3"/>
  <c r="AA253" i="3"/>
  <c r="AB253" i="3"/>
  <c r="AC253" i="3"/>
  <c r="AD253" i="3"/>
  <c r="AE253" i="3"/>
  <c r="AF253" i="3"/>
  <c r="AG253" i="3"/>
  <c r="AH253" i="3"/>
  <c r="AI253" i="3"/>
  <c r="AJ253" i="3"/>
  <c r="AK253" i="3"/>
  <c r="AL253" i="3"/>
  <c r="AM253" i="3"/>
  <c r="AN253" i="3"/>
  <c r="AO253" i="3"/>
  <c r="AP253" i="3"/>
  <c r="AQ253" i="3"/>
  <c r="AR253" i="3"/>
  <c r="AS253" i="3"/>
  <c r="AT253" i="3"/>
  <c r="AU253" i="3"/>
  <c r="AV253" i="3"/>
  <c r="AW253" i="3"/>
  <c r="AX253" i="3"/>
  <c r="AY253" i="3"/>
  <c r="AZ253" i="3"/>
  <c r="BA253" i="3"/>
  <c r="BB253" i="3"/>
  <c r="BC253" i="3"/>
  <c r="BD253" i="3"/>
  <c r="BE253" i="3"/>
  <c r="BF253" i="3"/>
  <c r="BG253" i="3"/>
  <c r="BH253" i="3"/>
  <c r="BI253" i="3"/>
  <c r="BJ253" i="3"/>
  <c r="BK253" i="3"/>
  <c r="BL253" i="3"/>
  <c r="BM253" i="3"/>
  <c r="BN253" i="3"/>
  <c r="BO253" i="3"/>
  <c r="BP253" i="3"/>
  <c r="BQ253" i="3"/>
  <c r="BR253" i="3"/>
  <c r="BS253" i="3"/>
  <c r="BT253" i="3"/>
  <c r="BU253" i="3"/>
  <c r="BV253" i="3"/>
  <c r="BW253" i="3"/>
  <c r="BX253" i="3"/>
  <c r="BY253" i="3"/>
  <c r="D254" i="3"/>
  <c r="E254" i="3"/>
  <c r="F254" i="3"/>
  <c r="G254" i="3"/>
  <c r="H254" i="3"/>
  <c r="I254" i="3"/>
  <c r="J254" i="3"/>
  <c r="K254" i="3"/>
  <c r="L254" i="3"/>
  <c r="M254" i="3"/>
  <c r="N254" i="3"/>
  <c r="O254" i="3"/>
  <c r="P254" i="3"/>
  <c r="Q254" i="3"/>
  <c r="R254" i="3"/>
  <c r="S254" i="3"/>
  <c r="T254" i="3"/>
  <c r="U254" i="3"/>
  <c r="V254" i="3"/>
  <c r="W254" i="3"/>
  <c r="X254" i="3"/>
  <c r="Y254" i="3"/>
  <c r="Z254" i="3"/>
  <c r="AA254" i="3"/>
  <c r="AB254" i="3"/>
  <c r="AC254" i="3"/>
  <c r="AD254" i="3"/>
  <c r="AE254" i="3"/>
  <c r="AF254" i="3"/>
  <c r="AG254" i="3"/>
  <c r="AH254" i="3"/>
  <c r="AI254" i="3"/>
  <c r="AJ254" i="3"/>
  <c r="AK254" i="3"/>
  <c r="AL254" i="3"/>
  <c r="AM254" i="3"/>
  <c r="AN254" i="3"/>
  <c r="AO254" i="3"/>
  <c r="AP254" i="3"/>
  <c r="AQ254" i="3"/>
  <c r="AR254" i="3"/>
  <c r="AS254" i="3"/>
  <c r="AT254" i="3"/>
  <c r="AU254" i="3"/>
  <c r="AV254" i="3"/>
  <c r="AW254" i="3"/>
  <c r="AX254" i="3"/>
  <c r="AY254" i="3"/>
  <c r="AZ254" i="3"/>
  <c r="BA254" i="3"/>
  <c r="BB254" i="3"/>
  <c r="BC254" i="3"/>
  <c r="BD254" i="3"/>
  <c r="BE254" i="3"/>
  <c r="BF254" i="3"/>
  <c r="BG254" i="3"/>
  <c r="BH254" i="3"/>
  <c r="BI254" i="3"/>
  <c r="BJ254" i="3"/>
  <c r="BK254" i="3"/>
  <c r="BL254" i="3"/>
  <c r="BM254" i="3"/>
  <c r="BN254" i="3"/>
  <c r="BO254" i="3"/>
  <c r="BP254" i="3"/>
  <c r="BQ254" i="3"/>
  <c r="BR254" i="3"/>
  <c r="BS254" i="3"/>
  <c r="BT254" i="3"/>
  <c r="BU254" i="3"/>
  <c r="BV254" i="3"/>
  <c r="BW254" i="3"/>
  <c r="BX254" i="3"/>
  <c r="BY254" i="3"/>
  <c r="D255" i="3"/>
  <c r="E255" i="3"/>
  <c r="F255" i="3"/>
  <c r="G255" i="3"/>
  <c r="H255" i="3"/>
  <c r="I255" i="3"/>
  <c r="J255" i="3"/>
  <c r="K255" i="3"/>
  <c r="L255" i="3"/>
  <c r="M255" i="3"/>
  <c r="N255" i="3"/>
  <c r="O255" i="3"/>
  <c r="P255" i="3"/>
  <c r="Q255" i="3"/>
  <c r="R255" i="3"/>
  <c r="S255" i="3"/>
  <c r="T255" i="3"/>
  <c r="U255" i="3"/>
  <c r="V255" i="3"/>
  <c r="W255" i="3"/>
  <c r="X255" i="3"/>
  <c r="Y255" i="3"/>
  <c r="Z255" i="3"/>
  <c r="AA255" i="3"/>
  <c r="AB255" i="3"/>
  <c r="AC255" i="3"/>
  <c r="AD255" i="3"/>
  <c r="AE255" i="3"/>
  <c r="AF255" i="3"/>
  <c r="AG255" i="3"/>
  <c r="AH255" i="3"/>
  <c r="AI255" i="3"/>
  <c r="AJ255" i="3"/>
  <c r="AK255" i="3"/>
  <c r="AL255" i="3"/>
  <c r="AM255" i="3"/>
  <c r="AN255" i="3"/>
  <c r="AO255" i="3"/>
  <c r="AP255" i="3"/>
  <c r="AQ255" i="3"/>
  <c r="AR255" i="3"/>
  <c r="AS255" i="3"/>
  <c r="AT255" i="3"/>
  <c r="AU255" i="3"/>
  <c r="AV255" i="3"/>
  <c r="AW255" i="3"/>
  <c r="AX255" i="3"/>
  <c r="AY255" i="3"/>
  <c r="AZ255" i="3"/>
  <c r="BA255" i="3"/>
  <c r="BB255" i="3"/>
  <c r="BC255" i="3"/>
  <c r="BD255" i="3"/>
  <c r="BE255" i="3"/>
  <c r="BF255" i="3"/>
  <c r="BG255" i="3"/>
  <c r="BH255" i="3"/>
  <c r="BI255" i="3"/>
  <c r="BJ255" i="3"/>
  <c r="BK255" i="3"/>
  <c r="BL255" i="3"/>
  <c r="BM255" i="3"/>
  <c r="BN255" i="3"/>
  <c r="BO255" i="3"/>
  <c r="BP255" i="3"/>
  <c r="BQ255" i="3"/>
  <c r="BR255" i="3"/>
  <c r="BS255" i="3"/>
  <c r="BT255" i="3"/>
  <c r="BU255" i="3"/>
  <c r="BV255" i="3"/>
  <c r="BW255" i="3"/>
  <c r="BX255" i="3"/>
  <c r="BY255" i="3"/>
  <c r="D256" i="3"/>
  <c r="E256" i="3"/>
  <c r="F256" i="3"/>
  <c r="G256" i="3"/>
  <c r="H256" i="3"/>
  <c r="I256" i="3"/>
  <c r="J256" i="3"/>
  <c r="K256" i="3"/>
  <c r="L256" i="3"/>
  <c r="M256" i="3"/>
  <c r="N256" i="3"/>
  <c r="O256" i="3"/>
  <c r="P256" i="3"/>
  <c r="Q256" i="3"/>
  <c r="R256" i="3"/>
  <c r="S256" i="3"/>
  <c r="T256" i="3"/>
  <c r="U256" i="3"/>
  <c r="V256" i="3"/>
  <c r="W256" i="3"/>
  <c r="X256" i="3"/>
  <c r="Y256" i="3"/>
  <c r="Z256" i="3"/>
  <c r="AA256" i="3"/>
  <c r="AB256" i="3"/>
  <c r="AC256" i="3"/>
  <c r="AD256" i="3"/>
  <c r="AE256" i="3"/>
  <c r="AF256" i="3"/>
  <c r="AG256" i="3"/>
  <c r="AH256" i="3"/>
  <c r="AI256" i="3"/>
  <c r="AJ256" i="3"/>
  <c r="AK256" i="3"/>
  <c r="AL256" i="3"/>
  <c r="AM256" i="3"/>
  <c r="AN256" i="3"/>
  <c r="AO256" i="3"/>
  <c r="AP256" i="3"/>
  <c r="AQ256" i="3"/>
  <c r="AR256" i="3"/>
  <c r="AS256" i="3"/>
  <c r="AT256" i="3"/>
  <c r="AU256" i="3"/>
  <c r="AV256" i="3"/>
  <c r="AW256" i="3"/>
  <c r="AX256" i="3"/>
  <c r="AY256" i="3"/>
  <c r="AZ256" i="3"/>
  <c r="BA256" i="3"/>
  <c r="BB256" i="3"/>
  <c r="BC256" i="3"/>
  <c r="BD256" i="3"/>
  <c r="BE256" i="3"/>
  <c r="BF256" i="3"/>
  <c r="BG256" i="3"/>
  <c r="BH256" i="3"/>
  <c r="BI256" i="3"/>
  <c r="BJ256" i="3"/>
  <c r="BK256" i="3"/>
  <c r="BL256" i="3"/>
  <c r="BM256" i="3"/>
  <c r="BN256" i="3"/>
  <c r="BO256" i="3"/>
  <c r="BP256" i="3"/>
  <c r="BQ256" i="3"/>
  <c r="BR256" i="3"/>
  <c r="BS256" i="3"/>
  <c r="BT256" i="3"/>
  <c r="BU256" i="3"/>
  <c r="BV256" i="3"/>
  <c r="BW256" i="3"/>
  <c r="BX256" i="3"/>
  <c r="BY256" i="3"/>
  <c r="D257" i="3"/>
  <c r="E257" i="3"/>
  <c r="F257" i="3"/>
  <c r="G257" i="3"/>
  <c r="H257" i="3"/>
  <c r="I257" i="3"/>
  <c r="J257" i="3"/>
  <c r="K257" i="3"/>
  <c r="L257" i="3"/>
  <c r="M257" i="3"/>
  <c r="N257" i="3"/>
  <c r="O257" i="3"/>
  <c r="P257" i="3"/>
  <c r="Q257" i="3"/>
  <c r="R257" i="3"/>
  <c r="S257" i="3"/>
  <c r="T257" i="3"/>
  <c r="U257" i="3"/>
  <c r="V257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AI257" i="3"/>
  <c r="AJ257" i="3"/>
  <c r="AK257" i="3"/>
  <c r="AL257" i="3"/>
  <c r="AM257" i="3"/>
  <c r="AN257" i="3"/>
  <c r="AO257" i="3"/>
  <c r="AP257" i="3"/>
  <c r="AQ257" i="3"/>
  <c r="AR257" i="3"/>
  <c r="AS257" i="3"/>
  <c r="AT257" i="3"/>
  <c r="AU257" i="3"/>
  <c r="AV257" i="3"/>
  <c r="AW257" i="3"/>
  <c r="AX257" i="3"/>
  <c r="AY257" i="3"/>
  <c r="AZ257" i="3"/>
  <c r="BA257" i="3"/>
  <c r="BB257" i="3"/>
  <c r="BC257" i="3"/>
  <c r="BD257" i="3"/>
  <c r="BE257" i="3"/>
  <c r="BF257" i="3"/>
  <c r="BG257" i="3"/>
  <c r="BH257" i="3"/>
  <c r="BI257" i="3"/>
  <c r="BJ257" i="3"/>
  <c r="BK257" i="3"/>
  <c r="BL257" i="3"/>
  <c r="BM257" i="3"/>
  <c r="BN257" i="3"/>
  <c r="BO257" i="3"/>
  <c r="BP257" i="3"/>
  <c r="BQ257" i="3"/>
  <c r="BR257" i="3"/>
  <c r="BS257" i="3"/>
  <c r="BT257" i="3"/>
  <c r="BU257" i="3"/>
  <c r="BV257" i="3"/>
  <c r="BW257" i="3"/>
  <c r="BX257" i="3"/>
  <c r="BY257" i="3"/>
  <c r="D258" i="3"/>
  <c r="E258" i="3"/>
  <c r="F258" i="3"/>
  <c r="G258" i="3"/>
  <c r="H258" i="3"/>
  <c r="I258" i="3"/>
  <c r="J258" i="3"/>
  <c r="K258" i="3"/>
  <c r="L258" i="3"/>
  <c r="M258" i="3"/>
  <c r="N258" i="3"/>
  <c r="O258" i="3"/>
  <c r="P258" i="3"/>
  <c r="Q258" i="3"/>
  <c r="R258" i="3"/>
  <c r="S258" i="3"/>
  <c r="T258" i="3"/>
  <c r="U258" i="3"/>
  <c r="V258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AI258" i="3"/>
  <c r="AJ258" i="3"/>
  <c r="AK258" i="3"/>
  <c r="AL258" i="3"/>
  <c r="AM258" i="3"/>
  <c r="AN258" i="3"/>
  <c r="AO258" i="3"/>
  <c r="AP258" i="3"/>
  <c r="AQ258" i="3"/>
  <c r="AR258" i="3"/>
  <c r="AS258" i="3"/>
  <c r="AT258" i="3"/>
  <c r="AU258" i="3"/>
  <c r="AV258" i="3"/>
  <c r="AW258" i="3"/>
  <c r="AX258" i="3"/>
  <c r="AY258" i="3"/>
  <c r="AZ258" i="3"/>
  <c r="BA258" i="3"/>
  <c r="BB258" i="3"/>
  <c r="BC258" i="3"/>
  <c r="BD258" i="3"/>
  <c r="BE258" i="3"/>
  <c r="BF258" i="3"/>
  <c r="BG258" i="3"/>
  <c r="BH258" i="3"/>
  <c r="BI258" i="3"/>
  <c r="BJ258" i="3"/>
  <c r="BK258" i="3"/>
  <c r="BL258" i="3"/>
  <c r="BM258" i="3"/>
  <c r="BN258" i="3"/>
  <c r="BO258" i="3"/>
  <c r="BP258" i="3"/>
  <c r="BQ258" i="3"/>
  <c r="BR258" i="3"/>
  <c r="BS258" i="3"/>
  <c r="BT258" i="3"/>
  <c r="BU258" i="3"/>
  <c r="BV258" i="3"/>
  <c r="BW258" i="3"/>
  <c r="BX258" i="3"/>
  <c r="BY258" i="3"/>
  <c r="D259" i="3"/>
  <c r="E259" i="3"/>
  <c r="F259" i="3"/>
  <c r="G259" i="3"/>
  <c r="H259" i="3"/>
  <c r="I259" i="3"/>
  <c r="J259" i="3"/>
  <c r="K259" i="3"/>
  <c r="L259" i="3"/>
  <c r="M259" i="3"/>
  <c r="N259" i="3"/>
  <c r="O259" i="3"/>
  <c r="P259" i="3"/>
  <c r="Q259" i="3"/>
  <c r="R259" i="3"/>
  <c r="S259" i="3"/>
  <c r="T259" i="3"/>
  <c r="U259" i="3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AI259" i="3"/>
  <c r="AJ259" i="3"/>
  <c r="AK259" i="3"/>
  <c r="AL259" i="3"/>
  <c r="AM259" i="3"/>
  <c r="AN259" i="3"/>
  <c r="AO259" i="3"/>
  <c r="AP259" i="3"/>
  <c r="AQ259" i="3"/>
  <c r="AR259" i="3"/>
  <c r="AS259" i="3"/>
  <c r="AT259" i="3"/>
  <c r="AU259" i="3"/>
  <c r="AV259" i="3"/>
  <c r="AW259" i="3"/>
  <c r="AX259" i="3"/>
  <c r="AY259" i="3"/>
  <c r="AZ259" i="3"/>
  <c r="BA259" i="3"/>
  <c r="BB259" i="3"/>
  <c r="BC259" i="3"/>
  <c r="BD259" i="3"/>
  <c r="BE259" i="3"/>
  <c r="BF259" i="3"/>
  <c r="BG259" i="3"/>
  <c r="BH259" i="3"/>
  <c r="BI259" i="3"/>
  <c r="BJ259" i="3"/>
  <c r="BK259" i="3"/>
  <c r="BL259" i="3"/>
  <c r="BM259" i="3"/>
  <c r="BN259" i="3"/>
  <c r="BO259" i="3"/>
  <c r="BP259" i="3"/>
  <c r="BQ259" i="3"/>
  <c r="BR259" i="3"/>
  <c r="BS259" i="3"/>
  <c r="BT259" i="3"/>
  <c r="BU259" i="3"/>
  <c r="BV259" i="3"/>
  <c r="BW259" i="3"/>
  <c r="BX259" i="3"/>
  <c r="BY259" i="3"/>
  <c r="D260" i="3"/>
  <c r="E260" i="3"/>
  <c r="F260" i="3"/>
  <c r="G260" i="3"/>
  <c r="H260" i="3"/>
  <c r="I260" i="3"/>
  <c r="J260" i="3"/>
  <c r="K260" i="3"/>
  <c r="L260" i="3"/>
  <c r="M260" i="3"/>
  <c r="N260" i="3"/>
  <c r="O260" i="3"/>
  <c r="P260" i="3"/>
  <c r="Q260" i="3"/>
  <c r="R260" i="3"/>
  <c r="S260" i="3"/>
  <c r="T260" i="3"/>
  <c r="U260" i="3"/>
  <c r="V260" i="3"/>
  <c r="W260" i="3"/>
  <c r="X260" i="3"/>
  <c r="Y260" i="3"/>
  <c r="Z260" i="3"/>
  <c r="AA260" i="3"/>
  <c r="AB260" i="3"/>
  <c r="AC260" i="3"/>
  <c r="AD260" i="3"/>
  <c r="AE260" i="3"/>
  <c r="AF260" i="3"/>
  <c r="AG260" i="3"/>
  <c r="AH260" i="3"/>
  <c r="AI260" i="3"/>
  <c r="AJ260" i="3"/>
  <c r="AK260" i="3"/>
  <c r="AL260" i="3"/>
  <c r="AM260" i="3"/>
  <c r="AN260" i="3"/>
  <c r="AO260" i="3"/>
  <c r="AP260" i="3"/>
  <c r="AQ260" i="3"/>
  <c r="AR260" i="3"/>
  <c r="AS260" i="3"/>
  <c r="AT260" i="3"/>
  <c r="AU260" i="3"/>
  <c r="AV260" i="3"/>
  <c r="AW260" i="3"/>
  <c r="AX260" i="3"/>
  <c r="AY260" i="3"/>
  <c r="AZ260" i="3"/>
  <c r="BA260" i="3"/>
  <c r="BB260" i="3"/>
  <c r="BC260" i="3"/>
  <c r="BD260" i="3"/>
  <c r="BE260" i="3"/>
  <c r="BF260" i="3"/>
  <c r="BG260" i="3"/>
  <c r="BH260" i="3"/>
  <c r="BI260" i="3"/>
  <c r="BJ260" i="3"/>
  <c r="BK260" i="3"/>
  <c r="BL260" i="3"/>
  <c r="BM260" i="3"/>
  <c r="BN260" i="3"/>
  <c r="BO260" i="3"/>
  <c r="BP260" i="3"/>
  <c r="BQ260" i="3"/>
  <c r="BR260" i="3"/>
  <c r="BS260" i="3"/>
  <c r="BT260" i="3"/>
  <c r="BU260" i="3"/>
  <c r="BV260" i="3"/>
  <c r="BW260" i="3"/>
  <c r="BX260" i="3"/>
  <c r="BY260" i="3"/>
  <c r="D261" i="3"/>
  <c r="E261" i="3"/>
  <c r="F261" i="3"/>
  <c r="G261" i="3"/>
  <c r="H261" i="3"/>
  <c r="I261" i="3"/>
  <c r="J261" i="3"/>
  <c r="K261" i="3"/>
  <c r="L261" i="3"/>
  <c r="M261" i="3"/>
  <c r="N261" i="3"/>
  <c r="O261" i="3"/>
  <c r="P261" i="3"/>
  <c r="Q261" i="3"/>
  <c r="R261" i="3"/>
  <c r="S261" i="3"/>
  <c r="T261" i="3"/>
  <c r="U261" i="3"/>
  <c r="V261" i="3"/>
  <c r="W261" i="3"/>
  <c r="X261" i="3"/>
  <c r="Y261" i="3"/>
  <c r="Z261" i="3"/>
  <c r="AA261" i="3"/>
  <c r="AB261" i="3"/>
  <c r="AC261" i="3"/>
  <c r="AD261" i="3"/>
  <c r="AE261" i="3"/>
  <c r="AF261" i="3"/>
  <c r="AG261" i="3"/>
  <c r="AH261" i="3"/>
  <c r="AI261" i="3"/>
  <c r="AJ261" i="3"/>
  <c r="AK261" i="3"/>
  <c r="AL261" i="3"/>
  <c r="AM261" i="3"/>
  <c r="AN261" i="3"/>
  <c r="AO261" i="3"/>
  <c r="AP261" i="3"/>
  <c r="AQ261" i="3"/>
  <c r="AR261" i="3"/>
  <c r="AS261" i="3"/>
  <c r="AT261" i="3"/>
  <c r="AU261" i="3"/>
  <c r="AV261" i="3"/>
  <c r="AW261" i="3"/>
  <c r="AX261" i="3"/>
  <c r="AY261" i="3"/>
  <c r="AZ261" i="3"/>
  <c r="BA261" i="3"/>
  <c r="BB261" i="3"/>
  <c r="BC261" i="3"/>
  <c r="BD261" i="3"/>
  <c r="BE261" i="3"/>
  <c r="BF261" i="3"/>
  <c r="BG261" i="3"/>
  <c r="BH261" i="3"/>
  <c r="BI261" i="3"/>
  <c r="BJ261" i="3"/>
  <c r="BK261" i="3"/>
  <c r="BL261" i="3"/>
  <c r="BM261" i="3"/>
  <c r="BN261" i="3"/>
  <c r="BO261" i="3"/>
  <c r="BP261" i="3"/>
  <c r="BQ261" i="3"/>
  <c r="BR261" i="3"/>
  <c r="BS261" i="3"/>
  <c r="BT261" i="3"/>
  <c r="BU261" i="3"/>
  <c r="BV261" i="3"/>
  <c r="BW261" i="3"/>
  <c r="BX261" i="3"/>
  <c r="BY261" i="3"/>
  <c r="D262" i="3"/>
  <c r="E262" i="3"/>
  <c r="F262" i="3"/>
  <c r="G262" i="3"/>
  <c r="H262" i="3"/>
  <c r="I262" i="3"/>
  <c r="J262" i="3"/>
  <c r="K262" i="3"/>
  <c r="L262" i="3"/>
  <c r="M262" i="3"/>
  <c r="N262" i="3"/>
  <c r="O262" i="3"/>
  <c r="P262" i="3"/>
  <c r="Q262" i="3"/>
  <c r="R262" i="3"/>
  <c r="S262" i="3"/>
  <c r="T262" i="3"/>
  <c r="U262" i="3"/>
  <c r="V262" i="3"/>
  <c r="W262" i="3"/>
  <c r="X262" i="3"/>
  <c r="Y262" i="3"/>
  <c r="Z262" i="3"/>
  <c r="AA262" i="3"/>
  <c r="AB262" i="3"/>
  <c r="AC262" i="3"/>
  <c r="AD262" i="3"/>
  <c r="AE262" i="3"/>
  <c r="AF262" i="3"/>
  <c r="AG262" i="3"/>
  <c r="AH262" i="3"/>
  <c r="AI262" i="3"/>
  <c r="AJ262" i="3"/>
  <c r="AK262" i="3"/>
  <c r="AL262" i="3"/>
  <c r="AM262" i="3"/>
  <c r="AN262" i="3"/>
  <c r="AO262" i="3"/>
  <c r="AP262" i="3"/>
  <c r="AQ262" i="3"/>
  <c r="AR262" i="3"/>
  <c r="AS262" i="3"/>
  <c r="AT262" i="3"/>
  <c r="AU262" i="3"/>
  <c r="AV262" i="3"/>
  <c r="AW262" i="3"/>
  <c r="AX262" i="3"/>
  <c r="AY262" i="3"/>
  <c r="AZ262" i="3"/>
  <c r="BA262" i="3"/>
  <c r="BB262" i="3"/>
  <c r="BC262" i="3"/>
  <c r="BD262" i="3"/>
  <c r="BE262" i="3"/>
  <c r="BF262" i="3"/>
  <c r="BG262" i="3"/>
  <c r="BH262" i="3"/>
  <c r="BI262" i="3"/>
  <c r="BJ262" i="3"/>
  <c r="BK262" i="3"/>
  <c r="BL262" i="3"/>
  <c r="BM262" i="3"/>
  <c r="BN262" i="3"/>
  <c r="BO262" i="3"/>
  <c r="BP262" i="3"/>
  <c r="BQ262" i="3"/>
  <c r="BR262" i="3"/>
  <c r="BS262" i="3"/>
  <c r="BT262" i="3"/>
  <c r="BU262" i="3"/>
  <c r="BV262" i="3"/>
  <c r="BW262" i="3"/>
  <c r="BX262" i="3"/>
  <c r="BY262" i="3"/>
  <c r="D263" i="3"/>
  <c r="E263" i="3"/>
  <c r="F263" i="3"/>
  <c r="G263" i="3"/>
  <c r="H263" i="3"/>
  <c r="I263" i="3"/>
  <c r="J263" i="3"/>
  <c r="K263" i="3"/>
  <c r="L263" i="3"/>
  <c r="M263" i="3"/>
  <c r="N263" i="3"/>
  <c r="O263" i="3"/>
  <c r="P263" i="3"/>
  <c r="Q263" i="3"/>
  <c r="R263" i="3"/>
  <c r="S263" i="3"/>
  <c r="T263" i="3"/>
  <c r="U263" i="3"/>
  <c r="V263" i="3"/>
  <c r="W263" i="3"/>
  <c r="X263" i="3"/>
  <c r="Y263" i="3"/>
  <c r="Z263" i="3"/>
  <c r="AA263" i="3"/>
  <c r="AB263" i="3"/>
  <c r="AC263" i="3"/>
  <c r="AD263" i="3"/>
  <c r="AE263" i="3"/>
  <c r="AF263" i="3"/>
  <c r="AG263" i="3"/>
  <c r="AH263" i="3"/>
  <c r="AI263" i="3"/>
  <c r="AJ263" i="3"/>
  <c r="AK263" i="3"/>
  <c r="AL263" i="3"/>
  <c r="AM263" i="3"/>
  <c r="AN263" i="3"/>
  <c r="AO263" i="3"/>
  <c r="AP263" i="3"/>
  <c r="AQ263" i="3"/>
  <c r="AR263" i="3"/>
  <c r="AS263" i="3"/>
  <c r="AT263" i="3"/>
  <c r="AU263" i="3"/>
  <c r="AV263" i="3"/>
  <c r="AW263" i="3"/>
  <c r="AX263" i="3"/>
  <c r="AY263" i="3"/>
  <c r="AZ263" i="3"/>
  <c r="BA263" i="3"/>
  <c r="BB263" i="3"/>
  <c r="BC263" i="3"/>
  <c r="BD263" i="3"/>
  <c r="BE263" i="3"/>
  <c r="BF263" i="3"/>
  <c r="BG263" i="3"/>
  <c r="BH263" i="3"/>
  <c r="BI263" i="3"/>
  <c r="BJ263" i="3"/>
  <c r="BK263" i="3"/>
  <c r="BL263" i="3"/>
  <c r="BM263" i="3"/>
  <c r="BN263" i="3"/>
  <c r="BO263" i="3"/>
  <c r="BP263" i="3"/>
  <c r="BQ263" i="3"/>
  <c r="BR263" i="3"/>
  <c r="BS263" i="3"/>
  <c r="BT263" i="3"/>
  <c r="BU263" i="3"/>
  <c r="BV263" i="3"/>
  <c r="BW263" i="3"/>
  <c r="BX263" i="3"/>
  <c r="BY263" i="3"/>
  <c r="D264" i="3"/>
  <c r="E264" i="3"/>
  <c r="F264" i="3"/>
  <c r="G264" i="3"/>
  <c r="H264" i="3"/>
  <c r="I264" i="3"/>
  <c r="J264" i="3"/>
  <c r="K264" i="3"/>
  <c r="L264" i="3"/>
  <c r="M264" i="3"/>
  <c r="N264" i="3"/>
  <c r="O264" i="3"/>
  <c r="P264" i="3"/>
  <c r="Q264" i="3"/>
  <c r="R264" i="3"/>
  <c r="S264" i="3"/>
  <c r="T264" i="3"/>
  <c r="U264" i="3"/>
  <c r="V264" i="3"/>
  <c r="W264" i="3"/>
  <c r="X264" i="3"/>
  <c r="Y264" i="3"/>
  <c r="Z264" i="3"/>
  <c r="AA264" i="3"/>
  <c r="AB264" i="3"/>
  <c r="AC264" i="3"/>
  <c r="AD264" i="3"/>
  <c r="AE264" i="3"/>
  <c r="AF264" i="3"/>
  <c r="AG264" i="3"/>
  <c r="AH264" i="3"/>
  <c r="AI264" i="3"/>
  <c r="AJ264" i="3"/>
  <c r="AK264" i="3"/>
  <c r="AL264" i="3"/>
  <c r="AM264" i="3"/>
  <c r="AN264" i="3"/>
  <c r="AO264" i="3"/>
  <c r="AP264" i="3"/>
  <c r="AQ264" i="3"/>
  <c r="AR264" i="3"/>
  <c r="AS264" i="3"/>
  <c r="AT264" i="3"/>
  <c r="AU264" i="3"/>
  <c r="AV264" i="3"/>
  <c r="AW264" i="3"/>
  <c r="AX264" i="3"/>
  <c r="AY264" i="3"/>
  <c r="AZ264" i="3"/>
  <c r="BA264" i="3"/>
  <c r="BB264" i="3"/>
  <c r="BC264" i="3"/>
  <c r="BD264" i="3"/>
  <c r="BE264" i="3"/>
  <c r="BF264" i="3"/>
  <c r="BG264" i="3"/>
  <c r="BH264" i="3"/>
  <c r="BI264" i="3"/>
  <c r="BJ264" i="3"/>
  <c r="BK264" i="3"/>
  <c r="BL264" i="3"/>
  <c r="BM264" i="3"/>
  <c r="BN264" i="3"/>
  <c r="BO264" i="3"/>
  <c r="BP264" i="3"/>
  <c r="BQ264" i="3"/>
  <c r="BR264" i="3"/>
  <c r="BS264" i="3"/>
  <c r="BT264" i="3"/>
  <c r="BU264" i="3"/>
  <c r="BV264" i="3"/>
  <c r="BW264" i="3"/>
  <c r="BX264" i="3"/>
  <c r="BY264" i="3"/>
  <c r="D265" i="3"/>
  <c r="E265" i="3"/>
  <c r="F265" i="3"/>
  <c r="G265" i="3"/>
  <c r="H265" i="3"/>
  <c r="I265" i="3"/>
  <c r="J265" i="3"/>
  <c r="K265" i="3"/>
  <c r="L265" i="3"/>
  <c r="M265" i="3"/>
  <c r="N265" i="3"/>
  <c r="O265" i="3"/>
  <c r="P265" i="3"/>
  <c r="Q265" i="3"/>
  <c r="R265" i="3"/>
  <c r="S265" i="3"/>
  <c r="T265" i="3"/>
  <c r="U265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AI265" i="3"/>
  <c r="AJ265" i="3"/>
  <c r="AK265" i="3"/>
  <c r="AL265" i="3"/>
  <c r="AM265" i="3"/>
  <c r="AN265" i="3"/>
  <c r="AO265" i="3"/>
  <c r="AP265" i="3"/>
  <c r="AQ265" i="3"/>
  <c r="AR265" i="3"/>
  <c r="AS265" i="3"/>
  <c r="AT265" i="3"/>
  <c r="AU265" i="3"/>
  <c r="AV265" i="3"/>
  <c r="AW265" i="3"/>
  <c r="AX265" i="3"/>
  <c r="AY265" i="3"/>
  <c r="AZ265" i="3"/>
  <c r="BA265" i="3"/>
  <c r="BB265" i="3"/>
  <c r="BC265" i="3"/>
  <c r="BD265" i="3"/>
  <c r="BE265" i="3"/>
  <c r="BF265" i="3"/>
  <c r="BG265" i="3"/>
  <c r="BH265" i="3"/>
  <c r="BI265" i="3"/>
  <c r="BJ265" i="3"/>
  <c r="BK265" i="3"/>
  <c r="BL265" i="3"/>
  <c r="BM265" i="3"/>
  <c r="BN265" i="3"/>
  <c r="BO265" i="3"/>
  <c r="BP265" i="3"/>
  <c r="BQ265" i="3"/>
  <c r="BR265" i="3"/>
  <c r="BS265" i="3"/>
  <c r="BT265" i="3"/>
  <c r="BU265" i="3"/>
  <c r="BV265" i="3"/>
  <c r="BW265" i="3"/>
  <c r="BX265" i="3"/>
  <c r="BY265" i="3"/>
  <c r="D266" i="3"/>
  <c r="E266" i="3"/>
  <c r="F266" i="3"/>
  <c r="G266" i="3"/>
  <c r="H266" i="3"/>
  <c r="I266" i="3"/>
  <c r="J266" i="3"/>
  <c r="K266" i="3"/>
  <c r="L266" i="3"/>
  <c r="M266" i="3"/>
  <c r="N266" i="3"/>
  <c r="O266" i="3"/>
  <c r="P266" i="3"/>
  <c r="Q266" i="3"/>
  <c r="R266" i="3"/>
  <c r="S266" i="3"/>
  <c r="T266" i="3"/>
  <c r="U266" i="3"/>
  <c r="V266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AI266" i="3"/>
  <c r="AJ266" i="3"/>
  <c r="AK266" i="3"/>
  <c r="AL266" i="3"/>
  <c r="AM266" i="3"/>
  <c r="AN266" i="3"/>
  <c r="AO266" i="3"/>
  <c r="AP266" i="3"/>
  <c r="AQ266" i="3"/>
  <c r="AR266" i="3"/>
  <c r="AS266" i="3"/>
  <c r="AT266" i="3"/>
  <c r="AU266" i="3"/>
  <c r="AV266" i="3"/>
  <c r="AW266" i="3"/>
  <c r="AX266" i="3"/>
  <c r="AY266" i="3"/>
  <c r="AZ266" i="3"/>
  <c r="BA266" i="3"/>
  <c r="BB266" i="3"/>
  <c r="BC266" i="3"/>
  <c r="BD266" i="3"/>
  <c r="BE266" i="3"/>
  <c r="BF266" i="3"/>
  <c r="BG266" i="3"/>
  <c r="BH266" i="3"/>
  <c r="BI266" i="3"/>
  <c r="BJ266" i="3"/>
  <c r="BK266" i="3"/>
  <c r="BL266" i="3"/>
  <c r="BM266" i="3"/>
  <c r="BN266" i="3"/>
  <c r="BO266" i="3"/>
  <c r="BP266" i="3"/>
  <c r="BQ266" i="3"/>
  <c r="BR266" i="3"/>
  <c r="BS266" i="3"/>
  <c r="BT266" i="3"/>
  <c r="BU266" i="3"/>
  <c r="BV266" i="3"/>
  <c r="BW266" i="3"/>
  <c r="BX266" i="3"/>
  <c r="BY266" i="3"/>
  <c r="D267" i="3"/>
  <c r="E267" i="3"/>
  <c r="F267" i="3"/>
  <c r="G267" i="3"/>
  <c r="H267" i="3"/>
  <c r="I267" i="3"/>
  <c r="J267" i="3"/>
  <c r="K267" i="3"/>
  <c r="L267" i="3"/>
  <c r="M267" i="3"/>
  <c r="N267" i="3"/>
  <c r="O267" i="3"/>
  <c r="P267" i="3"/>
  <c r="Q267" i="3"/>
  <c r="R267" i="3"/>
  <c r="S267" i="3"/>
  <c r="T267" i="3"/>
  <c r="U267" i="3"/>
  <c r="V267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AI267" i="3"/>
  <c r="AJ267" i="3"/>
  <c r="AK267" i="3"/>
  <c r="AL267" i="3"/>
  <c r="AM267" i="3"/>
  <c r="AN267" i="3"/>
  <c r="AO267" i="3"/>
  <c r="AP267" i="3"/>
  <c r="AQ267" i="3"/>
  <c r="AR267" i="3"/>
  <c r="AS267" i="3"/>
  <c r="AT267" i="3"/>
  <c r="AU267" i="3"/>
  <c r="AV267" i="3"/>
  <c r="AW267" i="3"/>
  <c r="AX267" i="3"/>
  <c r="AY267" i="3"/>
  <c r="AZ267" i="3"/>
  <c r="BA267" i="3"/>
  <c r="BB267" i="3"/>
  <c r="BC267" i="3"/>
  <c r="BD267" i="3"/>
  <c r="BE267" i="3"/>
  <c r="BF267" i="3"/>
  <c r="BG267" i="3"/>
  <c r="BH267" i="3"/>
  <c r="BI267" i="3"/>
  <c r="BJ267" i="3"/>
  <c r="BK267" i="3"/>
  <c r="BL267" i="3"/>
  <c r="BM267" i="3"/>
  <c r="BN267" i="3"/>
  <c r="BO267" i="3"/>
  <c r="BP267" i="3"/>
  <c r="BQ267" i="3"/>
  <c r="BR267" i="3"/>
  <c r="BS267" i="3"/>
  <c r="BT267" i="3"/>
  <c r="BU267" i="3"/>
  <c r="BV267" i="3"/>
  <c r="BW267" i="3"/>
  <c r="BX267" i="3"/>
  <c r="BY267" i="3"/>
  <c r="D268" i="3"/>
  <c r="E268" i="3"/>
  <c r="F268" i="3"/>
  <c r="G268" i="3"/>
  <c r="H268" i="3"/>
  <c r="I268" i="3"/>
  <c r="J268" i="3"/>
  <c r="K268" i="3"/>
  <c r="L268" i="3"/>
  <c r="M268" i="3"/>
  <c r="N268" i="3"/>
  <c r="O268" i="3"/>
  <c r="P268" i="3"/>
  <c r="Q268" i="3"/>
  <c r="R268" i="3"/>
  <c r="S268" i="3"/>
  <c r="T268" i="3"/>
  <c r="U268" i="3"/>
  <c r="V268" i="3"/>
  <c r="W268" i="3"/>
  <c r="X268" i="3"/>
  <c r="Y268" i="3"/>
  <c r="Z268" i="3"/>
  <c r="AA268" i="3"/>
  <c r="AB268" i="3"/>
  <c r="AC268" i="3"/>
  <c r="AD268" i="3"/>
  <c r="AE268" i="3"/>
  <c r="AF268" i="3"/>
  <c r="AG268" i="3"/>
  <c r="AH268" i="3"/>
  <c r="AI268" i="3"/>
  <c r="AJ268" i="3"/>
  <c r="AK268" i="3"/>
  <c r="AL268" i="3"/>
  <c r="AM268" i="3"/>
  <c r="AN268" i="3"/>
  <c r="AO268" i="3"/>
  <c r="AP268" i="3"/>
  <c r="AQ268" i="3"/>
  <c r="AR268" i="3"/>
  <c r="AS268" i="3"/>
  <c r="AT268" i="3"/>
  <c r="AU268" i="3"/>
  <c r="AV268" i="3"/>
  <c r="AW268" i="3"/>
  <c r="AX268" i="3"/>
  <c r="AY268" i="3"/>
  <c r="AZ268" i="3"/>
  <c r="BA268" i="3"/>
  <c r="BB268" i="3"/>
  <c r="BC268" i="3"/>
  <c r="BD268" i="3"/>
  <c r="BE268" i="3"/>
  <c r="BF268" i="3"/>
  <c r="BG268" i="3"/>
  <c r="BH268" i="3"/>
  <c r="BI268" i="3"/>
  <c r="BJ268" i="3"/>
  <c r="BK268" i="3"/>
  <c r="BL268" i="3"/>
  <c r="BM268" i="3"/>
  <c r="BN268" i="3"/>
  <c r="BO268" i="3"/>
  <c r="BP268" i="3"/>
  <c r="BQ268" i="3"/>
  <c r="BR268" i="3"/>
  <c r="BS268" i="3"/>
  <c r="BT268" i="3"/>
  <c r="BU268" i="3"/>
  <c r="BV268" i="3"/>
  <c r="BW268" i="3"/>
  <c r="BX268" i="3"/>
  <c r="BY268" i="3"/>
  <c r="D269" i="3"/>
  <c r="E269" i="3"/>
  <c r="F269" i="3"/>
  <c r="G269" i="3"/>
  <c r="H269" i="3"/>
  <c r="I269" i="3"/>
  <c r="J269" i="3"/>
  <c r="K269" i="3"/>
  <c r="L269" i="3"/>
  <c r="M269" i="3"/>
  <c r="N269" i="3"/>
  <c r="O269" i="3"/>
  <c r="P269" i="3"/>
  <c r="Q269" i="3"/>
  <c r="R269" i="3"/>
  <c r="S269" i="3"/>
  <c r="T269" i="3"/>
  <c r="U269" i="3"/>
  <c r="V269" i="3"/>
  <c r="W269" i="3"/>
  <c r="X269" i="3"/>
  <c r="Y269" i="3"/>
  <c r="Z269" i="3"/>
  <c r="AA269" i="3"/>
  <c r="AB269" i="3"/>
  <c r="AC269" i="3"/>
  <c r="AD269" i="3"/>
  <c r="AE269" i="3"/>
  <c r="AF269" i="3"/>
  <c r="AG269" i="3"/>
  <c r="AH269" i="3"/>
  <c r="AI269" i="3"/>
  <c r="AJ269" i="3"/>
  <c r="AK269" i="3"/>
  <c r="AL269" i="3"/>
  <c r="AM269" i="3"/>
  <c r="AN269" i="3"/>
  <c r="AO269" i="3"/>
  <c r="AP269" i="3"/>
  <c r="AQ269" i="3"/>
  <c r="AR269" i="3"/>
  <c r="AS269" i="3"/>
  <c r="AT269" i="3"/>
  <c r="AU269" i="3"/>
  <c r="AV269" i="3"/>
  <c r="AW269" i="3"/>
  <c r="AX269" i="3"/>
  <c r="AY269" i="3"/>
  <c r="AZ269" i="3"/>
  <c r="BA269" i="3"/>
  <c r="BB269" i="3"/>
  <c r="BC269" i="3"/>
  <c r="BD269" i="3"/>
  <c r="BE269" i="3"/>
  <c r="BF269" i="3"/>
  <c r="BG269" i="3"/>
  <c r="BH269" i="3"/>
  <c r="BI269" i="3"/>
  <c r="BJ269" i="3"/>
  <c r="BK269" i="3"/>
  <c r="BL269" i="3"/>
  <c r="BM269" i="3"/>
  <c r="BN269" i="3"/>
  <c r="BO269" i="3"/>
  <c r="BP269" i="3"/>
  <c r="BQ269" i="3"/>
  <c r="BR269" i="3"/>
  <c r="BS269" i="3"/>
  <c r="BT269" i="3"/>
  <c r="BU269" i="3"/>
  <c r="BV269" i="3"/>
  <c r="BW269" i="3"/>
  <c r="BX269" i="3"/>
  <c r="BY269" i="3"/>
  <c r="D270" i="3"/>
  <c r="E270" i="3"/>
  <c r="F270" i="3"/>
  <c r="G270" i="3"/>
  <c r="H270" i="3"/>
  <c r="I270" i="3"/>
  <c r="J270" i="3"/>
  <c r="K270" i="3"/>
  <c r="L270" i="3"/>
  <c r="M270" i="3"/>
  <c r="N270" i="3"/>
  <c r="O270" i="3"/>
  <c r="P270" i="3"/>
  <c r="Q270" i="3"/>
  <c r="R270" i="3"/>
  <c r="S270" i="3"/>
  <c r="T270" i="3"/>
  <c r="U270" i="3"/>
  <c r="V270" i="3"/>
  <c r="W270" i="3"/>
  <c r="X270" i="3"/>
  <c r="Y270" i="3"/>
  <c r="Z270" i="3"/>
  <c r="AA270" i="3"/>
  <c r="AB270" i="3"/>
  <c r="AC270" i="3"/>
  <c r="AD270" i="3"/>
  <c r="AE270" i="3"/>
  <c r="AF270" i="3"/>
  <c r="AG270" i="3"/>
  <c r="AH270" i="3"/>
  <c r="AI270" i="3"/>
  <c r="AJ270" i="3"/>
  <c r="AK270" i="3"/>
  <c r="AL270" i="3"/>
  <c r="AM270" i="3"/>
  <c r="AN270" i="3"/>
  <c r="AO270" i="3"/>
  <c r="AP270" i="3"/>
  <c r="AQ270" i="3"/>
  <c r="AR270" i="3"/>
  <c r="AS270" i="3"/>
  <c r="AT270" i="3"/>
  <c r="AU270" i="3"/>
  <c r="AV270" i="3"/>
  <c r="AW270" i="3"/>
  <c r="AX270" i="3"/>
  <c r="AY270" i="3"/>
  <c r="AZ270" i="3"/>
  <c r="BA270" i="3"/>
  <c r="BB270" i="3"/>
  <c r="BC270" i="3"/>
  <c r="BD270" i="3"/>
  <c r="BE270" i="3"/>
  <c r="BF270" i="3"/>
  <c r="BG270" i="3"/>
  <c r="BH270" i="3"/>
  <c r="BI270" i="3"/>
  <c r="BJ270" i="3"/>
  <c r="BK270" i="3"/>
  <c r="BL270" i="3"/>
  <c r="BM270" i="3"/>
  <c r="BN270" i="3"/>
  <c r="BO270" i="3"/>
  <c r="BP270" i="3"/>
  <c r="BQ270" i="3"/>
  <c r="BR270" i="3"/>
  <c r="BS270" i="3"/>
  <c r="BT270" i="3"/>
  <c r="BU270" i="3"/>
  <c r="BV270" i="3"/>
  <c r="BW270" i="3"/>
  <c r="BX270" i="3"/>
  <c r="BY270" i="3"/>
  <c r="D271" i="3"/>
  <c r="E271" i="3"/>
  <c r="F271" i="3"/>
  <c r="G271" i="3"/>
  <c r="H271" i="3"/>
  <c r="I271" i="3"/>
  <c r="J271" i="3"/>
  <c r="K271" i="3"/>
  <c r="L271" i="3"/>
  <c r="M271" i="3"/>
  <c r="N271" i="3"/>
  <c r="O271" i="3"/>
  <c r="P271" i="3"/>
  <c r="Q271" i="3"/>
  <c r="R271" i="3"/>
  <c r="S271" i="3"/>
  <c r="T271" i="3"/>
  <c r="U271" i="3"/>
  <c r="V271" i="3"/>
  <c r="W271" i="3"/>
  <c r="X271" i="3"/>
  <c r="Y271" i="3"/>
  <c r="Z271" i="3"/>
  <c r="AA271" i="3"/>
  <c r="AB271" i="3"/>
  <c r="AC271" i="3"/>
  <c r="AD271" i="3"/>
  <c r="AE271" i="3"/>
  <c r="AF271" i="3"/>
  <c r="AG271" i="3"/>
  <c r="AH271" i="3"/>
  <c r="AI271" i="3"/>
  <c r="AJ271" i="3"/>
  <c r="AK271" i="3"/>
  <c r="AL271" i="3"/>
  <c r="AM271" i="3"/>
  <c r="AN271" i="3"/>
  <c r="AO271" i="3"/>
  <c r="AP271" i="3"/>
  <c r="AQ271" i="3"/>
  <c r="AR271" i="3"/>
  <c r="AS271" i="3"/>
  <c r="AT271" i="3"/>
  <c r="AU271" i="3"/>
  <c r="AV271" i="3"/>
  <c r="AW271" i="3"/>
  <c r="AX271" i="3"/>
  <c r="AY271" i="3"/>
  <c r="AZ271" i="3"/>
  <c r="BA271" i="3"/>
  <c r="BB271" i="3"/>
  <c r="BC271" i="3"/>
  <c r="BD271" i="3"/>
  <c r="BE271" i="3"/>
  <c r="BF271" i="3"/>
  <c r="BG271" i="3"/>
  <c r="BH271" i="3"/>
  <c r="BI271" i="3"/>
  <c r="BJ271" i="3"/>
  <c r="BK271" i="3"/>
  <c r="BL271" i="3"/>
  <c r="BM271" i="3"/>
  <c r="BN271" i="3"/>
  <c r="BO271" i="3"/>
  <c r="BP271" i="3"/>
  <c r="BQ271" i="3"/>
  <c r="BR271" i="3"/>
  <c r="BS271" i="3"/>
  <c r="BT271" i="3"/>
  <c r="BU271" i="3"/>
  <c r="BV271" i="3"/>
  <c r="BW271" i="3"/>
  <c r="BX271" i="3"/>
  <c r="BY271" i="3"/>
  <c r="D272" i="3"/>
  <c r="E272" i="3"/>
  <c r="F272" i="3"/>
  <c r="G272" i="3"/>
  <c r="H272" i="3"/>
  <c r="I272" i="3"/>
  <c r="J272" i="3"/>
  <c r="K272" i="3"/>
  <c r="L272" i="3"/>
  <c r="M272" i="3"/>
  <c r="N272" i="3"/>
  <c r="O272" i="3"/>
  <c r="P272" i="3"/>
  <c r="Q272" i="3"/>
  <c r="R272" i="3"/>
  <c r="S272" i="3"/>
  <c r="T272" i="3"/>
  <c r="U272" i="3"/>
  <c r="V272" i="3"/>
  <c r="W272" i="3"/>
  <c r="X272" i="3"/>
  <c r="Y272" i="3"/>
  <c r="Z272" i="3"/>
  <c r="AA272" i="3"/>
  <c r="AB272" i="3"/>
  <c r="AC272" i="3"/>
  <c r="AD272" i="3"/>
  <c r="AE272" i="3"/>
  <c r="AF272" i="3"/>
  <c r="AG272" i="3"/>
  <c r="AH272" i="3"/>
  <c r="AI272" i="3"/>
  <c r="AJ272" i="3"/>
  <c r="AK272" i="3"/>
  <c r="AL272" i="3"/>
  <c r="AM272" i="3"/>
  <c r="AN272" i="3"/>
  <c r="AO272" i="3"/>
  <c r="AP272" i="3"/>
  <c r="AQ272" i="3"/>
  <c r="AR272" i="3"/>
  <c r="AS272" i="3"/>
  <c r="AT272" i="3"/>
  <c r="AU272" i="3"/>
  <c r="AV272" i="3"/>
  <c r="AW272" i="3"/>
  <c r="AX272" i="3"/>
  <c r="AY272" i="3"/>
  <c r="AZ272" i="3"/>
  <c r="BA272" i="3"/>
  <c r="BB272" i="3"/>
  <c r="BC272" i="3"/>
  <c r="BD272" i="3"/>
  <c r="BE272" i="3"/>
  <c r="BF272" i="3"/>
  <c r="BG272" i="3"/>
  <c r="BH272" i="3"/>
  <c r="BI272" i="3"/>
  <c r="BJ272" i="3"/>
  <c r="BK272" i="3"/>
  <c r="BL272" i="3"/>
  <c r="BM272" i="3"/>
  <c r="BN272" i="3"/>
  <c r="BO272" i="3"/>
  <c r="BP272" i="3"/>
  <c r="BQ272" i="3"/>
  <c r="BR272" i="3"/>
  <c r="BS272" i="3"/>
  <c r="BT272" i="3"/>
  <c r="BU272" i="3"/>
  <c r="BV272" i="3"/>
  <c r="BW272" i="3"/>
  <c r="BX272" i="3"/>
  <c r="BY272" i="3"/>
  <c r="D273" i="3"/>
  <c r="E273" i="3"/>
  <c r="F273" i="3"/>
  <c r="G273" i="3"/>
  <c r="H273" i="3"/>
  <c r="I273" i="3"/>
  <c r="J273" i="3"/>
  <c r="K273" i="3"/>
  <c r="L273" i="3"/>
  <c r="M273" i="3"/>
  <c r="N273" i="3"/>
  <c r="O273" i="3"/>
  <c r="P273" i="3"/>
  <c r="Q273" i="3"/>
  <c r="R273" i="3"/>
  <c r="S273" i="3"/>
  <c r="T273" i="3"/>
  <c r="U273" i="3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AI273" i="3"/>
  <c r="AJ273" i="3"/>
  <c r="AK273" i="3"/>
  <c r="AL273" i="3"/>
  <c r="AM273" i="3"/>
  <c r="AN273" i="3"/>
  <c r="AO273" i="3"/>
  <c r="AP273" i="3"/>
  <c r="AQ273" i="3"/>
  <c r="AR273" i="3"/>
  <c r="AS273" i="3"/>
  <c r="AT273" i="3"/>
  <c r="AU273" i="3"/>
  <c r="AV273" i="3"/>
  <c r="AW273" i="3"/>
  <c r="AX273" i="3"/>
  <c r="AY273" i="3"/>
  <c r="AZ273" i="3"/>
  <c r="BA273" i="3"/>
  <c r="BB273" i="3"/>
  <c r="BC273" i="3"/>
  <c r="BD273" i="3"/>
  <c r="BE273" i="3"/>
  <c r="BF273" i="3"/>
  <c r="BG273" i="3"/>
  <c r="BH273" i="3"/>
  <c r="BI273" i="3"/>
  <c r="BJ273" i="3"/>
  <c r="BK273" i="3"/>
  <c r="BL273" i="3"/>
  <c r="BM273" i="3"/>
  <c r="BN273" i="3"/>
  <c r="BO273" i="3"/>
  <c r="BP273" i="3"/>
  <c r="BQ273" i="3"/>
  <c r="BR273" i="3"/>
  <c r="BS273" i="3"/>
  <c r="BT273" i="3"/>
  <c r="BU273" i="3"/>
  <c r="BV273" i="3"/>
  <c r="BW273" i="3"/>
  <c r="BX273" i="3"/>
  <c r="BY273" i="3"/>
  <c r="D274" i="3"/>
  <c r="E274" i="3"/>
  <c r="F274" i="3"/>
  <c r="G274" i="3"/>
  <c r="H274" i="3"/>
  <c r="I274" i="3"/>
  <c r="J274" i="3"/>
  <c r="K274" i="3"/>
  <c r="L274" i="3"/>
  <c r="M274" i="3"/>
  <c r="N274" i="3"/>
  <c r="O274" i="3"/>
  <c r="P274" i="3"/>
  <c r="Q274" i="3"/>
  <c r="R274" i="3"/>
  <c r="S274" i="3"/>
  <c r="T274" i="3"/>
  <c r="U274" i="3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AI274" i="3"/>
  <c r="AJ274" i="3"/>
  <c r="AK274" i="3"/>
  <c r="AL274" i="3"/>
  <c r="AM274" i="3"/>
  <c r="AN274" i="3"/>
  <c r="AO274" i="3"/>
  <c r="AP274" i="3"/>
  <c r="AQ274" i="3"/>
  <c r="AR274" i="3"/>
  <c r="AS274" i="3"/>
  <c r="AT274" i="3"/>
  <c r="AU274" i="3"/>
  <c r="AV274" i="3"/>
  <c r="AW274" i="3"/>
  <c r="AX274" i="3"/>
  <c r="AY274" i="3"/>
  <c r="AZ274" i="3"/>
  <c r="BA274" i="3"/>
  <c r="BB274" i="3"/>
  <c r="BC274" i="3"/>
  <c r="BD274" i="3"/>
  <c r="BE274" i="3"/>
  <c r="BF274" i="3"/>
  <c r="BG274" i="3"/>
  <c r="BH274" i="3"/>
  <c r="BI274" i="3"/>
  <c r="BJ274" i="3"/>
  <c r="BK274" i="3"/>
  <c r="BL274" i="3"/>
  <c r="BM274" i="3"/>
  <c r="BN274" i="3"/>
  <c r="BO274" i="3"/>
  <c r="BP274" i="3"/>
  <c r="BQ274" i="3"/>
  <c r="BR274" i="3"/>
  <c r="BS274" i="3"/>
  <c r="BT274" i="3"/>
  <c r="BU274" i="3"/>
  <c r="BV274" i="3"/>
  <c r="BW274" i="3"/>
  <c r="BX274" i="3"/>
  <c r="BY274" i="3"/>
  <c r="D275" i="3"/>
  <c r="E275" i="3"/>
  <c r="F275" i="3"/>
  <c r="G275" i="3"/>
  <c r="H275" i="3"/>
  <c r="I275" i="3"/>
  <c r="J275" i="3"/>
  <c r="K275" i="3"/>
  <c r="L275" i="3"/>
  <c r="M275" i="3"/>
  <c r="N275" i="3"/>
  <c r="O275" i="3"/>
  <c r="P275" i="3"/>
  <c r="Q275" i="3"/>
  <c r="R275" i="3"/>
  <c r="S275" i="3"/>
  <c r="T275" i="3"/>
  <c r="U275" i="3"/>
  <c r="V275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AI275" i="3"/>
  <c r="AJ275" i="3"/>
  <c r="AK275" i="3"/>
  <c r="AL275" i="3"/>
  <c r="AM275" i="3"/>
  <c r="AN275" i="3"/>
  <c r="AO275" i="3"/>
  <c r="AP275" i="3"/>
  <c r="AQ275" i="3"/>
  <c r="AR275" i="3"/>
  <c r="AS275" i="3"/>
  <c r="AT275" i="3"/>
  <c r="AU275" i="3"/>
  <c r="AV275" i="3"/>
  <c r="AW275" i="3"/>
  <c r="AX275" i="3"/>
  <c r="AY275" i="3"/>
  <c r="AZ275" i="3"/>
  <c r="BA275" i="3"/>
  <c r="BB275" i="3"/>
  <c r="BC275" i="3"/>
  <c r="BD275" i="3"/>
  <c r="BE275" i="3"/>
  <c r="BF275" i="3"/>
  <c r="BG275" i="3"/>
  <c r="BH275" i="3"/>
  <c r="BI275" i="3"/>
  <c r="BJ275" i="3"/>
  <c r="BK275" i="3"/>
  <c r="BL275" i="3"/>
  <c r="BM275" i="3"/>
  <c r="BN275" i="3"/>
  <c r="BO275" i="3"/>
  <c r="BP275" i="3"/>
  <c r="BQ275" i="3"/>
  <c r="BR275" i="3"/>
  <c r="BS275" i="3"/>
  <c r="BT275" i="3"/>
  <c r="BU275" i="3"/>
  <c r="BV275" i="3"/>
  <c r="BW275" i="3"/>
  <c r="BX275" i="3"/>
  <c r="BY275" i="3"/>
  <c r="D276" i="3"/>
  <c r="E276" i="3"/>
  <c r="F276" i="3"/>
  <c r="G276" i="3"/>
  <c r="H276" i="3"/>
  <c r="I276" i="3"/>
  <c r="J276" i="3"/>
  <c r="K276" i="3"/>
  <c r="L276" i="3"/>
  <c r="M276" i="3"/>
  <c r="N276" i="3"/>
  <c r="O276" i="3"/>
  <c r="P276" i="3"/>
  <c r="Q276" i="3"/>
  <c r="R276" i="3"/>
  <c r="S276" i="3"/>
  <c r="T276" i="3"/>
  <c r="U276" i="3"/>
  <c r="V276" i="3"/>
  <c r="W276" i="3"/>
  <c r="X276" i="3"/>
  <c r="Y276" i="3"/>
  <c r="Z276" i="3"/>
  <c r="AA276" i="3"/>
  <c r="AB276" i="3"/>
  <c r="AC276" i="3"/>
  <c r="AD276" i="3"/>
  <c r="AE276" i="3"/>
  <c r="AF276" i="3"/>
  <c r="AG276" i="3"/>
  <c r="AH276" i="3"/>
  <c r="AI276" i="3"/>
  <c r="AJ276" i="3"/>
  <c r="AK276" i="3"/>
  <c r="AL276" i="3"/>
  <c r="AM276" i="3"/>
  <c r="AN276" i="3"/>
  <c r="AO276" i="3"/>
  <c r="AP276" i="3"/>
  <c r="AQ276" i="3"/>
  <c r="AR276" i="3"/>
  <c r="AS276" i="3"/>
  <c r="AT276" i="3"/>
  <c r="AU276" i="3"/>
  <c r="AV276" i="3"/>
  <c r="AW276" i="3"/>
  <c r="AX276" i="3"/>
  <c r="AY276" i="3"/>
  <c r="AZ276" i="3"/>
  <c r="BA276" i="3"/>
  <c r="BB276" i="3"/>
  <c r="BC276" i="3"/>
  <c r="BD276" i="3"/>
  <c r="BE276" i="3"/>
  <c r="BF276" i="3"/>
  <c r="BG276" i="3"/>
  <c r="BH276" i="3"/>
  <c r="BI276" i="3"/>
  <c r="BJ276" i="3"/>
  <c r="BK276" i="3"/>
  <c r="BL276" i="3"/>
  <c r="BM276" i="3"/>
  <c r="BN276" i="3"/>
  <c r="BO276" i="3"/>
  <c r="BP276" i="3"/>
  <c r="BQ276" i="3"/>
  <c r="BR276" i="3"/>
  <c r="BS276" i="3"/>
  <c r="BT276" i="3"/>
  <c r="BU276" i="3"/>
  <c r="BV276" i="3"/>
  <c r="BW276" i="3"/>
  <c r="BX276" i="3"/>
  <c r="BY276" i="3"/>
  <c r="D277" i="3"/>
  <c r="E277" i="3"/>
  <c r="F277" i="3"/>
  <c r="G277" i="3"/>
  <c r="H277" i="3"/>
  <c r="I277" i="3"/>
  <c r="J277" i="3"/>
  <c r="K277" i="3"/>
  <c r="L277" i="3"/>
  <c r="M277" i="3"/>
  <c r="N277" i="3"/>
  <c r="O277" i="3"/>
  <c r="P277" i="3"/>
  <c r="Q277" i="3"/>
  <c r="R277" i="3"/>
  <c r="S277" i="3"/>
  <c r="T277" i="3"/>
  <c r="U277" i="3"/>
  <c r="V277" i="3"/>
  <c r="W277" i="3"/>
  <c r="X277" i="3"/>
  <c r="Y277" i="3"/>
  <c r="Z277" i="3"/>
  <c r="AA277" i="3"/>
  <c r="AB277" i="3"/>
  <c r="AC277" i="3"/>
  <c r="AD277" i="3"/>
  <c r="AE277" i="3"/>
  <c r="AF277" i="3"/>
  <c r="AG277" i="3"/>
  <c r="AH277" i="3"/>
  <c r="AI277" i="3"/>
  <c r="AJ277" i="3"/>
  <c r="AK277" i="3"/>
  <c r="AL277" i="3"/>
  <c r="AM277" i="3"/>
  <c r="AN277" i="3"/>
  <c r="AO277" i="3"/>
  <c r="AP277" i="3"/>
  <c r="AQ277" i="3"/>
  <c r="AR277" i="3"/>
  <c r="AS277" i="3"/>
  <c r="AT277" i="3"/>
  <c r="AU277" i="3"/>
  <c r="AV277" i="3"/>
  <c r="AW277" i="3"/>
  <c r="AX277" i="3"/>
  <c r="AY277" i="3"/>
  <c r="AZ277" i="3"/>
  <c r="BA277" i="3"/>
  <c r="BB277" i="3"/>
  <c r="BC277" i="3"/>
  <c r="BD277" i="3"/>
  <c r="BE277" i="3"/>
  <c r="BF277" i="3"/>
  <c r="BG277" i="3"/>
  <c r="BH277" i="3"/>
  <c r="BI277" i="3"/>
  <c r="BJ277" i="3"/>
  <c r="BK277" i="3"/>
  <c r="BL277" i="3"/>
  <c r="BM277" i="3"/>
  <c r="BN277" i="3"/>
  <c r="BO277" i="3"/>
  <c r="BP277" i="3"/>
  <c r="BQ277" i="3"/>
  <c r="BR277" i="3"/>
  <c r="BS277" i="3"/>
  <c r="BT277" i="3"/>
  <c r="BU277" i="3"/>
  <c r="BV277" i="3"/>
  <c r="BW277" i="3"/>
  <c r="BX277" i="3"/>
  <c r="BY277" i="3"/>
  <c r="D278" i="3"/>
  <c r="E278" i="3"/>
  <c r="F278" i="3"/>
  <c r="G278" i="3"/>
  <c r="H278" i="3"/>
  <c r="I278" i="3"/>
  <c r="J278" i="3"/>
  <c r="K278" i="3"/>
  <c r="L278" i="3"/>
  <c r="M278" i="3"/>
  <c r="N278" i="3"/>
  <c r="O278" i="3"/>
  <c r="P278" i="3"/>
  <c r="Q278" i="3"/>
  <c r="R278" i="3"/>
  <c r="S278" i="3"/>
  <c r="T278" i="3"/>
  <c r="U278" i="3"/>
  <c r="V278" i="3"/>
  <c r="W278" i="3"/>
  <c r="X278" i="3"/>
  <c r="Y278" i="3"/>
  <c r="Z278" i="3"/>
  <c r="AA278" i="3"/>
  <c r="AB278" i="3"/>
  <c r="AC278" i="3"/>
  <c r="AD278" i="3"/>
  <c r="AE278" i="3"/>
  <c r="AF278" i="3"/>
  <c r="AG278" i="3"/>
  <c r="AH278" i="3"/>
  <c r="AI278" i="3"/>
  <c r="AJ278" i="3"/>
  <c r="AK278" i="3"/>
  <c r="AL278" i="3"/>
  <c r="AM278" i="3"/>
  <c r="AN278" i="3"/>
  <c r="AO278" i="3"/>
  <c r="AP278" i="3"/>
  <c r="AQ278" i="3"/>
  <c r="AR278" i="3"/>
  <c r="AS278" i="3"/>
  <c r="AT278" i="3"/>
  <c r="AU278" i="3"/>
  <c r="AV278" i="3"/>
  <c r="AW278" i="3"/>
  <c r="AX278" i="3"/>
  <c r="AY278" i="3"/>
  <c r="AZ278" i="3"/>
  <c r="BA278" i="3"/>
  <c r="BB278" i="3"/>
  <c r="BC278" i="3"/>
  <c r="BD278" i="3"/>
  <c r="BE278" i="3"/>
  <c r="BF278" i="3"/>
  <c r="BG278" i="3"/>
  <c r="BH278" i="3"/>
  <c r="BI278" i="3"/>
  <c r="BJ278" i="3"/>
  <c r="BK278" i="3"/>
  <c r="BL278" i="3"/>
  <c r="BM278" i="3"/>
  <c r="BN278" i="3"/>
  <c r="BO278" i="3"/>
  <c r="BP278" i="3"/>
  <c r="BQ278" i="3"/>
  <c r="BR278" i="3"/>
  <c r="BS278" i="3"/>
  <c r="BT278" i="3"/>
  <c r="BU278" i="3"/>
  <c r="BV278" i="3"/>
  <c r="BW278" i="3"/>
  <c r="BX278" i="3"/>
  <c r="BY278" i="3"/>
  <c r="D279" i="3"/>
  <c r="E279" i="3"/>
  <c r="F279" i="3"/>
  <c r="G279" i="3"/>
  <c r="H279" i="3"/>
  <c r="I279" i="3"/>
  <c r="J279" i="3"/>
  <c r="K279" i="3"/>
  <c r="L279" i="3"/>
  <c r="M279" i="3"/>
  <c r="N279" i="3"/>
  <c r="O279" i="3"/>
  <c r="P279" i="3"/>
  <c r="Q279" i="3"/>
  <c r="R279" i="3"/>
  <c r="S279" i="3"/>
  <c r="T279" i="3"/>
  <c r="U279" i="3"/>
  <c r="V279" i="3"/>
  <c r="W279" i="3"/>
  <c r="X279" i="3"/>
  <c r="Y279" i="3"/>
  <c r="Z279" i="3"/>
  <c r="AA279" i="3"/>
  <c r="AB279" i="3"/>
  <c r="AC279" i="3"/>
  <c r="AD279" i="3"/>
  <c r="AE279" i="3"/>
  <c r="AF279" i="3"/>
  <c r="AG279" i="3"/>
  <c r="AH279" i="3"/>
  <c r="AI279" i="3"/>
  <c r="AJ279" i="3"/>
  <c r="AK279" i="3"/>
  <c r="AL279" i="3"/>
  <c r="AM279" i="3"/>
  <c r="AN279" i="3"/>
  <c r="AO279" i="3"/>
  <c r="AP279" i="3"/>
  <c r="AQ279" i="3"/>
  <c r="AR279" i="3"/>
  <c r="AS279" i="3"/>
  <c r="AT279" i="3"/>
  <c r="AU279" i="3"/>
  <c r="AV279" i="3"/>
  <c r="AW279" i="3"/>
  <c r="AX279" i="3"/>
  <c r="AY279" i="3"/>
  <c r="AZ279" i="3"/>
  <c r="BA279" i="3"/>
  <c r="BB279" i="3"/>
  <c r="BC279" i="3"/>
  <c r="BD279" i="3"/>
  <c r="BE279" i="3"/>
  <c r="BF279" i="3"/>
  <c r="BG279" i="3"/>
  <c r="BH279" i="3"/>
  <c r="BI279" i="3"/>
  <c r="BJ279" i="3"/>
  <c r="BK279" i="3"/>
  <c r="BL279" i="3"/>
  <c r="BM279" i="3"/>
  <c r="BN279" i="3"/>
  <c r="BO279" i="3"/>
  <c r="BP279" i="3"/>
  <c r="BQ279" i="3"/>
  <c r="BR279" i="3"/>
  <c r="BS279" i="3"/>
  <c r="BT279" i="3"/>
  <c r="BU279" i="3"/>
  <c r="BV279" i="3"/>
  <c r="BW279" i="3"/>
  <c r="BX279" i="3"/>
  <c r="BY279" i="3"/>
  <c r="D280" i="3"/>
  <c r="E280" i="3"/>
  <c r="F280" i="3"/>
  <c r="G280" i="3"/>
  <c r="H280" i="3"/>
  <c r="I280" i="3"/>
  <c r="J280" i="3"/>
  <c r="K280" i="3"/>
  <c r="L280" i="3"/>
  <c r="M280" i="3"/>
  <c r="N280" i="3"/>
  <c r="O280" i="3"/>
  <c r="P280" i="3"/>
  <c r="Q280" i="3"/>
  <c r="R280" i="3"/>
  <c r="S280" i="3"/>
  <c r="T280" i="3"/>
  <c r="U280" i="3"/>
  <c r="V280" i="3"/>
  <c r="W280" i="3"/>
  <c r="X280" i="3"/>
  <c r="Y280" i="3"/>
  <c r="Z280" i="3"/>
  <c r="AA280" i="3"/>
  <c r="AB280" i="3"/>
  <c r="AC280" i="3"/>
  <c r="AD280" i="3"/>
  <c r="AE280" i="3"/>
  <c r="AF280" i="3"/>
  <c r="AG280" i="3"/>
  <c r="AH280" i="3"/>
  <c r="AI280" i="3"/>
  <c r="AJ280" i="3"/>
  <c r="AK280" i="3"/>
  <c r="AL280" i="3"/>
  <c r="AM280" i="3"/>
  <c r="AN280" i="3"/>
  <c r="AO280" i="3"/>
  <c r="AP280" i="3"/>
  <c r="AQ280" i="3"/>
  <c r="AR280" i="3"/>
  <c r="AS280" i="3"/>
  <c r="AT280" i="3"/>
  <c r="AU280" i="3"/>
  <c r="AV280" i="3"/>
  <c r="AW280" i="3"/>
  <c r="AX280" i="3"/>
  <c r="AY280" i="3"/>
  <c r="AZ280" i="3"/>
  <c r="BA280" i="3"/>
  <c r="BB280" i="3"/>
  <c r="BC280" i="3"/>
  <c r="BD280" i="3"/>
  <c r="BE280" i="3"/>
  <c r="BF280" i="3"/>
  <c r="BG280" i="3"/>
  <c r="BH280" i="3"/>
  <c r="BI280" i="3"/>
  <c r="BJ280" i="3"/>
  <c r="BK280" i="3"/>
  <c r="BL280" i="3"/>
  <c r="BM280" i="3"/>
  <c r="BN280" i="3"/>
  <c r="BO280" i="3"/>
  <c r="BP280" i="3"/>
  <c r="BQ280" i="3"/>
  <c r="BR280" i="3"/>
  <c r="BS280" i="3"/>
  <c r="BT280" i="3"/>
  <c r="BU280" i="3"/>
  <c r="BV280" i="3"/>
  <c r="BW280" i="3"/>
  <c r="BX280" i="3"/>
  <c r="BY280" i="3"/>
  <c r="D281" i="3"/>
  <c r="E281" i="3"/>
  <c r="F281" i="3"/>
  <c r="G281" i="3"/>
  <c r="H281" i="3"/>
  <c r="I281" i="3"/>
  <c r="J281" i="3"/>
  <c r="K281" i="3"/>
  <c r="L281" i="3"/>
  <c r="M281" i="3"/>
  <c r="N281" i="3"/>
  <c r="O281" i="3"/>
  <c r="P281" i="3"/>
  <c r="Q281" i="3"/>
  <c r="R281" i="3"/>
  <c r="S281" i="3"/>
  <c r="T281" i="3"/>
  <c r="U281" i="3"/>
  <c r="V281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AI281" i="3"/>
  <c r="AJ281" i="3"/>
  <c r="AK281" i="3"/>
  <c r="AL281" i="3"/>
  <c r="AM281" i="3"/>
  <c r="AN281" i="3"/>
  <c r="AO281" i="3"/>
  <c r="AP281" i="3"/>
  <c r="AQ281" i="3"/>
  <c r="AR281" i="3"/>
  <c r="AS281" i="3"/>
  <c r="AT281" i="3"/>
  <c r="AU281" i="3"/>
  <c r="AV281" i="3"/>
  <c r="AW281" i="3"/>
  <c r="AX281" i="3"/>
  <c r="AY281" i="3"/>
  <c r="AZ281" i="3"/>
  <c r="BA281" i="3"/>
  <c r="BB281" i="3"/>
  <c r="BC281" i="3"/>
  <c r="BD281" i="3"/>
  <c r="BE281" i="3"/>
  <c r="BF281" i="3"/>
  <c r="BG281" i="3"/>
  <c r="BH281" i="3"/>
  <c r="BI281" i="3"/>
  <c r="BJ281" i="3"/>
  <c r="BK281" i="3"/>
  <c r="BL281" i="3"/>
  <c r="BM281" i="3"/>
  <c r="BN281" i="3"/>
  <c r="BO281" i="3"/>
  <c r="BP281" i="3"/>
  <c r="BQ281" i="3"/>
  <c r="BR281" i="3"/>
  <c r="BS281" i="3"/>
  <c r="BT281" i="3"/>
  <c r="BU281" i="3"/>
  <c r="BV281" i="3"/>
  <c r="BW281" i="3"/>
  <c r="BX281" i="3"/>
  <c r="BY281" i="3"/>
  <c r="D282" i="3"/>
  <c r="E282" i="3"/>
  <c r="F282" i="3"/>
  <c r="G282" i="3"/>
  <c r="H282" i="3"/>
  <c r="I282" i="3"/>
  <c r="J282" i="3"/>
  <c r="K282" i="3"/>
  <c r="L282" i="3"/>
  <c r="M282" i="3"/>
  <c r="N282" i="3"/>
  <c r="O282" i="3"/>
  <c r="P282" i="3"/>
  <c r="Q282" i="3"/>
  <c r="R282" i="3"/>
  <c r="S282" i="3"/>
  <c r="T282" i="3"/>
  <c r="U282" i="3"/>
  <c r="V282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AI282" i="3"/>
  <c r="AJ282" i="3"/>
  <c r="AK282" i="3"/>
  <c r="AL282" i="3"/>
  <c r="AM282" i="3"/>
  <c r="AN282" i="3"/>
  <c r="AO282" i="3"/>
  <c r="AP282" i="3"/>
  <c r="AQ282" i="3"/>
  <c r="AR282" i="3"/>
  <c r="AS282" i="3"/>
  <c r="AT282" i="3"/>
  <c r="AU282" i="3"/>
  <c r="AV282" i="3"/>
  <c r="AW282" i="3"/>
  <c r="AX282" i="3"/>
  <c r="AY282" i="3"/>
  <c r="AZ282" i="3"/>
  <c r="BA282" i="3"/>
  <c r="BB282" i="3"/>
  <c r="BC282" i="3"/>
  <c r="BD282" i="3"/>
  <c r="BE282" i="3"/>
  <c r="BF282" i="3"/>
  <c r="BG282" i="3"/>
  <c r="BH282" i="3"/>
  <c r="BI282" i="3"/>
  <c r="BJ282" i="3"/>
  <c r="BK282" i="3"/>
  <c r="BL282" i="3"/>
  <c r="BM282" i="3"/>
  <c r="BN282" i="3"/>
  <c r="BO282" i="3"/>
  <c r="BP282" i="3"/>
  <c r="BQ282" i="3"/>
  <c r="BR282" i="3"/>
  <c r="BS282" i="3"/>
  <c r="BT282" i="3"/>
  <c r="BU282" i="3"/>
  <c r="BV282" i="3"/>
  <c r="BW282" i="3"/>
  <c r="BX282" i="3"/>
  <c r="BY282" i="3"/>
  <c r="D283" i="3"/>
  <c r="E283" i="3"/>
  <c r="F283" i="3"/>
  <c r="G283" i="3"/>
  <c r="H283" i="3"/>
  <c r="I283" i="3"/>
  <c r="J283" i="3"/>
  <c r="K283" i="3"/>
  <c r="L283" i="3"/>
  <c r="M283" i="3"/>
  <c r="N283" i="3"/>
  <c r="O283" i="3"/>
  <c r="P283" i="3"/>
  <c r="Q283" i="3"/>
  <c r="R283" i="3"/>
  <c r="S283" i="3"/>
  <c r="T283" i="3"/>
  <c r="U283" i="3"/>
  <c r="V283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AI283" i="3"/>
  <c r="AJ283" i="3"/>
  <c r="AK283" i="3"/>
  <c r="AL283" i="3"/>
  <c r="AM283" i="3"/>
  <c r="AN283" i="3"/>
  <c r="AO283" i="3"/>
  <c r="AP283" i="3"/>
  <c r="AQ283" i="3"/>
  <c r="AR283" i="3"/>
  <c r="AS283" i="3"/>
  <c r="AT283" i="3"/>
  <c r="AU283" i="3"/>
  <c r="AV283" i="3"/>
  <c r="AW283" i="3"/>
  <c r="AX283" i="3"/>
  <c r="AY283" i="3"/>
  <c r="AZ283" i="3"/>
  <c r="BA283" i="3"/>
  <c r="BB283" i="3"/>
  <c r="BC283" i="3"/>
  <c r="BD283" i="3"/>
  <c r="BE283" i="3"/>
  <c r="BF283" i="3"/>
  <c r="BG283" i="3"/>
  <c r="BH283" i="3"/>
  <c r="BI283" i="3"/>
  <c r="BJ283" i="3"/>
  <c r="BK283" i="3"/>
  <c r="BL283" i="3"/>
  <c r="BM283" i="3"/>
  <c r="BN283" i="3"/>
  <c r="BO283" i="3"/>
  <c r="BP283" i="3"/>
  <c r="BQ283" i="3"/>
  <c r="BR283" i="3"/>
  <c r="BS283" i="3"/>
  <c r="BT283" i="3"/>
  <c r="BU283" i="3"/>
  <c r="BV283" i="3"/>
  <c r="BW283" i="3"/>
  <c r="BX283" i="3"/>
  <c r="BY283" i="3"/>
  <c r="D284" i="3"/>
  <c r="E284" i="3"/>
  <c r="F284" i="3"/>
  <c r="G284" i="3"/>
  <c r="H284" i="3"/>
  <c r="I284" i="3"/>
  <c r="J284" i="3"/>
  <c r="K284" i="3"/>
  <c r="L284" i="3"/>
  <c r="M284" i="3"/>
  <c r="N284" i="3"/>
  <c r="O284" i="3"/>
  <c r="P284" i="3"/>
  <c r="Q284" i="3"/>
  <c r="R284" i="3"/>
  <c r="S284" i="3"/>
  <c r="T284" i="3"/>
  <c r="U284" i="3"/>
  <c r="V284" i="3"/>
  <c r="W284" i="3"/>
  <c r="X284" i="3"/>
  <c r="Y284" i="3"/>
  <c r="Z284" i="3"/>
  <c r="AA284" i="3"/>
  <c r="AB284" i="3"/>
  <c r="AC284" i="3"/>
  <c r="AD284" i="3"/>
  <c r="AE284" i="3"/>
  <c r="AF284" i="3"/>
  <c r="AG284" i="3"/>
  <c r="AH284" i="3"/>
  <c r="AI284" i="3"/>
  <c r="AJ284" i="3"/>
  <c r="AK284" i="3"/>
  <c r="AL284" i="3"/>
  <c r="AM284" i="3"/>
  <c r="AN284" i="3"/>
  <c r="AO284" i="3"/>
  <c r="AP284" i="3"/>
  <c r="AQ284" i="3"/>
  <c r="AR284" i="3"/>
  <c r="AS284" i="3"/>
  <c r="AT284" i="3"/>
  <c r="AU284" i="3"/>
  <c r="AV284" i="3"/>
  <c r="AW284" i="3"/>
  <c r="AX284" i="3"/>
  <c r="AY284" i="3"/>
  <c r="AZ284" i="3"/>
  <c r="BA284" i="3"/>
  <c r="BB284" i="3"/>
  <c r="BC284" i="3"/>
  <c r="BD284" i="3"/>
  <c r="BE284" i="3"/>
  <c r="BF284" i="3"/>
  <c r="BG284" i="3"/>
  <c r="BH284" i="3"/>
  <c r="BI284" i="3"/>
  <c r="BJ284" i="3"/>
  <c r="BK284" i="3"/>
  <c r="BL284" i="3"/>
  <c r="BM284" i="3"/>
  <c r="BN284" i="3"/>
  <c r="BO284" i="3"/>
  <c r="BP284" i="3"/>
  <c r="BQ284" i="3"/>
  <c r="BR284" i="3"/>
  <c r="BS284" i="3"/>
  <c r="BT284" i="3"/>
  <c r="BU284" i="3"/>
  <c r="BV284" i="3"/>
  <c r="BW284" i="3"/>
  <c r="BX284" i="3"/>
  <c r="BY284" i="3"/>
  <c r="D285" i="3"/>
  <c r="E285" i="3"/>
  <c r="F285" i="3"/>
  <c r="G285" i="3"/>
  <c r="H285" i="3"/>
  <c r="I285" i="3"/>
  <c r="J285" i="3"/>
  <c r="K285" i="3"/>
  <c r="L285" i="3"/>
  <c r="M285" i="3"/>
  <c r="N285" i="3"/>
  <c r="O285" i="3"/>
  <c r="P285" i="3"/>
  <c r="Q285" i="3"/>
  <c r="R285" i="3"/>
  <c r="S285" i="3"/>
  <c r="T285" i="3"/>
  <c r="U285" i="3"/>
  <c r="V285" i="3"/>
  <c r="W285" i="3"/>
  <c r="X285" i="3"/>
  <c r="Y285" i="3"/>
  <c r="Z285" i="3"/>
  <c r="AA285" i="3"/>
  <c r="AB285" i="3"/>
  <c r="AC285" i="3"/>
  <c r="AD285" i="3"/>
  <c r="AE285" i="3"/>
  <c r="AF285" i="3"/>
  <c r="AG285" i="3"/>
  <c r="AH285" i="3"/>
  <c r="AI285" i="3"/>
  <c r="AJ285" i="3"/>
  <c r="AK285" i="3"/>
  <c r="AL285" i="3"/>
  <c r="AM285" i="3"/>
  <c r="AN285" i="3"/>
  <c r="AO285" i="3"/>
  <c r="AP285" i="3"/>
  <c r="AQ285" i="3"/>
  <c r="AR285" i="3"/>
  <c r="AS285" i="3"/>
  <c r="AT285" i="3"/>
  <c r="AU285" i="3"/>
  <c r="AV285" i="3"/>
  <c r="AW285" i="3"/>
  <c r="AX285" i="3"/>
  <c r="AY285" i="3"/>
  <c r="AZ285" i="3"/>
  <c r="BA285" i="3"/>
  <c r="BB285" i="3"/>
  <c r="BC285" i="3"/>
  <c r="BD285" i="3"/>
  <c r="BE285" i="3"/>
  <c r="BF285" i="3"/>
  <c r="BG285" i="3"/>
  <c r="BH285" i="3"/>
  <c r="BI285" i="3"/>
  <c r="BJ285" i="3"/>
  <c r="BK285" i="3"/>
  <c r="BL285" i="3"/>
  <c r="BM285" i="3"/>
  <c r="BN285" i="3"/>
  <c r="BO285" i="3"/>
  <c r="BP285" i="3"/>
  <c r="BQ285" i="3"/>
  <c r="BR285" i="3"/>
  <c r="BS285" i="3"/>
  <c r="BT285" i="3"/>
  <c r="BU285" i="3"/>
  <c r="BV285" i="3"/>
  <c r="BW285" i="3"/>
  <c r="BX285" i="3"/>
  <c r="BY285" i="3"/>
  <c r="D286" i="3"/>
  <c r="E286" i="3"/>
  <c r="F286" i="3"/>
  <c r="G286" i="3"/>
  <c r="H286" i="3"/>
  <c r="I286" i="3"/>
  <c r="J286" i="3"/>
  <c r="K286" i="3"/>
  <c r="L286" i="3"/>
  <c r="M286" i="3"/>
  <c r="N286" i="3"/>
  <c r="O286" i="3"/>
  <c r="P286" i="3"/>
  <c r="Q286" i="3"/>
  <c r="R286" i="3"/>
  <c r="S286" i="3"/>
  <c r="T286" i="3"/>
  <c r="U286" i="3"/>
  <c r="V286" i="3"/>
  <c r="W286" i="3"/>
  <c r="X286" i="3"/>
  <c r="Y286" i="3"/>
  <c r="Z286" i="3"/>
  <c r="AA286" i="3"/>
  <c r="AB286" i="3"/>
  <c r="AC286" i="3"/>
  <c r="AD286" i="3"/>
  <c r="AE286" i="3"/>
  <c r="AF286" i="3"/>
  <c r="AG286" i="3"/>
  <c r="AH286" i="3"/>
  <c r="AI286" i="3"/>
  <c r="AJ286" i="3"/>
  <c r="AK286" i="3"/>
  <c r="AL286" i="3"/>
  <c r="AM286" i="3"/>
  <c r="AN286" i="3"/>
  <c r="AO286" i="3"/>
  <c r="AP286" i="3"/>
  <c r="AQ286" i="3"/>
  <c r="AR286" i="3"/>
  <c r="AS286" i="3"/>
  <c r="AT286" i="3"/>
  <c r="AU286" i="3"/>
  <c r="AV286" i="3"/>
  <c r="AW286" i="3"/>
  <c r="AX286" i="3"/>
  <c r="AY286" i="3"/>
  <c r="AZ286" i="3"/>
  <c r="BA286" i="3"/>
  <c r="BB286" i="3"/>
  <c r="BC286" i="3"/>
  <c r="BD286" i="3"/>
  <c r="BE286" i="3"/>
  <c r="BF286" i="3"/>
  <c r="BG286" i="3"/>
  <c r="BH286" i="3"/>
  <c r="BI286" i="3"/>
  <c r="BJ286" i="3"/>
  <c r="BK286" i="3"/>
  <c r="BL286" i="3"/>
  <c r="BM286" i="3"/>
  <c r="BN286" i="3"/>
  <c r="BO286" i="3"/>
  <c r="BP286" i="3"/>
  <c r="BQ286" i="3"/>
  <c r="BR286" i="3"/>
  <c r="BS286" i="3"/>
  <c r="BT286" i="3"/>
  <c r="BU286" i="3"/>
  <c r="BV286" i="3"/>
  <c r="BW286" i="3"/>
  <c r="BX286" i="3"/>
  <c r="BY286" i="3"/>
  <c r="D287" i="3"/>
  <c r="E287" i="3"/>
  <c r="F287" i="3"/>
  <c r="G287" i="3"/>
  <c r="H287" i="3"/>
  <c r="I287" i="3"/>
  <c r="J287" i="3"/>
  <c r="K287" i="3"/>
  <c r="L287" i="3"/>
  <c r="M287" i="3"/>
  <c r="N287" i="3"/>
  <c r="O287" i="3"/>
  <c r="P287" i="3"/>
  <c r="Q287" i="3"/>
  <c r="R287" i="3"/>
  <c r="S287" i="3"/>
  <c r="T287" i="3"/>
  <c r="U287" i="3"/>
  <c r="V287" i="3"/>
  <c r="W287" i="3"/>
  <c r="X287" i="3"/>
  <c r="Y287" i="3"/>
  <c r="Z287" i="3"/>
  <c r="AA287" i="3"/>
  <c r="AB287" i="3"/>
  <c r="AC287" i="3"/>
  <c r="AD287" i="3"/>
  <c r="AE287" i="3"/>
  <c r="AF287" i="3"/>
  <c r="AG287" i="3"/>
  <c r="AH287" i="3"/>
  <c r="AI287" i="3"/>
  <c r="AJ287" i="3"/>
  <c r="AK287" i="3"/>
  <c r="AL287" i="3"/>
  <c r="AM287" i="3"/>
  <c r="AN287" i="3"/>
  <c r="AO287" i="3"/>
  <c r="AP287" i="3"/>
  <c r="AQ287" i="3"/>
  <c r="AR287" i="3"/>
  <c r="AS287" i="3"/>
  <c r="AT287" i="3"/>
  <c r="AU287" i="3"/>
  <c r="AV287" i="3"/>
  <c r="AW287" i="3"/>
  <c r="AX287" i="3"/>
  <c r="AY287" i="3"/>
  <c r="AZ287" i="3"/>
  <c r="BA287" i="3"/>
  <c r="BB287" i="3"/>
  <c r="BC287" i="3"/>
  <c r="BD287" i="3"/>
  <c r="BE287" i="3"/>
  <c r="BF287" i="3"/>
  <c r="BG287" i="3"/>
  <c r="BH287" i="3"/>
  <c r="BI287" i="3"/>
  <c r="BJ287" i="3"/>
  <c r="BK287" i="3"/>
  <c r="BL287" i="3"/>
  <c r="BM287" i="3"/>
  <c r="BN287" i="3"/>
  <c r="BO287" i="3"/>
  <c r="BP287" i="3"/>
  <c r="BQ287" i="3"/>
  <c r="BR287" i="3"/>
  <c r="BS287" i="3"/>
  <c r="BT287" i="3"/>
  <c r="BU287" i="3"/>
  <c r="BV287" i="3"/>
  <c r="BW287" i="3"/>
  <c r="BX287" i="3"/>
  <c r="BY287" i="3"/>
  <c r="D288" i="3"/>
  <c r="E288" i="3"/>
  <c r="F288" i="3"/>
  <c r="G288" i="3"/>
  <c r="H288" i="3"/>
  <c r="I288" i="3"/>
  <c r="J288" i="3"/>
  <c r="K288" i="3"/>
  <c r="L288" i="3"/>
  <c r="M288" i="3"/>
  <c r="N288" i="3"/>
  <c r="O288" i="3"/>
  <c r="P288" i="3"/>
  <c r="Q288" i="3"/>
  <c r="R288" i="3"/>
  <c r="S288" i="3"/>
  <c r="T288" i="3"/>
  <c r="U288" i="3"/>
  <c r="V288" i="3"/>
  <c r="W288" i="3"/>
  <c r="X288" i="3"/>
  <c r="Y288" i="3"/>
  <c r="Z288" i="3"/>
  <c r="AA288" i="3"/>
  <c r="AB288" i="3"/>
  <c r="AC288" i="3"/>
  <c r="AD288" i="3"/>
  <c r="AE288" i="3"/>
  <c r="AF288" i="3"/>
  <c r="AG288" i="3"/>
  <c r="AH288" i="3"/>
  <c r="AI288" i="3"/>
  <c r="AJ288" i="3"/>
  <c r="AK288" i="3"/>
  <c r="AL288" i="3"/>
  <c r="AM288" i="3"/>
  <c r="AN288" i="3"/>
  <c r="AO288" i="3"/>
  <c r="AP288" i="3"/>
  <c r="AQ288" i="3"/>
  <c r="AR288" i="3"/>
  <c r="AS288" i="3"/>
  <c r="AT288" i="3"/>
  <c r="AU288" i="3"/>
  <c r="AV288" i="3"/>
  <c r="AW288" i="3"/>
  <c r="AX288" i="3"/>
  <c r="AY288" i="3"/>
  <c r="AZ288" i="3"/>
  <c r="BA288" i="3"/>
  <c r="BB288" i="3"/>
  <c r="BC288" i="3"/>
  <c r="BD288" i="3"/>
  <c r="BE288" i="3"/>
  <c r="BF288" i="3"/>
  <c r="BG288" i="3"/>
  <c r="BH288" i="3"/>
  <c r="BI288" i="3"/>
  <c r="BJ288" i="3"/>
  <c r="BK288" i="3"/>
  <c r="BL288" i="3"/>
  <c r="BM288" i="3"/>
  <c r="BN288" i="3"/>
  <c r="BO288" i="3"/>
  <c r="BP288" i="3"/>
  <c r="BQ288" i="3"/>
  <c r="BR288" i="3"/>
  <c r="BS288" i="3"/>
  <c r="BT288" i="3"/>
  <c r="BU288" i="3"/>
  <c r="BV288" i="3"/>
  <c r="BW288" i="3"/>
  <c r="BX288" i="3"/>
  <c r="BY288" i="3"/>
  <c r="D289" i="3"/>
  <c r="E289" i="3"/>
  <c r="F289" i="3"/>
  <c r="G289" i="3"/>
  <c r="H289" i="3"/>
  <c r="I289" i="3"/>
  <c r="J289" i="3"/>
  <c r="K289" i="3"/>
  <c r="L289" i="3"/>
  <c r="M289" i="3"/>
  <c r="N289" i="3"/>
  <c r="O289" i="3"/>
  <c r="P289" i="3"/>
  <c r="Q289" i="3"/>
  <c r="R289" i="3"/>
  <c r="S289" i="3"/>
  <c r="T289" i="3"/>
  <c r="U289" i="3"/>
  <c r="V289" i="3"/>
  <c r="W289" i="3"/>
  <c r="X289" i="3"/>
  <c r="Y289" i="3"/>
  <c r="Z289" i="3"/>
  <c r="AA289" i="3"/>
  <c r="AB289" i="3"/>
  <c r="AC289" i="3"/>
  <c r="AD289" i="3"/>
  <c r="AE289" i="3"/>
  <c r="AF289" i="3"/>
  <c r="AG289" i="3"/>
  <c r="AH289" i="3"/>
  <c r="AI289" i="3"/>
  <c r="AJ289" i="3"/>
  <c r="AK289" i="3"/>
  <c r="AL289" i="3"/>
  <c r="AM289" i="3"/>
  <c r="AN289" i="3"/>
  <c r="AO289" i="3"/>
  <c r="AP289" i="3"/>
  <c r="AQ289" i="3"/>
  <c r="AR289" i="3"/>
  <c r="AS289" i="3"/>
  <c r="AT289" i="3"/>
  <c r="AU289" i="3"/>
  <c r="AV289" i="3"/>
  <c r="AW289" i="3"/>
  <c r="AX289" i="3"/>
  <c r="AY289" i="3"/>
  <c r="AZ289" i="3"/>
  <c r="BA289" i="3"/>
  <c r="BB289" i="3"/>
  <c r="BC289" i="3"/>
  <c r="BD289" i="3"/>
  <c r="BE289" i="3"/>
  <c r="BF289" i="3"/>
  <c r="BG289" i="3"/>
  <c r="BH289" i="3"/>
  <c r="BI289" i="3"/>
  <c r="BJ289" i="3"/>
  <c r="BK289" i="3"/>
  <c r="BL289" i="3"/>
  <c r="BM289" i="3"/>
  <c r="BN289" i="3"/>
  <c r="BO289" i="3"/>
  <c r="BP289" i="3"/>
  <c r="BQ289" i="3"/>
  <c r="BR289" i="3"/>
  <c r="BS289" i="3"/>
  <c r="BT289" i="3"/>
  <c r="BU289" i="3"/>
  <c r="BV289" i="3"/>
  <c r="BW289" i="3"/>
  <c r="BX289" i="3"/>
  <c r="BY289" i="3"/>
  <c r="D290" i="3"/>
  <c r="E290" i="3"/>
  <c r="F290" i="3"/>
  <c r="G290" i="3"/>
  <c r="H290" i="3"/>
  <c r="I290" i="3"/>
  <c r="J290" i="3"/>
  <c r="K290" i="3"/>
  <c r="L290" i="3"/>
  <c r="M290" i="3"/>
  <c r="N290" i="3"/>
  <c r="O290" i="3"/>
  <c r="P290" i="3"/>
  <c r="Q290" i="3"/>
  <c r="R290" i="3"/>
  <c r="S290" i="3"/>
  <c r="T290" i="3"/>
  <c r="U290" i="3"/>
  <c r="V290" i="3"/>
  <c r="W290" i="3"/>
  <c r="X290" i="3"/>
  <c r="Y290" i="3"/>
  <c r="Z290" i="3"/>
  <c r="AA290" i="3"/>
  <c r="AB290" i="3"/>
  <c r="AC290" i="3"/>
  <c r="AD290" i="3"/>
  <c r="AE290" i="3"/>
  <c r="AF290" i="3"/>
  <c r="AG290" i="3"/>
  <c r="AH290" i="3"/>
  <c r="AI290" i="3"/>
  <c r="AJ290" i="3"/>
  <c r="AK290" i="3"/>
  <c r="AL290" i="3"/>
  <c r="AM290" i="3"/>
  <c r="AN290" i="3"/>
  <c r="AO290" i="3"/>
  <c r="AP290" i="3"/>
  <c r="AQ290" i="3"/>
  <c r="AR290" i="3"/>
  <c r="AS290" i="3"/>
  <c r="AT290" i="3"/>
  <c r="AU290" i="3"/>
  <c r="AV290" i="3"/>
  <c r="AW290" i="3"/>
  <c r="AX290" i="3"/>
  <c r="AY290" i="3"/>
  <c r="AZ290" i="3"/>
  <c r="BA290" i="3"/>
  <c r="BB290" i="3"/>
  <c r="BC290" i="3"/>
  <c r="BD290" i="3"/>
  <c r="BE290" i="3"/>
  <c r="BF290" i="3"/>
  <c r="BG290" i="3"/>
  <c r="BH290" i="3"/>
  <c r="BI290" i="3"/>
  <c r="BJ290" i="3"/>
  <c r="BK290" i="3"/>
  <c r="BL290" i="3"/>
  <c r="BM290" i="3"/>
  <c r="BN290" i="3"/>
  <c r="BO290" i="3"/>
  <c r="BP290" i="3"/>
  <c r="BQ290" i="3"/>
  <c r="BR290" i="3"/>
  <c r="BS290" i="3"/>
  <c r="BT290" i="3"/>
  <c r="BU290" i="3"/>
  <c r="BV290" i="3"/>
  <c r="BW290" i="3"/>
  <c r="BX290" i="3"/>
  <c r="BY290" i="3"/>
  <c r="D291" i="3"/>
  <c r="E291" i="3"/>
  <c r="F291" i="3"/>
  <c r="G291" i="3"/>
  <c r="H291" i="3"/>
  <c r="I291" i="3"/>
  <c r="J291" i="3"/>
  <c r="K291" i="3"/>
  <c r="L291" i="3"/>
  <c r="M291" i="3"/>
  <c r="N291" i="3"/>
  <c r="O291" i="3"/>
  <c r="P291" i="3"/>
  <c r="Q291" i="3"/>
  <c r="R291" i="3"/>
  <c r="S291" i="3"/>
  <c r="T291" i="3"/>
  <c r="U291" i="3"/>
  <c r="V291" i="3"/>
  <c r="W291" i="3"/>
  <c r="X291" i="3"/>
  <c r="Y291" i="3"/>
  <c r="Z291" i="3"/>
  <c r="AA291" i="3"/>
  <c r="AB291" i="3"/>
  <c r="AC291" i="3"/>
  <c r="AD291" i="3"/>
  <c r="AE291" i="3"/>
  <c r="AF291" i="3"/>
  <c r="AG291" i="3"/>
  <c r="AH291" i="3"/>
  <c r="AI291" i="3"/>
  <c r="AJ291" i="3"/>
  <c r="AK291" i="3"/>
  <c r="AL291" i="3"/>
  <c r="AM291" i="3"/>
  <c r="AN291" i="3"/>
  <c r="AO291" i="3"/>
  <c r="AP291" i="3"/>
  <c r="AQ291" i="3"/>
  <c r="AR291" i="3"/>
  <c r="AS291" i="3"/>
  <c r="AT291" i="3"/>
  <c r="AU291" i="3"/>
  <c r="AV291" i="3"/>
  <c r="AW291" i="3"/>
  <c r="AX291" i="3"/>
  <c r="AY291" i="3"/>
  <c r="AZ291" i="3"/>
  <c r="BA291" i="3"/>
  <c r="BB291" i="3"/>
  <c r="BC291" i="3"/>
  <c r="BD291" i="3"/>
  <c r="BE291" i="3"/>
  <c r="BF291" i="3"/>
  <c r="BG291" i="3"/>
  <c r="BH291" i="3"/>
  <c r="BI291" i="3"/>
  <c r="BJ291" i="3"/>
  <c r="BK291" i="3"/>
  <c r="BL291" i="3"/>
  <c r="BM291" i="3"/>
  <c r="BN291" i="3"/>
  <c r="BO291" i="3"/>
  <c r="BP291" i="3"/>
  <c r="BQ291" i="3"/>
  <c r="BR291" i="3"/>
  <c r="BS291" i="3"/>
  <c r="BT291" i="3"/>
  <c r="BU291" i="3"/>
  <c r="BV291" i="3"/>
  <c r="BW291" i="3"/>
  <c r="BX291" i="3"/>
  <c r="BY291" i="3"/>
  <c r="D292" i="3"/>
  <c r="E292" i="3"/>
  <c r="F292" i="3"/>
  <c r="G292" i="3"/>
  <c r="H292" i="3"/>
  <c r="I292" i="3"/>
  <c r="J292" i="3"/>
  <c r="K292" i="3"/>
  <c r="L292" i="3"/>
  <c r="M292" i="3"/>
  <c r="N292" i="3"/>
  <c r="O292" i="3"/>
  <c r="P292" i="3"/>
  <c r="Q292" i="3"/>
  <c r="R292" i="3"/>
  <c r="S292" i="3"/>
  <c r="T292" i="3"/>
  <c r="U292" i="3"/>
  <c r="V292" i="3"/>
  <c r="W292" i="3"/>
  <c r="X292" i="3"/>
  <c r="Y292" i="3"/>
  <c r="Z292" i="3"/>
  <c r="AA292" i="3"/>
  <c r="AB292" i="3"/>
  <c r="AC292" i="3"/>
  <c r="AD292" i="3"/>
  <c r="AE292" i="3"/>
  <c r="AF292" i="3"/>
  <c r="AG292" i="3"/>
  <c r="AH292" i="3"/>
  <c r="AI292" i="3"/>
  <c r="AJ292" i="3"/>
  <c r="AK292" i="3"/>
  <c r="AL292" i="3"/>
  <c r="AM292" i="3"/>
  <c r="AN292" i="3"/>
  <c r="AO292" i="3"/>
  <c r="AP292" i="3"/>
  <c r="AQ292" i="3"/>
  <c r="AR292" i="3"/>
  <c r="AS292" i="3"/>
  <c r="AT292" i="3"/>
  <c r="AU292" i="3"/>
  <c r="AV292" i="3"/>
  <c r="AW292" i="3"/>
  <c r="AX292" i="3"/>
  <c r="AY292" i="3"/>
  <c r="AZ292" i="3"/>
  <c r="BA292" i="3"/>
  <c r="BB292" i="3"/>
  <c r="BC292" i="3"/>
  <c r="BD292" i="3"/>
  <c r="BE292" i="3"/>
  <c r="BF292" i="3"/>
  <c r="BG292" i="3"/>
  <c r="BH292" i="3"/>
  <c r="BI292" i="3"/>
  <c r="BJ292" i="3"/>
  <c r="BK292" i="3"/>
  <c r="BL292" i="3"/>
  <c r="BM292" i="3"/>
  <c r="BN292" i="3"/>
  <c r="BO292" i="3"/>
  <c r="BP292" i="3"/>
  <c r="BQ292" i="3"/>
  <c r="BR292" i="3"/>
  <c r="BS292" i="3"/>
  <c r="BT292" i="3"/>
  <c r="BU292" i="3"/>
  <c r="BV292" i="3"/>
  <c r="BW292" i="3"/>
  <c r="BX292" i="3"/>
  <c r="BY292" i="3"/>
  <c r="D293" i="3"/>
  <c r="E293" i="3"/>
  <c r="F293" i="3"/>
  <c r="G293" i="3"/>
  <c r="H293" i="3"/>
  <c r="I293" i="3"/>
  <c r="J293" i="3"/>
  <c r="K293" i="3"/>
  <c r="L293" i="3"/>
  <c r="M293" i="3"/>
  <c r="N293" i="3"/>
  <c r="O293" i="3"/>
  <c r="P293" i="3"/>
  <c r="Q293" i="3"/>
  <c r="R293" i="3"/>
  <c r="S293" i="3"/>
  <c r="T293" i="3"/>
  <c r="U293" i="3"/>
  <c r="V293" i="3"/>
  <c r="W293" i="3"/>
  <c r="X293" i="3"/>
  <c r="Y293" i="3"/>
  <c r="Z293" i="3"/>
  <c r="AA293" i="3"/>
  <c r="AB293" i="3"/>
  <c r="AC293" i="3"/>
  <c r="AD293" i="3"/>
  <c r="AE293" i="3"/>
  <c r="AF293" i="3"/>
  <c r="AG293" i="3"/>
  <c r="AH293" i="3"/>
  <c r="AI293" i="3"/>
  <c r="AJ293" i="3"/>
  <c r="AK293" i="3"/>
  <c r="AL293" i="3"/>
  <c r="AM293" i="3"/>
  <c r="AN293" i="3"/>
  <c r="AO293" i="3"/>
  <c r="AP293" i="3"/>
  <c r="AQ293" i="3"/>
  <c r="AR293" i="3"/>
  <c r="AS293" i="3"/>
  <c r="AT293" i="3"/>
  <c r="AU293" i="3"/>
  <c r="AV293" i="3"/>
  <c r="AW293" i="3"/>
  <c r="AX293" i="3"/>
  <c r="AY293" i="3"/>
  <c r="AZ293" i="3"/>
  <c r="BA293" i="3"/>
  <c r="BB293" i="3"/>
  <c r="BC293" i="3"/>
  <c r="BD293" i="3"/>
  <c r="BE293" i="3"/>
  <c r="BF293" i="3"/>
  <c r="BG293" i="3"/>
  <c r="BH293" i="3"/>
  <c r="BI293" i="3"/>
  <c r="BJ293" i="3"/>
  <c r="BK293" i="3"/>
  <c r="BL293" i="3"/>
  <c r="BM293" i="3"/>
  <c r="BN293" i="3"/>
  <c r="BO293" i="3"/>
  <c r="BP293" i="3"/>
  <c r="BQ293" i="3"/>
  <c r="BR293" i="3"/>
  <c r="BS293" i="3"/>
  <c r="BT293" i="3"/>
  <c r="BU293" i="3"/>
  <c r="BV293" i="3"/>
  <c r="BW293" i="3"/>
  <c r="BX293" i="3"/>
  <c r="BY293" i="3"/>
  <c r="D294" i="3"/>
  <c r="E294" i="3"/>
  <c r="F294" i="3"/>
  <c r="G294" i="3"/>
  <c r="H294" i="3"/>
  <c r="I294" i="3"/>
  <c r="J294" i="3"/>
  <c r="K294" i="3"/>
  <c r="L294" i="3"/>
  <c r="M294" i="3"/>
  <c r="N294" i="3"/>
  <c r="O294" i="3"/>
  <c r="P294" i="3"/>
  <c r="Q294" i="3"/>
  <c r="R294" i="3"/>
  <c r="S294" i="3"/>
  <c r="T294" i="3"/>
  <c r="U294" i="3"/>
  <c r="V294" i="3"/>
  <c r="W294" i="3"/>
  <c r="X294" i="3"/>
  <c r="Y294" i="3"/>
  <c r="Z294" i="3"/>
  <c r="AA294" i="3"/>
  <c r="AB294" i="3"/>
  <c r="AC294" i="3"/>
  <c r="AD294" i="3"/>
  <c r="AE294" i="3"/>
  <c r="AF294" i="3"/>
  <c r="AG294" i="3"/>
  <c r="AH294" i="3"/>
  <c r="AI294" i="3"/>
  <c r="AJ294" i="3"/>
  <c r="AK294" i="3"/>
  <c r="AL294" i="3"/>
  <c r="AM294" i="3"/>
  <c r="AN294" i="3"/>
  <c r="AO294" i="3"/>
  <c r="AP294" i="3"/>
  <c r="AQ294" i="3"/>
  <c r="AR294" i="3"/>
  <c r="AS294" i="3"/>
  <c r="AT294" i="3"/>
  <c r="AU294" i="3"/>
  <c r="AV294" i="3"/>
  <c r="AW294" i="3"/>
  <c r="AX294" i="3"/>
  <c r="AY294" i="3"/>
  <c r="AZ294" i="3"/>
  <c r="BA294" i="3"/>
  <c r="BB294" i="3"/>
  <c r="BC294" i="3"/>
  <c r="BD294" i="3"/>
  <c r="BE294" i="3"/>
  <c r="BF294" i="3"/>
  <c r="BG294" i="3"/>
  <c r="BH294" i="3"/>
  <c r="BI294" i="3"/>
  <c r="BJ294" i="3"/>
  <c r="BK294" i="3"/>
  <c r="BL294" i="3"/>
  <c r="BM294" i="3"/>
  <c r="BN294" i="3"/>
  <c r="BO294" i="3"/>
  <c r="BP294" i="3"/>
  <c r="BQ294" i="3"/>
  <c r="BR294" i="3"/>
  <c r="BS294" i="3"/>
  <c r="BT294" i="3"/>
  <c r="BU294" i="3"/>
  <c r="BV294" i="3"/>
  <c r="BW294" i="3"/>
  <c r="BX294" i="3"/>
  <c r="BY294" i="3"/>
  <c r="D295" i="3"/>
  <c r="E295" i="3"/>
  <c r="F295" i="3"/>
  <c r="G295" i="3"/>
  <c r="H295" i="3"/>
  <c r="I295" i="3"/>
  <c r="J295" i="3"/>
  <c r="K295" i="3"/>
  <c r="L295" i="3"/>
  <c r="M295" i="3"/>
  <c r="N295" i="3"/>
  <c r="O295" i="3"/>
  <c r="P295" i="3"/>
  <c r="Q295" i="3"/>
  <c r="R295" i="3"/>
  <c r="S295" i="3"/>
  <c r="T295" i="3"/>
  <c r="U295" i="3"/>
  <c r="V295" i="3"/>
  <c r="W295" i="3"/>
  <c r="X295" i="3"/>
  <c r="Y295" i="3"/>
  <c r="Z295" i="3"/>
  <c r="AA295" i="3"/>
  <c r="AB295" i="3"/>
  <c r="AC295" i="3"/>
  <c r="AD295" i="3"/>
  <c r="AE295" i="3"/>
  <c r="AF295" i="3"/>
  <c r="AG295" i="3"/>
  <c r="AH295" i="3"/>
  <c r="AI295" i="3"/>
  <c r="AJ295" i="3"/>
  <c r="AK295" i="3"/>
  <c r="AL295" i="3"/>
  <c r="AM295" i="3"/>
  <c r="AN295" i="3"/>
  <c r="AO295" i="3"/>
  <c r="AP295" i="3"/>
  <c r="AQ295" i="3"/>
  <c r="AR295" i="3"/>
  <c r="AS295" i="3"/>
  <c r="AT295" i="3"/>
  <c r="AU295" i="3"/>
  <c r="AV295" i="3"/>
  <c r="AW295" i="3"/>
  <c r="AX295" i="3"/>
  <c r="AY295" i="3"/>
  <c r="AZ295" i="3"/>
  <c r="BA295" i="3"/>
  <c r="BB295" i="3"/>
  <c r="BC295" i="3"/>
  <c r="BD295" i="3"/>
  <c r="BE295" i="3"/>
  <c r="BF295" i="3"/>
  <c r="BG295" i="3"/>
  <c r="BH295" i="3"/>
  <c r="BI295" i="3"/>
  <c r="BJ295" i="3"/>
  <c r="BK295" i="3"/>
  <c r="BL295" i="3"/>
  <c r="BM295" i="3"/>
  <c r="BN295" i="3"/>
  <c r="BO295" i="3"/>
  <c r="BP295" i="3"/>
  <c r="BQ295" i="3"/>
  <c r="BR295" i="3"/>
  <c r="BS295" i="3"/>
  <c r="BT295" i="3"/>
  <c r="BU295" i="3"/>
  <c r="BV295" i="3"/>
  <c r="BW295" i="3"/>
  <c r="BX295" i="3"/>
  <c r="BY295" i="3"/>
  <c r="D296" i="3"/>
  <c r="E296" i="3"/>
  <c r="F296" i="3"/>
  <c r="G296" i="3"/>
  <c r="H296" i="3"/>
  <c r="I296" i="3"/>
  <c r="J296" i="3"/>
  <c r="K296" i="3"/>
  <c r="L296" i="3"/>
  <c r="M296" i="3"/>
  <c r="N296" i="3"/>
  <c r="O296" i="3"/>
  <c r="P296" i="3"/>
  <c r="Q296" i="3"/>
  <c r="R296" i="3"/>
  <c r="S296" i="3"/>
  <c r="T296" i="3"/>
  <c r="U296" i="3"/>
  <c r="V296" i="3"/>
  <c r="W296" i="3"/>
  <c r="X296" i="3"/>
  <c r="Y296" i="3"/>
  <c r="Z296" i="3"/>
  <c r="AA296" i="3"/>
  <c r="AB296" i="3"/>
  <c r="AC296" i="3"/>
  <c r="AD296" i="3"/>
  <c r="AE296" i="3"/>
  <c r="AF296" i="3"/>
  <c r="AG296" i="3"/>
  <c r="AH296" i="3"/>
  <c r="AI296" i="3"/>
  <c r="AJ296" i="3"/>
  <c r="AK296" i="3"/>
  <c r="AL296" i="3"/>
  <c r="AM296" i="3"/>
  <c r="AN296" i="3"/>
  <c r="AO296" i="3"/>
  <c r="AP296" i="3"/>
  <c r="AQ296" i="3"/>
  <c r="AR296" i="3"/>
  <c r="AS296" i="3"/>
  <c r="AT296" i="3"/>
  <c r="AU296" i="3"/>
  <c r="AV296" i="3"/>
  <c r="AW296" i="3"/>
  <c r="AX296" i="3"/>
  <c r="AY296" i="3"/>
  <c r="AZ296" i="3"/>
  <c r="BA296" i="3"/>
  <c r="BB296" i="3"/>
  <c r="BC296" i="3"/>
  <c r="BD296" i="3"/>
  <c r="BE296" i="3"/>
  <c r="BF296" i="3"/>
  <c r="BG296" i="3"/>
  <c r="BH296" i="3"/>
  <c r="BI296" i="3"/>
  <c r="BJ296" i="3"/>
  <c r="BK296" i="3"/>
  <c r="BL296" i="3"/>
  <c r="BM296" i="3"/>
  <c r="BN296" i="3"/>
  <c r="BO296" i="3"/>
  <c r="BP296" i="3"/>
  <c r="BQ296" i="3"/>
  <c r="BR296" i="3"/>
  <c r="BS296" i="3"/>
  <c r="BT296" i="3"/>
  <c r="BU296" i="3"/>
  <c r="BV296" i="3"/>
  <c r="BW296" i="3"/>
  <c r="BX296" i="3"/>
  <c r="BY296" i="3"/>
  <c r="D297" i="3"/>
  <c r="E297" i="3"/>
  <c r="F297" i="3"/>
  <c r="G297" i="3"/>
  <c r="H297" i="3"/>
  <c r="I297" i="3"/>
  <c r="J297" i="3"/>
  <c r="K297" i="3"/>
  <c r="L297" i="3"/>
  <c r="M297" i="3"/>
  <c r="N297" i="3"/>
  <c r="O297" i="3"/>
  <c r="P297" i="3"/>
  <c r="Q297" i="3"/>
  <c r="R297" i="3"/>
  <c r="S297" i="3"/>
  <c r="T297" i="3"/>
  <c r="U297" i="3"/>
  <c r="V297" i="3"/>
  <c r="W297" i="3"/>
  <c r="X297" i="3"/>
  <c r="Y297" i="3"/>
  <c r="Z297" i="3"/>
  <c r="AA297" i="3"/>
  <c r="AB297" i="3"/>
  <c r="AC297" i="3"/>
  <c r="AD297" i="3"/>
  <c r="AE297" i="3"/>
  <c r="AF297" i="3"/>
  <c r="AG297" i="3"/>
  <c r="AH297" i="3"/>
  <c r="AI297" i="3"/>
  <c r="AJ297" i="3"/>
  <c r="AK297" i="3"/>
  <c r="AL297" i="3"/>
  <c r="AM297" i="3"/>
  <c r="AN297" i="3"/>
  <c r="AO297" i="3"/>
  <c r="AP297" i="3"/>
  <c r="AQ297" i="3"/>
  <c r="AR297" i="3"/>
  <c r="AS297" i="3"/>
  <c r="AT297" i="3"/>
  <c r="AU297" i="3"/>
  <c r="AV297" i="3"/>
  <c r="AW297" i="3"/>
  <c r="AX297" i="3"/>
  <c r="AY297" i="3"/>
  <c r="AZ297" i="3"/>
  <c r="BA297" i="3"/>
  <c r="BB297" i="3"/>
  <c r="BC297" i="3"/>
  <c r="BD297" i="3"/>
  <c r="BE297" i="3"/>
  <c r="BF297" i="3"/>
  <c r="BG297" i="3"/>
  <c r="BH297" i="3"/>
  <c r="BI297" i="3"/>
  <c r="BJ297" i="3"/>
  <c r="BK297" i="3"/>
  <c r="BL297" i="3"/>
  <c r="BM297" i="3"/>
  <c r="BN297" i="3"/>
  <c r="BO297" i="3"/>
  <c r="BP297" i="3"/>
  <c r="BQ297" i="3"/>
  <c r="BR297" i="3"/>
  <c r="BS297" i="3"/>
  <c r="BT297" i="3"/>
  <c r="BU297" i="3"/>
  <c r="BV297" i="3"/>
  <c r="BW297" i="3"/>
  <c r="BX297" i="3"/>
  <c r="BY297" i="3"/>
  <c r="D298" i="3"/>
  <c r="E298" i="3"/>
  <c r="F298" i="3"/>
  <c r="G298" i="3"/>
  <c r="H298" i="3"/>
  <c r="I298" i="3"/>
  <c r="J298" i="3"/>
  <c r="K298" i="3"/>
  <c r="L298" i="3"/>
  <c r="M298" i="3"/>
  <c r="N298" i="3"/>
  <c r="O298" i="3"/>
  <c r="P298" i="3"/>
  <c r="Q298" i="3"/>
  <c r="R298" i="3"/>
  <c r="S298" i="3"/>
  <c r="T298" i="3"/>
  <c r="U298" i="3"/>
  <c r="V298" i="3"/>
  <c r="W298" i="3"/>
  <c r="X298" i="3"/>
  <c r="Y298" i="3"/>
  <c r="Z298" i="3"/>
  <c r="AA298" i="3"/>
  <c r="AB298" i="3"/>
  <c r="AC298" i="3"/>
  <c r="AD298" i="3"/>
  <c r="AE298" i="3"/>
  <c r="AF298" i="3"/>
  <c r="AG298" i="3"/>
  <c r="AH298" i="3"/>
  <c r="AI298" i="3"/>
  <c r="AJ298" i="3"/>
  <c r="AK298" i="3"/>
  <c r="AL298" i="3"/>
  <c r="AM298" i="3"/>
  <c r="AN298" i="3"/>
  <c r="AO298" i="3"/>
  <c r="AP298" i="3"/>
  <c r="AQ298" i="3"/>
  <c r="AR298" i="3"/>
  <c r="AS298" i="3"/>
  <c r="AT298" i="3"/>
  <c r="AU298" i="3"/>
  <c r="AV298" i="3"/>
  <c r="AW298" i="3"/>
  <c r="AX298" i="3"/>
  <c r="AY298" i="3"/>
  <c r="AZ298" i="3"/>
  <c r="BA298" i="3"/>
  <c r="BB298" i="3"/>
  <c r="BC298" i="3"/>
  <c r="BD298" i="3"/>
  <c r="BE298" i="3"/>
  <c r="BF298" i="3"/>
  <c r="BG298" i="3"/>
  <c r="BH298" i="3"/>
  <c r="BI298" i="3"/>
  <c r="BJ298" i="3"/>
  <c r="BK298" i="3"/>
  <c r="BL298" i="3"/>
  <c r="BM298" i="3"/>
  <c r="BN298" i="3"/>
  <c r="BO298" i="3"/>
  <c r="BP298" i="3"/>
  <c r="BQ298" i="3"/>
  <c r="BR298" i="3"/>
  <c r="BS298" i="3"/>
  <c r="BT298" i="3"/>
  <c r="BU298" i="3"/>
  <c r="BV298" i="3"/>
  <c r="BW298" i="3"/>
  <c r="BX298" i="3"/>
  <c r="BY298" i="3"/>
  <c r="D299" i="3"/>
  <c r="E299" i="3"/>
  <c r="F299" i="3"/>
  <c r="G299" i="3"/>
  <c r="H299" i="3"/>
  <c r="I299" i="3"/>
  <c r="J299" i="3"/>
  <c r="K299" i="3"/>
  <c r="L299" i="3"/>
  <c r="M299" i="3"/>
  <c r="N299" i="3"/>
  <c r="O299" i="3"/>
  <c r="P299" i="3"/>
  <c r="Q299" i="3"/>
  <c r="R299" i="3"/>
  <c r="S299" i="3"/>
  <c r="T299" i="3"/>
  <c r="U299" i="3"/>
  <c r="V299" i="3"/>
  <c r="W299" i="3"/>
  <c r="X299" i="3"/>
  <c r="Y299" i="3"/>
  <c r="Z299" i="3"/>
  <c r="AA299" i="3"/>
  <c r="AB299" i="3"/>
  <c r="AC299" i="3"/>
  <c r="AD299" i="3"/>
  <c r="AE299" i="3"/>
  <c r="AF299" i="3"/>
  <c r="AG299" i="3"/>
  <c r="AH299" i="3"/>
  <c r="AI299" i="3"/>
  <c r="AJ299" i="3"/>
  <c r="AK299" i="3"/>
  <c r="AL299" i="3"/>
  <c r="AM299" i="3"/>
  <c r="AN299" i="3"/>
  <c r="AO299" i="3"/>
  <c r="AP299" i="3"/>
  <c r="AQ299" i="3"/>
  <c r="AR299" i="3"/>
  <c r="AS299" i="3"/>
  <c r="AT299" i="3"/>
  <c r="AU299" i="3"/>
  <c r="AV299" i="3"/>
  <c r="AW299" i="3"/>
  <c r="AX299" i="3"/>
  <c r="AY299" i="3"/>
  <c r="AZ299" i="3"/>
  <c r="BA299" i="3"/>
  <c r="BB299" i="3"/>
  <c r="BC299" i="3"/>
  <c r="BD299" i="3"/>
  <c r="BE299" i="3"/>
  <c r="BF299" i="3"/>
  <c r="BG299" i="3"/>
  <c r="BH299" i="3"/>
  <c r="BI299" i="3"/>
  <c r="BJ299" i="3"/>
  <c r="BK299" i="3"/>
  <c r="BL299" i="3"/>
  <c r="BM299" i="3"/>
  <c r="BN299" i="3"/>
  <c r="BO299" i="3"/>
  <c r="BP299" i="3"/>
  <c r="BQ299" i="3"/>
  <c r="BR299" i="3"/>
  <c r="BS299" i="3"/>
  <c r="BT299" i="3"/>
  <c r="BU299" i="3"/>
  <c r="BV299" i="3"/>
  <c r="BW299" i="3"/>
  <c r="BX299" i="3"/>
  <c r="BY299" i="3"/>
  <c r="D300" i="3"/>
  <c r="E300" i="3"/>
  <c r="F300" i="3"/>
  <c r="G300" i="3"/>
  <c r="H300" i="3"/>
  <c r="I300" i="3"/>
  <c r="J300" i="3"/>
  <c r="K300" i="3"/>
  <c r="L300" i="3"/>
  <c r="M300" i="3"/>
  <c r="N300" i="3"/>
  <c r="O300" i="3"/>
  <c r="P300" i="3"/>
  <c r="Q300" i="3"/>
  <c r="R300" i="3"/>
  <c r="S300" i="3"/>
  <c r="T300" i="3"/>
  <c r="U300" i="3"/>
  <c r="V300" i="3"/>
  <c r="W300" i="3"/>
  <c r="X300" i="3"/>
  <c r="Y300" i="3"/>
  <c r="Z300" i="3"/>
  <c r="AA300" i="3"/>
  <c r="AB300" i="3"/>
  <c r="AC300" i="3"/>
  <c r="AD300" i="3"/>
  <c r="AE300" i="3"/>
  <c r="AF300" i="3"/>
  <c r="AG300" i="3"/>
  <c r="AH300" i="3"/>
  <c r="AI300" i="3"/>
  <c r="AJ300" i="3"/>
  <c r="AK300" i="3"/>
  <c r="AL300" i="3"/>
  <c r="AM300" i="3"/>
  <c r="AN300" i="3"/>
  <c r="AO300" i="3"/>
  <c r="AP300" i="3"/>
  <c r="AQ300" i="3"/>
  <c r="AR300" i="3"/>
  <c r="AS300" i="3"/>
  <c r="AT300" i="3"/>
  <c r="AU300" i="3"/>
  <c r="AV300" i="3"/>
  <c r="AW300" i="3"/>
  <c r="AX300" i="3"/>
  <c r="AY300" i="3"/>
  <c r="AZ300" i="3"/>
  <c r="BA300" i="3"/>
  <c r="BB300" i="3"/>
  <c r="BC300" i="3"/>
  <c r="BD300" i="3"/>
  <c r="BE300" i="3"/>
  <c r="BF300" i="3"/>
  <c r="BG300" i="3"/>
  <c r="BH300" i="3"/>
  <c r="BI300" i="3"/>
  <c r="BJ300" i="3"/>
  <c r="BK300" i="3"/>
  <c r="BL300" i="3"/>
  <c r="BM300" i="3"/>
  <c r="BN300" i="3"/>
  <c r="BO300" i="3"/>
  <c r="BP300" i="3"/>
  <c r="BQ300" i="3"/>
  <c r="BR300" i="3"/>
  <c r="BS300" i="3"/>
  <c r="BT300" i="3"/>
  <c r="BU300" i="3"/>
  <c r="BV300" i="3"/>
  <c r="BW300" i="3"/>
  <c r="BX300" i="3"/>
  <c r="BY300" i="3"/>
  <c r="D301" i="3"/>
  <c r="E301" i="3"/>
  <c r="F301" i="3"/>
  <c r="G301" i="3"/>
  <c r="H301" i="3"/>
  <c r="I301" i="3"/>
  <c r="J301" i="3"/>
  <c r="K301" i="3"/>
  <c r="L301" i="3"/>
  <c r="M301" i="3"/>
  <c r="N301" i="3"/>
  <c r="O301" i="3"/>
  <c r="P301" i="3"/>
  <c r="Q301" i="3"/>
  <c r="R301" i="3"/>
  <c r="S301" i="3"/>
  <c r="T301" i="3"/>
  <c r="U301" i="3"/>
  <c r="V301" i="3"/>
  <c r="W301" i="3"/>
  <c r="X301" i="3"/>
  <c r="Y301" i="3"/>
  <c r="Z301" i="3"/>
  <c r="AA301" i="3"/>
  <c r="AB301" i="3"/>
  <c r="AC301" i="3"/>
  <c r="AD301" i="3"/>
  <c r="AE301" i="3"/>
  <c r="AF301" i="3"/>
  <c r="AG301" i="3"/>
  <c r="AH301" i="3"/>
  <c r="AI301" i="3"/>
  <c r="AJ301" i="3"/>
  <c r="AK301" i="3"/>
  <c r="AL301" i="3"/>
  <c r="AM301" i="3"/>
  <c r="AN301" i="3"/>
  <c r="AO301" i="3"/>
  <c r="AP301" i="3"/>
  <c r="AQ301" i="3"/>
  <c r="AR301" i="3"/>
  <c r="AS301" i="3"/>
  <c r="AT301" i="3"/>
  <c r="AU301" i="3"/>
  <c r="AV301" i="3"/>
  <c r="AW301" i="3"/>
  <c r="AX301" i="3"/>
  <c r="AY301" i="3"/>
  <c r="AZ301" i="3"/>
  <c r="BA301" i="3"/>
  <c r="BB301" i="3"/>
  <c r="BC301" i="3"/>
  <c r="BD301" i="3"/>
  <c r="BE301" i="3"/>
  <c r="BF301" i="3"/>
  <c r="BG301" i="3"/>
  <c r="BH301" i="3"/>
  <c r="BI301" i="3"/>
  <c r="BJ301" i="3"/>
  <c r="BK301" i="3"/>
  <c r="BL301" i="3"/>
  <c r="BM301" i="3"/>
  <c r="BN301" i="3"/>
  <c r="BO301" i="3"/>
  <c r="BP301" i="3"/>
  <c r="BQ301" i="3"/>
  <c r="BR301" i="3"/>
  <c r="BS301" i="3"/>
  <c r="BT301" i="3"/>
  <c r="BU301" i="3"/>
  <c r="BV301" i="3"/>
  <c r="BW301" i="3"/>
  <c r="BX301" i="3"/>
  <c r="BY301" i="3"/>
  <c r="D302" i="3"/>
  <c r="E302" i="3"/>
  <c r="F302" i="3"/>
  <c r="G302" i="3"/>
  <c r="H302" i="3"/>
  <c r="I302" i="3"/>
  <c r="J302" i="3"/>
  <c r="K302" i="3"/>
  <c r="L302" i="3"/>
  <c r="M302" i="3"/>
  <c r="N302" i="3"/>
  <c r="O302" i="3"/>
  <c r="P302" i="3"/>
  <c r="Q302" i="3"/>
  <c r="R302" i="3"/>
  <c r="S302" i="3"/>
  <c r="T302" i="3"/>
  <c r="U302" i="3"/>
  <c r="V302" i="3"/>
  <c r="W302" i="3"/>
  <c r="X302" i="3"/>
  <c r="Y302" i="3"/>
  <c r="Z302" i="3"/>
  <c r="AA302" i="3"/>
  <c r="AB302" i="3"/>
  <c r="AC302" i="3"/>
  <c r="AD302" i="3"/>
  <c r="AE302" i="3"/>
  <c r="AF302" i="3"/>
  <c r="AG302" i="3"/>
  <c r="AH302" i="3"/>
  <c r="AI302" i="3"/>
  <c r="AJ302" i="3"/>
  <c r="AK302" i="3"/>
  <c r="AL302" i="3"/>
  <c r="AM302" i="3"/>
  <c r="AN302" i="3"/>
  <c r="AO302" i="3"/>
  <c r="AP302" i="3"/>
  <c r="AQ302" i="3"/>
  <c r="AR302" i="3"/>
  <c r="AS302" i="3"/>
  <c r="AT302" i="3"/>
  <c r="AU302" i="3"/>
  <c r="AV302" i="3"/>
  <c r="AW302" i="3"/>
  <c r="AX302" i="3"/>
  <c r="AY302" i="3"/>
  <c r="AZ302" i="3"/>
  <c r="BA302" i="3"/>
  <c r="BB302" i="3"/>
  <c r="BC302" i="3"/>
  <c r="BD302" i="3"/>
  <c r="BE302" i="3"/>
  <c r="BF302" i="3"/>
  <c r="BG302" i="3"/>
  <c r="BH302" i="3"/>
  <c r="BI302" i="3"/>
  <c r="BJ302" i="3"/>
  <c r="BK302" i="3"/>
  <c r="BL302" i="3"/>
  <c r="BM302" i="3"/>
  <c r="BN302" i="3"/>
  <c r="BO302" i="3"/>
  <c r="BP302" i="3"/>
  <c r="BQ302" i="3"/>
  <c r="BR302" i="3"/>
  <c r="BS302" i="3"/>
  <c r="BT302" i="3"/>
  <c r="BU302" i="3"/>
  <c r="BV302" i="3"/>
  <c r="BW302" i="3"/>
  <c r="BX302" i="3"/>
  <c r="BY302" i="3"/>
  <c r="D303" i="3"/>
  <c r="E303" i="3"/>
  <c r="F303" i="3"/>
  <c r="G303" i="3"/>
  <c r="H303" i="3"/>
  <c r="I303" i="3"/>
  <c r="J303" i="3"/>
  <c r="K303" i="3"/>
  <c r="L303" i="3"/>
  <c r="M303" i="3"/>
  <c r="N303" i="3"/>
  <c r="O303" i="3"/>
  <c r="P303" i="3"/>
  <c r="Q303" i="3"/>
  <c r="R303" i="3"/>
  <c r="S303" i="3"/>
  <c r="T303" i="3"/>
  <c r="U303" i="3"/>
  <c r="V303" i="3"/>
  <c r="W303" i="3"/>
  <c r="X303" i="3"/>
  <c r="Y303" i="3"/>
  <c r="Z303" i="3"/>
  <c r="AA303" i="3"/>
  <c r="AB303" i="3"/>
  <c r="AC303" i="3"/>
  <c r="AD303" i="3"/>
  <c r="AE303" i="3"/>
  <c r="AF303" i="3"/>
  <c r="AG303" i="3"/>
  <c r="AH303" i="3"/>
  <c r="AI303" i="3"/>
  <c r="AJ303" i="3"/>
  <c r="AK303" i="3"/>
  <c r="AL303" i="3"/>
  <c r="AM303" i="3"/>
  <c r="AN303" i="3"/>
  <c r="AO303" i="3"/>
  <c r="AP303" i="3"/>
  <c r="AQ303" i="3"/>
  <c r="AR303" i="3"/>
  <c r="AS303" i="3"/>
  <c r="AT303" i="3"/>
  <c r="AU303" i="3"/>
  <c r="AV303" i="3"/>
  <c r="AW303" i="3"/>
  <c r="AX303" i="3"/>
  <c r="AY303" i="3"/>
  <c r="AZ303" i="3"/>
  <c r="BA303" i="3"/>
  <c r="BB303" i="3"/>
  <c r="BC303" i="3"/>
  <c r="BD303" i="3"/>
  <c r="BE303" i="3"/>
  <c r="BF303" i="3"/>
  <c r="BG303" i="3"/>
  <c r="BH303" i="3"/>
  <c r="BI303" i="3"/>
  <c r="BJ303" i="3"/>
  <c r="BK303" i="3"/>
  <c r="BL303" i="3"/>
  <c r="BM303" i="3"/>
  <c r="BN303" i="3"/>
  <c r="BO303" i="3"/>
  <c r="BP303" i="3"/>
  <c r="BQ303" i="3"/>
  <c r="BR303" i="3"/>
  <c r="BS303" i="3"/>
  <c r="BT303" i="3"/>
  <c r="BU303" i="3"/>
  <c r="BV303" i="3"/>
  <c r="BW303" i="3"/>
  <c r="BX303" i="3"/>
  <c r="BY303" i="3"/>
  <c r="D304" i="3"/>
  <c r="E304" i="3"/>
  <c r="F304" i="3"/>
  <c r="G304" i="3"/>
  <c r="H304" i="3"/>
  <c r="I304" i="3"/>
  <c r="J304" i="3"/>
  <c r="K304" i="3"/>
  <c r="L304" i="3"/>
  <c r="M304" i="3"/>
  <c r="N304" i="3"/>
  <c r="O304" i="3"/>
  <c r="P304" i="3"/>
  <c r="Q304" i="3"/>
  <c r="R304" i="3"/>
  <c r="S304" i="3"/>
  <c r="T304" i="3"/>
  <c r="U304" i="3"/>
  <c r="V304" i="3"/>
  <c r="W304" i="3"/>
  <c r="X304" i="3"/>
  <c r="Y304" i="3"/>
  <c r="Z304" i="3"/>
  <c r="AA304" i="3"/>
  <c r="AB304" i="3"/>
  <c r="AC304" i="3"/>
  <c r="AD304" i="3"/>
  <c r="AE304" i="3"/>
  <c r="AF304" i="3"/>
  <c r="AG304" i="3"/>
  <c r="AH304" i="3"/>
  <c r="AI304" i="3"/>
  <c r="AJ304" i="3"/>
  <c r="AK304" i="3"/>
  <c r="AL304" i="3"/>
  <c r="AM304" i="3"/>
  <c r="AN304" i="3"/>
  <c r="AO304" i="3"/>
  <c r="AP304" i="3"/>
  <c r="AQ304" i="3"/>
  <c r="AR304" i="3"/>
  <c r="AS304" i="3"/>
  <c r="AT304" i="3"/>
  <c r="AU304" i="3"/>
  <c r="AV304" i="3"/>
  <c r="AW304" i="3"/>
  <c r="AX304" i="3"/>
  <c r="AY304" i="3"/>
  <c r="AZ304" i="3"/>
  <c r="BA304" i="3"/>
  <c r="BB304" i="3"/>
  <c r="BC304" i="3"/>
  <c r="BD304" i="3"/>
  <c r="BE304" i="3"/>
  <c r="BF304" i="3"/>
  <c r="BG304" i="3"/>
  <c r="BH304" i="3"/>
  <c r="BI304" i="3"/>
  <c r="BJ304" i="3"/>
  <c r="BK304" i="3"/>
  <c r="BL304" i="3"/>
  <c r="BM304" i="3"/>
  <c r="BN304" i="3"/>
  <c r="BO304" i="3"/>
  <c r="BP304" i="3"/>
  <c r="BQ304" i="3"/>
  <c r="BR304" i="3"/>
  <c r="BS304" i="3"/>
  <c r="BT304" i="3"/>
  <c r="BU304" i="3"/>
  <c r="BV304" i="3"/>
  <c r="BW304" i="3"/>
  <c r="BX304" i="3"/>
  <c r="BY304" i="3"/>
  <c r="D305" i="3"/>
  <c r="E305" i="3"/>
  <c r="F305" i="3"/>
  <c r="G305" i="3"/>
  <c r="H305" i="3"/>
  <c r="I305" i="3"/>
  <c r="J305" i="3"/>
  <c r="K305" i="3"/>
  <c r="L305" i="3"/>
  <c r="M305" i="3"/>
  <c r="N305" i="3"/>
  <c r="O305" i="3"/>
  <c r="P305" i="3"/>
  <c r="Q305" i="3"/>
  <c r="R305" i="3"/>
  <c r="S305" i="3"/>
  <c r="T305" i="3"/>
  <c r="U305" i="3"/>
  <c r="V305" i="3"/>
  <c r="W305" i="3"/>
  <c r="X305" i="3"/>
  <c r="Y305" i="3"/>
  <c r="Z305" i="3"/>
  <c r="AA305" i="3"/>
  <c r="AB305" i="3"/>
  <c r="AC305" i="3"/>
  <c r="AD305" i="3"/>
  <c r="AE305" i="3"/>
  <c r="AF305" i="3"/>
  <c r="AG305" i="3"/>
  <c r="AH305" i="3"/>
  <c r="AI305" i="3"/>
  <c r="AJ305" i="3"/>
  <c r="AK305" i="3"/>
  <c r="AL305" i="3"/>
  <c r="AM305" i="3"/>
  <c r="AN305" i="3"/>
  <c r="AO305" i="3"/>
  <c r="AP305" i="3"/>
  <c r="AQ305" i="3"/>
  <c r="AR305" i="3"/>
  <c r="AS305" i="3"/>
  <c r="AT305" i="3"/>
  <c r="AU305" i="3"/>
  <c r="AV305" i="3"/>
  <c r="AW305" i="3"/>
  <c r="AX305" i="3"/>
  <c r="AY305" i="3"/>
  <c r="AZ305" i="3"/>
  <c r="BA305" i="3"/>
  <c r="BB305" i="3"/>
  <c r="BC305" i="3"/>
  <c r="BD305" i="3"/>
  <c r="BE305" i="3"/>
  <c r="BF305" i="3"/>
  <c r="BG305" i="3"/>
  <c r="BH305" i="3"/>
  <c r="BI305" i="3"/>
  <c r="BJ305" i="3"/>
  <c r="BK305" i="3"/>
  <c r="BL305" i="3"/>
  <c r="BM305" i="3"/>
  <c r="BN305" i="3"/>
  <c r="BO305" i="3"/>
  <c r="BP305" i="3"/>
  <c r="BQ305" i="3"/>
  <c r="BR305" i="3"/>
  <c r="BS305" i="3"/>
  <c r="BT305" i="3"/>
  <c r="BU305" i="3"/>
  <c r="BV305" i="3"/>
  <c r="BW305" i="3"/>
  <c r="BX305" i="3"/>
  <c r="BY305" i="3"/>
  <c r="D306" i="3"/>
  <c r="E306" i="3"/>
  <c r="F306" i="3"/>
  <c r="G306" i="3"/>
  <c r="H306" i="3"/>
  <c r="I306" i="3"/>
  <c r="J306" i="3"/>
  <c r="K306" i="3"/>
  <c r="L306" i="3"/>
  <c r="M306" i="3"/>
  <c r="N306" i="3"/>
  <c r="O306" i="3"/>
  <c r="P306" i="3"/>
  <c r="Q306" i="3"/>
  <c r="R306" i="3"/>
  <c r="S306" i="3"/>
  <c r="T306" i="3"/>
  <c r="U306" i="3"/>
  <c r="V306" i="3"/>
  <c r="W306" i="3"/>
  <c r="X306" i="3"/>
  <c r="Y306" i="3"/>
  <c r="Z306" i="3"/>
  <c r="AA306" i="3"/>
  <c r="AB306" i="3"/>
  <c r="AC306" i="3"/>
  <c r="AD306" i="3"/>
  <c r="AE306" i="3"/>
  <c r="AF306" i="3"/>
  <c r="AG306" i="3"/>
  <c r="AH306" i="3"/>
  <c r="AI306" i="3"/>
  <c r="AJ306" i="3"/>
  <c r="AK306" i="3"/>
  <c r="AL306" i="3"/>
  <c r="AM306" i="3"/>
  <c r="AN306" i="3"/>
  <c r="AO306" i="3"/>
  <c r="AP306" i="3"/>
  <c r="AQ306" i="3"/>
  <c r="AR306" i="3"/>
  <c r="AS306" i="3"/>
  <c r="AT306" i="3"/>
  <c r="AU306" i="3"/>
  <c r="AV306" i="3"/>
  <c r="AW306" i="3"/>
  <c r="AX306" i="3"/>
  <c r="AY306" i="3"/>
  <c r="AZ306" i="3"/>
  <c r="BA306" i="3"/>
  <c r="BB306" i="3"/>
  <c r="BC306" i="3"/>
  <c r="BD306" i="3"/>
  <c r="BE306" i="3"/>
  <c r="BF306" i="3"/>
  <c r="BG306" i="3"/>
  <c r="BH306" i="3"/>
  <c r="BI306" i="3"/>
  <c r="BJ306" i="3"/>
  <c r="BK306" i="3"/>
  <c r="BL306" i="3"/>
  <c r="BM306" i="3"/>
  <c r="BN306" i="3"/>
  <c r="BO306" i="3"/>
  <c r="BP306" i="3"/>
  <c r="BQ306" i="3"/>
  <c r="BR306" i="3"/>
  <c r="BS306" i="3"/>
  <c r="BT306" i="3"/>
  <c r="BU306" i="3"/>
  <c r="BV306" i="3"/>
  <c r="BW306" i="3"/>
  <c r="BX306" i="3"/>
  <c r="BY306" i="3"/>
  <c r="D307" i="3"/>
  <c r="E307" i="3"/>
  <c r="F307" i="3"/>
  <c r="G307" i="3"/>
  <c r="H307" i="3"/>
  <c r="I307" i="3"/>
  <c r="J307" i="3"/>
  <c r="K307" i="3"/>
  <c r="L307" i="3"/>
  <c r="M307" i="3"/>
  <c r="N307" i="3"/>
  <c r="O307" i="3"/>
  <c r="P307" i="3"/>
  <c r="Q307" i="3"/>
  <c r="R307" i="3"/>
  <c r="S307" i="3"/>
  <c r="T307" i="3"/>
  <c r="U307" i="3"/>
  <c r="V307" i="3"/>
  <c r="W307" i="3"/>
  <c r="X307" i="3"/>
  <c r="Y307" i="3"/>
  <c r="Z307" i="3"/>
  <c r="AA307" i="3"/>
  <c r="AB307" i="3"/>
  <c r="AC307" i="3"/>
  <c r="AD307" i="3"/>
  <c r="AE307" i="3"/>
  <c r="AF307" i="3"/>
  <c r="AG307" i="3"/>
  <c r="AH307" i="3"/>
  <c r="AI307" i="3"/>
  <c r="AJ307" i="3"/>
  <c r="AK307" i="3"/>
  <c r="AL307" i="3"/>
  <c r="AM307" i="3"/>
  <c r="AN307" i="3"/>
  <c r="AO307" i="3"/>
  <c r="AP307" i="3"/>
  <c r="AQ307" i="3"/>
  <c r="AR307" i="3"/>
  <c r="AS307" i="3"/>
  <c r="AT307" i="3"/>
  <c r="AU307" i="3"/>
  <c r="AV307" i="3"/>
  <c r="AW307" i="3"/>
  <c r="AX307" i="3"/>
  <c r="AY307" i="3"/>
  <c r="AZ307" i="3"/>
  <c r="BA307" i="3"/>
  <c r="BB307" i="3"/>
  <c r="BC307" i="3"/>
  <c r="BD307" i="3"/>
  <c r="BE307" i="3"/>
  <c r="BF307" i="3"/>
  <c r="BG307" i="3"/>
  <c r="BH307" i="3"/>
  <c r="BI307" i="3"/>
  <c r="BJ307" i="3"/>
  <c r="BK307" i="3"/>
  <c r="BL307" i="3"/>
  <c r="BM307" i="3"/>
  <c r="BN307" i="3"/>
  <c r="BO307" i="3"/>
  <c r="BP307" i="3"/>
  <c r="BQ307" i="3"/>
  <c r="BR307" i="3"/>
  <c r="BS307" i="3"/>
  <c r="BT307" i="3"/>
  <c r="BU307" i="3"/>
  <c r="BV307" i="3"/>
  <c r="BW307" i="3"/>
  <c r="BX307" i="3"/>
  <c r="BY307" i="3"/>
  <c r="D308" i="3"/>
  <c r="E308" i="3"/>
  <c r="F308" i="3"/>
  <c r="G308" i="3"/>
  <c r="H308" i="3"/>
  <c r="I308" i="3"/>
  <c r="J308" i="3"/>
  <c r="K308" i="3"/>
  <c r="L308" i="3"/>
  <c r="M308" i="3"/>
  <c r="N308" i="3"/>
  <c r="O308" i="3"/>
  <c r="P308" i="3"/>
  <c r="Q308" i="3"/>
  <c r="R308" i="3"/>
  <c r="S308" i="3"/>
  <c r="T308" i="3"/>
  <c r="U308" i="3"/>
  <c r="V308" i="3"/>
  <c r="W308" i="3"/>
  <c r="X308" i="3"/>
  <c r="Y308" i="3"/>
  <c r="Z308" i="3"/>
  <c r="AA308" i="3"/>
  <c r="AB308" i="3"/>
  <c r="AC308" i="3"/>
  <c r="AD308" i="3"/>
  <c r="AE308" i="3"/>
  <c r="AF308" i="3"/>
  <c r="AG308" i="3"/>
  <c r="AH308" i="3"/>
  <c r="AI308" i="3"/>
  <c r="AJ308" i="3"/>
  <c r="AK308" i="3"/>
  <c r="AL308" i="3"/>
  <c r="AM308" i="3"/>
  <c r="AN308" i="3"/>
  <c r="AO308" i="3"/>
  <c r="AP308" i="3"/>
  <c r="AQ308" i="3"/>
  <c r="AR308" i="3"/>
  <c r="AS308" i="3"/>
  <c r="AT308" i="3"/>
  <c r="AU308" i="3"/>
  <c r="AV308" i="3"/>
  <c r="AW308" i="3"/>
  <c r="AX308" i="3"/>
  <c r="AY308" i="3"/>
  <c r="AZ308" i="3"/>
  <c r="BA308" i="3"/>
  <c r="BB308" i="3"/>
  <c r="BC308" i="3"/>
  <c r="BD308" i="3"/>
  <c r="BE308" i="3"/>
  <c r="BF308" i="3"/>
  <c r="BG308" i="3"/>
  <c r="BH308" i="3"/>
  <c r="BI308" i="3"/>
  <c r="BJ308" i="3"/>
  <c r="BK308" i="3"/>
  <c r="BL308" i="3"/>
  <c r="BM308" i="3"/>
  <c r="BN308" i="3"/>
  <c r="BO308" i="3"/>
  <c r="BP308" i="3"/>
  <c r="BQ308" i="3"/>
  <c r="BR308" i="3"/>
  <c r="BS308" i="3"/>
  <c r="BT308" i="3"/>
  <c r="BU308" i="3"/>
  <c r="BV308" i="3"/>
  <c r="BW308" i="3"/>
  <c r="BX308" i="3"/>
  <c r="BY308" i="3"/>
  <c r="D309" i="3"/>
  <c r="E309" i="3"/>
  <c r="F309" i="3"/>
  <c r="G309" i="3"/>
  <c r="H309" i="3"/>
  <c r="I309" i="3"/>
  <c r="J309" i="3"/>
  <c r="K309" i="3"/>
  <c r="L309" i="3"/>
  <c r="M309" i="3"/>
  <c r="N309" i="3"/>
  <c r="O309" i="3"/>
  <c r="P309" i="3"/>
  <c r="Q309" i="3"/>
  <c r="R309" i="3"/>
  <c r="S309" i="3"/>
  <c r="T309" i="3"/>
  <c r="U309" i="3"/>
  <c r="V309" i="3"/>
  <c r="W309" i="3"/>
  <c r="X309" i="3"/>
  <c r="Y309" i="3"/>
  <c r="Z309" i="3"/>
  <c r="AA309" i="3"/>
  <c r="AB309" i="3"/>
  <c r="AC309" i="3"/>
  <c r="AD309" i="3"/>
  <c r="AE309" i="3"/>
  <c r="AF309" i="3"/>
  <c r="AG309" i="3"/>
  <c r="AH309" i="3"/>
  <c r="AI309" i="3"/>
  <c r="AJ309" i="3"/>
  <c r="AK309" i="3"/>
  <c r="AL309" i="3"/>
  <c r="AM309" i="3"/>
  <c r="AN309" i="3"/>
  <c r="AO309" i="3"/>
  <c r="AP309" i="3"/>
  <c r="AQ309" i="3"/>
  <c r="AR309" i="3"/>
  <c r="AS309" i="3"/>
  <c r="AT309" i="3"/>
  <c r="AU309" i="3"/>
  <c r="AV309" i="3"/>
  <c r="AW309" i="3"/>
  <c r="AX309" i="3"/>
  <c r="AY309" i="3"/>
  <c r="AZ309" i="3"/>
  <c r="BA309" i="3"/>
  <c r="BB309" i="3"/>
  <c r="BC309" i="3"/>
  <c r="BD309" i="3"/>
  <c r="BE309" i="3"/>
  <c r="BF309" i="3"/>
  <c r="BG309" i="3"/>
  <c r="BH309" i="3"/>
  <c r="BI309" i="3"/>
  <c r="BJ309" i="3"/>
  <c r="BK309" i="3"/>
  <c r="BL309" i="3"/>
  <c r="BM309" i="3"/>
  <c r="BN309" i="3"/>
  <c r="BO309" i="3"/>
  <c r="BP309" i="3"/>
  <c r="BQ309" i="3"/>
  <c r="BR309" i="3"/>
  <c r="BS309" i="3"/>
  <c r="BT309" i="3"/>
  <c r="BU309" i="3"/>
  <c r="BV309" i="3"/>
  <c r="BW309" i="3"/>
  <c r="BX309" i="3"/>
  <c r="BY309" i="3"/>
  <c r="D310" i="3"/>
  <c r="E310" i="3"/>
  <c r="F310" i="3"/>
  <c r="G310" i="3"/>
  <c r="H310" i="3"/>
  <c r="I310" i="3"/>
  <c r="J310" i="3"/>
  <c r="K310" i="3"/>
  <c r="L310" i="3"/>
  <c r="M310" i="3"/>
  <c r="N310" i="3"/>
  <c r="O310" i="3"/>
  <c r="P310" i="3"/>
  <c r="Q310" i="3"/>
  <c r="R310" i="3"/>
  <c r="S310" i="3"/>
  <c r="T310" i="3"/>
  <c r="U310" i="3"/>
  <c r="V310" i="3"/>
  <c r="W310" i="3"/>
  <c r="X310" i="3"/>
  <c r="Y310" i="3"/>
  <c r="Z310" i="3"/>
  <c r="AA310" i="3"/>
  <c r="AB310" i="3"/>
  <c r="AC310" i="3"/>
  <c r="AD310" i="3"/>
  <c r="AE310" i="3"/>
  <c r="AF310" i="3"/>
  <c r="AG310" i="3"/>
  <c r="AH310" i="3"/>
  <c r="AI310" i="3"/>
  <c r="AJ310" i="3"/>
  <c r="AK310" i="3"/>
  <c r="AL310" i="3"/>
  <c r="AM310" i="3"/>
  <c r="AN310" i="3"/>
  <c r="AO310" i="3"/>
  <c r="AP310" i="3"/>
  <c r="AQ310" i="3"/>
  <c r="AR310" i="3"/>
  <c r="AS310" i="3"/>
  <c r="AT310" i="3"/>
  <c r="AU310" i="3"/>
  <c r="AV310" i="3"/>
  <c r="AW310" i="3"/>
  <c r="AX310" i="3"/>
  <c r="AY310" i="3"/>
  <c r="AZ310" i="3"/>
  <c r="BA310" i="3"/>
  <c r="BB310" i="3"/>
  <c r="BC310" i="3"/>
  <c r="BD310" i="3"/>
  <c r="BE310" i="3"/>
  <c r="BF310" i="3"/>
  <c r="BG310" i="3"/>
  <c r="BH310" i="3"/>
  <c r="BI310" i="3"/>
  <c r="BJ310" i="3"/>
  <c r="BK310" i="3"/>
  <c r="BL310" i="3"/>
  <c r="BM310" i="3"/>
  <c r="BN310" i="3"/>
  <c r="BO310" i="3"/>
  <c r="BP310" i="3"/>
  <c r="BQ310" i="3"/>
  <c r="BR310" i="3"/>
  <c r="BS310" i="3"/>
  <c r="BT310" i="3"/>
  <c r="BU310" i="3"/>
  <c r="BV310" i="3"/>
  <c r="BW310" i="3"/>
  <c r="BX310" i="3"/>
  <c r="BY310" i="3"/>
  <c r="D311" i="3"/>
  <c r="E311" i="3"/>
  <c r="F311" i="3"/>
  <c r="G311" i="3"/>
  <c r="H311" i="3"/>
  <c r="I311" i="3"/>
  <c r="J311" i="3"/>
  <c r="K311" i="3"/>
  <c r="L311" i="3"/>
  <c r="M311" i="3"/>
  <c r="N311" i="3"/>
  <c r="O311" i="3"/>
  <c r="P311" i="3"/>
  <c r="Q311" i="3"/>
  <c r="R311" i="3"/>
  <c r="S311" i="3"/>
  <c r="T311" i="3"/>
  <c r="U311" i="3"/>
  <c r="V311" i="3"/>
  <c r="W311" i="3"/>
  <c r="X311" i="3"/>
  <c r="Y311" i="3"/>
  <c r="Z311" i="3"/>
  <c r="AA311" i="3"/>
  <c r="AB311" i="3"/>
  <c r="AC311" i="3"/>
  <c r="AD311" i="3"/>
  <c r="AE311" i="3"/>
  <c r="AF311" i="3"/>
  <c r="AG311" i="3"/>
  <c r="AH311" i="3"/>
  <c r="AI311" i="3"/>
  <c r="AJ311" i="3"/>
  <c r="AK311" i="3"/>
  <c r="AL311" i="3"/>
  <c r="AM311" i="3"/>
  <c r="AN311" i="3"/>
  <c r="AO311" i="3"/>
  <c r="AP311" i="3"/>
  <c r="AQ311" i="3"/>
  <c r="AR311" i="3"/>
  <c r="AS311" i="3"/>
  <c r="AT311" i="3"/>
  <c r="AU311" i="3"/>
  <c r="AV311" i="3"/>
  <c r="AW311" i="3"/>
  <c r="AX311" i="3"/>
  <c r="AY311" i="3"/>
  <c r="AZ311" i="3"/>
  <c r="BA311" i="3"/>
  <c r="BB311" i="3"/>
  <c r="BC311" i="3"/>
  <c r="BD311" i="3"/>
  <c r="BE311" i="3"/>
  <c r="BF311" i="3"/>
  <c r="BG311" i="3"/>
  <c r="BH311" i="3"/>
  <c r="BI311" i="3"/>
  <c r="BJ311" i="3"/>
  <c r="BK311" i="3"/>
  <c r="BL311" i="3"/>
  <c r="BM311" i="3"/>
  <c r="BN311" i="3"/>
  <c r="BO311" i="3"/>
  <c r="BP311" i="3"/>
  <c r="BQ311" i="3"/>
  <c r="BR311" i="3"/>
  <c r="BS311" i="3"/>
  <c r="BT311" i="3"/>
  <c r="BU311" i="3"/>
  <c r="BV311" i="3"/>
  <c r="BW311" i="3"/>
  <c r="BX311" i="3"/>
  <c r="BY311" i="3"/>
  <c r="D312" i="3"/>
  <c r="E312" i="3"/>
  <c r="F312" i="3"/>
  <c r="G312" i="3"/>
  <c r="H312" i="3"/>
  <c r="I312" i="3"/>
  <c r="J312" i="3"/>
  <c r="K312" i="3"/>
  <c r="L312" i="3"/>
  <c r="M312" i="3"/>
  <c r="N312" i="3"/>
  <c r="O312" i="3"/>
  <c r="P312" i="3"/>
  <c r="Q312" i="3"/>
  <c r="R312" i="3"/>
  <c r="S312" i="3"/>
  <c r="T312" i="3"/>
  <c r="U312" i="3"/>
  <c r="V312" i="3"/>
  <c r="W312" i="3"/>
  <c r="X312" i="3"/>
  <c r="Y312" i="3"/>
  <c r="Z312" i="3"/>
  <c r="AA312" i="3"/>
  <c r="AB312" i="3"/>
  <c r="AC312" i="3"/>
  <c r="AD312" i="3"/>
  <c r="AE312" i="3"/>
  <c r="AF312" i="3"/>
  <c r="AG312" i="3"/>
  <c r="AH312" i="3"/>
  <c r="AI312" i="3"/>
  <c r="AJ312" i="3"/>
  <c r="AK312" i="3"/>
  <c r="AL312" i="3"/>
  <c r="AM312" i="3"/>
  <c r="AN312" i="3"/>
  <c r="AO312" i="3"/>
  <c r="AP312" i="3"/>
  <c r="AQ312" i="3"/>
  <c r="AR312" i="3"/>
  <c r="AS312" i="3"/>
  <c r="AT312" i="3"/>
  <c r="AU312" i="3"/>
  <c r="AV312" i="3"/>
  <c r="AW312" i="3"/>
  <c r="AX312" i="3"/>
  <c r="AY312" i="3"/>
  <c r="AZ312" i="3"/>
  <c r="BA312" i="3"/>
  <c r="BB312" i="3"/>
  <c r="BC312" i="3"/>
  <c r="BD312" i="3"/>
  <c r="BE312" i="3"/>
  <c r="BF312" i="3"/>
  <c r="BG312" i="3"/>
  <c r="BH312" i="3"/>
  <c r="BI312" i="3"/>
  <c r="BJ312" i="3"/>
  <c r="BK312" i="3"/>
  <c r="BL312" i="3"/>
  <c r="BM312" i="3"/>
  <c r="BN312" i="3"/>
  <c r="BO312" i="3"/>
  <c r="BP312" i="3"/>
  <c r="BQ312" i="3"/>
  <c r="BR312" i="3"/>
  <c r="BS312" i="3"/>
  <c r="BT312" i="3"/>
  <c r="BU312" i="3"/>
  <c r="BV312" i="3"/>
  <c r="BW312" i="3"/>
  <c r="BX312" i="3"/>
  <c r="BY312" i="3"/>
  <c r="D313" i="3"/>
  <c r="E313" i="3"/>
  <c r="F313" i="3"/>
  <c r="G313" i="3"/>
  <c r="H313" i="3"/>
  <c r="I313" i="3"/>
  <c r="J313" i="3"/>
  <c r="K313" i="3"/>
  <c r="L313" i="3"/>
  <c r="M313" i="3"/>
  <c r="N313" i="3"/>
  <c r="O313" i="3"/>
  <c r="P313" i="3"/>
  <c r="Q313" i="3"/>
  <c r="R313" i="3"/>
  <c r="S313" i="3"/>
  <c r="T313" i="3"/>
  <c r="U313" i="3"/>
  <c r="V313" i="3"/>
  <c r="W313" i="3"/>
  <c r="X313" i="3"/>
  <c r="Y313" i="3"/>
  <c r="Z313" i="3"/>
  <c r="AA313" i="3"/>
  <c r="AB313" i="3"/>
  <c r="AC313" i="3"/>
  <c r="AD313" i="3"/>
  <c r="AE313" i="3"/>
  <c r="AF313" i="3"/>
  <c r="AG313" i="3"/>
  <c r="AH313" i="3"/>
  <c r="AI313" i="3"/>
  <c r="AJ313" i="3"/>
  <c r="AK313" i="3"/>
  <c r="AL313" i="3"/>
  <c r="AM313" i="3"/>
  <c r="AN313" i="3"/>
  <c r="AO313" i="3"/>
  <c r="AP313" i="3"/>
  <c r="AQ313" i="3"/>
  <c r="AR313" i="3"/>
  <c r="AS313" i="3"/>
  <c r="AT313" i="3"/>
  <c r="AU313" i="3"/>
  <c r="AV313" i="3"/>
  <c r="AW313" i="3"/>
  <c r="AX313" i="3"/>
  <c r="AY313" i="3"/>
  <c r="AZ313" i="3"/>
  <c r="BA313" i="3"/>
  <c r="BB313" i="3"/>
  <c r="BC313" i="3"/>
  <c r="BD313" i="3"/>
  <c r="BE313" i="3"/>
  <c r="BF313" i="3"/>
  <c r="BG313" i="3"/>
  <c r="BH313" i="3"/>
  <c r="BI313" i="3"/>
  <c r="BJ313" i="3"/>
  <c r="BK313" i="3"/>
  <c r="BL313" i="3"/>
  <c r="BM313" i="3"/>
  <c r="BN313" i="3"/>
  <c r="BO313" i="3"/>
  <c r="BP313" i="3"/>
  <c r="BQ313" i="3"/>
  <c r="BR313" i="3"/>
  <c r="BS313" i="3"/>
  <c r="BT313" i="3"/>
  <c r="BU313" i="3"/>
  <c r="BV313" i="3"/>
  <c r="BW313" i="3"/>
  <c r="BX313" i="3"/>
  <c r="BY313" i="3"/>
  <c r="D314" i="3"/>
  <c r="E314" i="3"/>
  <c r="F314" i="3"/>
  <c r="G314" i="3"/>
  <c r="H314" i="3"/>
  <c r="I314" i="3"/>
  <c r="J314" i="3"/>
  <c r="K314" i="3"/>
  <c r="L314" i="3"/>
  <c r="M314" i="3"/>
  <c r="N314" i="3"/>
  <c r="O314" i="3"/>
  <c r="P314" i="3"/>
  <c r="Q314" i="3"/>
  <c r="R314" i="3"/>
  <c r="S314" i="3"/>
  <c r="T314" i="3"/>
  <c r="U314" i="3"/>
  <c r="V314" i="3"/>
  <c r="W314" i="3"/>
  <c r="X314" i="3"/>
  <c r="Y314" i="3"/>
  <c r="Z314" i="3"/>
  <c r="AA314" i="3"/>
  <c r="AB314" i="3"/>
  <c r="AC314" i="3"/>
  <c r="AD314" i="3"/>
  <c r="AE314" i="3"/>
  <c r="AF314" i="3"/>
  <c r="AG314" i="3"/>
  <c r="AH314" i="3"/>
  <c r="AI314" i="3"/>
  <c r="AJ314" i="3"/>
  <c r="AK314" i="3"/>
  <c r="AL314" i="3"/>
  <c r="AM314" i="3"/>
  <c r="AN314" i="3"/>
  <c r="AO314" i="3"/>
  <c r="AP314" i="3"/>
  <c r="AQ314" i="3"/>
  <c r="AR314" i="3"/>
  <c r="AS314" i="3"/>
  <c r="AT314" i="3"/>
  <c r="AU314" i="3"/>
  <c r="AV314" i="3"/>
  <c r="AW314" i="3"/>
  <c r="AX314" i="3"/>
  <c r="AY314" i="3"/>
  <c r="AZ314" i="3"/>
  <c r="BA314" i="3"/>
  <c r="BB314" i="3"/>
  <c r="BC314" i="3"/>
  <c r="BD314" i="3"/>
  <c r="BE314" i="3"/>
  <c r="BF314" i="3"/>
  <c r="BG314" i="3"/>
  <c r="BH314" i="3"/>
  <c r="BI314" i="3"/>
  <c r="BJ314" i="3"/>
  <c r="BK314" i="3"/>
  <c r="BL314" i="3"/>
  <c r="BM314" i="3"/>
  <c r="BN314" i="3"/>
  <c r="BO314" i="3"/>
  <c r="BP314" i="3"/>
  <c r="BQ314" i="3"/>
  <c r="BR314" i="3"/>
  <c r="BS314" i="3"/>
  <c r="BT314" i="3"/>
  <c r="BU314" i="3"/>
  <c r="BV314" i="3"/>
  <c r="BW314" i="3"/>
  <c r="BX314" i="3"/>
  <c r="BY314" i="3"/>
  <c r="D315" i="3"/>
  <c r="E315" i="3"/>
  <c r="F315" i="3"/>
  <c r="G315" i="3"/>
  <c r="H315" i="3"/>
  <c r="I315" i="3"/>
  <c r="J315" i="3"/>
  <c r="K315" i="3"/>
  <c r="L315" i="3"/>
  <c r="M315" i="3"/>
  <c r="N315" i="3"/>
  <c r="O315" i="3"/>
  <c r="P315" i="3"/>
  <c r="Q315" i="3"/>
  <c r="R315" i="3"/>
  <c r="S315" i="3"/>
  <c r="T315" i="3"/>
  <c r="U315" i="3"/>
  <c r="V315" i="3"/>
  <c r="W315" i="3"/>
  <c r="X315" i="3"/>
  <c r="Y315" i="3"/>
  <c r="Z315" i="3"/>
  <c r="AA315" i="3"/>
  <c r="AB315" i="3"/>
  <c r="AC315" i="3"/>
  <c r="AD315" i="3"/>
  <c r="AE315" i="3"/>
  <c r="AF315" i="3"/>
  <c r="AG315" i="3"/>
  <c r="AH315" i="3"/>
  <c r="AI315" i="3"/>
  <c r="AJ315" i="3"/>
  <c r="AK315" i="3"/>
  <c r="AL315" i="3"/>
  <c r="AM315" i="3"/>
  <c r="AN315" i="3"/>
  <c r="AO315" i="3"/>
  <c r="AP315" i="3"/>
  <c r="AQ315" i="3"/>
  <c r="AR315" i="3"/>
  <c r="AS315" i="3"/>
  <c r="AT315" i="3"/>
  <c r="AU315" i="3"/>
  <c r="AV315" i="3"/>
  <c r="AW315" i="3"/>
  <c r="AX315" i="3"/>
  <c r="AY315" i="3"/>
  <c r="AZ315" i="3"/>
  <c r="BA315" i="3"/>
  <c r="BB315" i="3"/>
  <c r="BC315" i="3"/>
  <c r="BD315" i="3"/>
  <c r="BE315" i="3"/>
  <c r="BF315" i="3"/>
  <c r="BG315" i="3"/>
  <c r="BH315" i="3"/>
  <c r="BI315" i="3"/>
  <c r="BJ315" i="3"/>
  <c r="BK315" i="3"/>
  <c r="BL315" i="3"/>
  <c r="BM315" i="3"/>
  <c r="BN315" i="3"/>
  <c r="BO315" i="3"/>
  <c r="BP315" i="3"/>
  <c r="BQ315" i="3"/>
  <c r="BR315" i="3"/>
  <c r="BS315" i="3"/>
  <c r="BT315" i="3"/>
  <c r="BU315" i="3"/>
  <c r="BV315" i="3"/>
  <c r="BW315" i="3"/>
  <c r="BX315" i="3"/>
  <c r="BY315" i="3"/>
  <c r="D316" i="3"/>
  <c r="E316" i="3"/>
  <c r="F316" i="3"/>
  <c r="G316" i="3"/>
  <c r="H316" i="3"/>
  <c r="I316" i="3"/>
  <c r="J316" i="3"/>
  <c r="K316" i="3"/>
  <c r="L316" i="3"/>
  <c r="M316" i="3"/>
  <c r="N316" i="3"/>
  <c r="O316" i="3"/>
  <c r="P316" i="3"/>
  <c r="Q316" i="3"/>
  <c r="R316" i="3"/>
  <c r="S316" i="3"/>
  <c r="T316" i="3"/>
  <c r="U316" i="3"/>
  <c r="V316" i="3"/>
  <c r="W316" i="3"/>
  <c r="X316" i="3"/>
  <c r="Y316" i="3"/>
  <c r="Z316" i="3"/>
  <c r="AA316" i="3"/>
  <c r="AB316" i="3"/>
  <c r="AC316" i="3"/>
  <c r="AD316" i="3"/>
  <c r="AE316" i="3"/>
  <c r="AF316" i="3"/>
  <c r="AG316" i="3"/>
  <c r="AH316" i="3"/>
  <c r="AI316" i="3"/>
  <c r="AJ316" i="3"/>
  <c r="AK316" i="3"/>
  <c r="AL316" i="3"/>
  <c r="AM316" i="3"/>
  <c r="AN316" i="3"/>
  <c r="AO316" i="3"/>
  <c r="AP316" i="3"/>
  <c r="AQ316" i="3"/>
  <c r="AR316" i="3"/>
  <c r="AS316" i="3"/>
  <c r="AT316" i="3"/>
  <c r="AU316" i="3"/>
  <c r="AV316" i="3"/>
  <c r="AW316" i="3"/>
  <c r="AX316" i="3"/>
  <c r="AY316" i="3"/>
  <c r="AZ316" i="3"/>
  <c r="BA316" i="3"/>
  <c r="BB316" i="3"/>
  <c r="BC316" i="3"/>
  <c r="BD316" i="3"/>
  <c r="BE316" i="3"/>
  <c r="BF316" i="3"/>
  <c r="BG316" i="3"/>
  <c r="BH316" i="3"/>
  <c r="BI316" i="3"/>
  <c r="BJ316" i="3"/>
  <c r="BK316" i="3"/>
  <c r="BL316" i="3"/>
  <c r="BM316" i="3"/>
  <c r="BN316" i="3"/>
  <c r="BO316" i="3"/>
  <c r="BP316" i="3"/>
  <c r="BQ316" i="3"/>
  <c r="BR316" i="3"/>
  <c r="BS316" i="3"/>
  <c r="BT316" i="3"/>
  <c r="BU316" i="3"/>
  <c r="BV316" i="3"/>
  <c r="BW316" i="3"/>
  <c r="BX316" i="3"/>
  <c r="BY316" i="3"/>
  <c r="D317" i="3"/>
  <c r="E317" i="3"/>
  <c r="F317" i="3"/>
  <c r="G317" i="3"/>
  <c r="H317" i="3"/>
  <c r="I317" i="3"/>
  <c r="J317" i="3"/>
  <c r="K317" i="3"/>
  <c r="L317" i="3"/>
  <c r="M317" i="3"/>
  <c r="N317" i="3"/>
  <c r="O317" i="3"/>
  <c r="P317" i="3"/>
  <c r="Q317" i="3"/>
  <c r="R317" i="3"/>
  <c r="S317" i="3"/>
  <c r="T317" i="3"/>
  <c r="U317" i="3"/>
  <c r="V317" i="3"/>
  <c r="W317" i="3"/>
  <c r="X317" i="3"/>
  <c r="Y317" i="3"/>
  <c r="Z317" i="3"/>
  <c r="AA317" i="3"/>
  <c r="AB317" i="3"/>
  <c r="AC317" i="3"/>
  <c r="AD317" i="3"/>
  <c r="AE317" i="3"/>
  <c r="AF317" i="3"/>
  <c r="AG317" i="3"/>
  <c r="AH317" i="3"/>
  <c r="AI317" i="3"/>
  <c r="AJ317" i="3"/>
  <c r="AK317" i="3"/>
  <c r="AL317" i="3"/>
  <c r="AM317" i="3"/>
  <c r="AN317" i="3"/>
  <c r="AO317" i="3"/>
  <c r="AP317" i="3"/>
  <c r="AQ317" i="3"/>
  <c r="AR317" i="3"/>
  <c r="AS317" i="3"/>
  <c r="AT317" i="3"/>
  <c r="AU317" i="3"/>
  <c r="AV317" i="3"/>
  <c r="AW317" i="3"/>
  <c r="AX317" i="3"/>
  <c r="AY317" i="3"/>
  <c r="AZ317" i="3"/>
  <c r="BA317" i="3"/>
  <c r="BB317" i="3"/>
  <c r="BC317" i="3"/>
  <c r="BD317" i="3"/>
  <c r="BE317" i="3"/>
  <c r="BF317" i="3"/>
  <c r="BG317" i="3"/>
  <c r="BH317" i="3"/>
  <c r="BI317" i="3"/>
  <c r="BJ317" i="3"/>
  <c r="BK317" i="3"/>
  <c r="BL317" i="3"/>
  <c r="BM317" i="3"/>
  <c r="BN317" i="3"/>
  <c r="BO317" i="3"/>
  <c r="BP317" i="3"/>
  <c r="BQ317" i="3"/>
  <c r="BR317" i="3"/>
  <c r="BS317" i="3"/>
  <c r="BT317" i="3"/>
  <c r="BU317" i="3"/>
  <c r="BV317" i="3"/>
  <c r="BW317" i="3"/>
  <c r="BX317" i="3"/>
  <c r="BY317" i="3"/>
  <c r="D318" i="3"/>
  <c r="E318" i="3"/>
  <c r="F318" i="3"/>
  <c r="G318" i="3"/>
  <c r="H318" i="3"/>
  <c r="I318" i="3"/>
  <c r="J318" i="3"/>
  <c r="K318" i="3"/>
  <c r="L318" i="3"/>
  <c r="M318" i="3"/>
  <c r="N318" i="3"/>
  <c r="O318" i="3"/>
  <c r="P318" i="3"/>
  <c r="Q318" i="3"/>
  <c r="R318" i="3"/>
  <c r="S318" i="3"/>
  <c r="T318" i="3"/>
  <c r="U318" i="3"/>
  <c r="V318" i="3"/>
  <c r="W318" i="3"/>
  <c r="X318" i="3"/>
  <c r="Y318" i="3"/>
  <c r="Z318" i="3"/>
  <c r="AA318" i="3"/>
  <c r="AB318" i="3"/>
  <c r="AC318" i="3"/>
  <c r="AD318" i="3"/>
  <c r="AE318" i="3"/>
  <c r="AF318" i="3"/>
  <c r="AG318" i="3"/>
  <c r="AH318" i="3"/>
  <c r="AI318" i="3"/>
  <c r="AJ318" i="3"/>
  <c r="AK318" i="3"/>
  <c r="AL318" i="3"/>
  <c r="AM318" i="3"/>
  <c r="AN318" i="3"/>
  <c r="AO318" i="3"/>
  <c r="AP318" i="3"/>
  <c r="AQ318" i="3"/>
  <c r="AR318" i="3"/>
  <c r="AS318" i="3"/>
  <c r="AT318" i="3"/>
  <c r="AU318" i="3"/>
  <c r="AV318" i="3"/>
  <c r="AW318" i="3"/>
  <c r="AX318" i="3"/>
  <c r="AY318" i="3"/>
  <c r="AZ318" i="3"/>
  <c r="BA318" i="3"/>
  <c r="BB318" i="3"/>
  <c r="BC318" i="3"/>
  <c r="BD318" i="3"/>
  <c r="BE318" i="3"/>
  <c r="BF318" i="3"/>
  <c r="BG318" i="3"/>
  <c r="BH318" i="3"/>
  <c r="BI318" i="3"/>
  <c r="BJ318" i="3"/>
  <c r="BK318" i="3"/>
  <c r="BL318" i="3"/>
  <c r="BM318" i="3"/>
  <c r="BN318" i="3"/>
  <c r="BO318" i="3"/>
  <c r="BP318" i="3"/>
  <c r="BQ318" i="3"/>
  <c r="BR318" i="3"/>
  <c r="BS318" i="3"/>
  <c r="BT318" i="3"/>
  <c r="BU318" i="3"/>
  <c r="BV318" i="3"/>
  <c r="BW318" i="3"/>
  <c r="BX318" i="3"/>
  <c r="BY318" i="3"/>
  <c r="D319" i="3"/>
  <c r="E319" i="3"/>
  <c r="F319" i="3"/>
  <c r="G319" i="3"/>
  <c r="H319" i="3"/>
  <c r="I319" i="3"/>
  <c r="J319" i="3"/>
  <c r="K319" i="3"/>
  <c r="L319" i="3"/>
  <c r="M319" i="3"/>
  <c r="N319" i="3"/>
  <c r="O319" i="3"/>
  <c r="P319" i="3"/>
  <c r="Q319" i="3"/>
  <c r="R319" i="3"/>
  <c r="S319" i="3"/>
  <c r="T319" i="3"/>
  <c r="U319" i="3"/>
  <c r="V319" i="3"/>
  <c r="W319" i="3"/>
  <c r="X319" i="3"/>
  <c r="Y319" i="3"/>
  <c r="Z319" i="3"/>
  <c r="AA319" i="3"/>
  <c r="AB319" i="3"/>
  <c r="AC319" i="3"/>
  <c r="AD319" i="3"/>
  <c r="AE319" i="3"/>
  <c r="AF319" i="3"/>
  <c r="AG319" i="3"/>
  <c r="AH319" i="3"/>
  <c r="AI319" i="3"/>
  <c r="AJ319" i="3"/>
  <c r="AK319" i="3"/>
  <c r="AL319" i="3"/>
  <c r="AM319" i="3"/>
  <c r="AN319" i="3"/>
  <c r="AO319" i="3"/>
  <c r="AP319" i="3"/>
  <c r="AQ319" i="3"/>
  <c r="AR319" i="3"/>
  <c r="AS319" i="3"/>
  <c r="AT319" i="3"/>
  <c r="AU319" i="3"/>
  <c r="AV319" i="3"/>
  <c r="AW319" i="3"/>
  <c r="AX319" i="3"/>
  <c r="AY319" i="3"/>
  <c r="AZ319" i="3"/>
  <c r="BA319" i="3"/>
  <c r="BB319" i="3"/>
  <c r="BC319" i="3"/>
  <c r="BD319" i="3"/>
  <c r="BE319" i="3"/>
  <c r="BF319" i="3"/>
  <c r="BG319" i="3"/>
  <c r="BH319" i="3"/>
  <c r="BI319" i="3"/>
  <c r="BJ319" i="3"/>
  <c r="BK319" i="3"/>
  <c r="BL319" i="3"/>
  <c r="BM319" i="3"/>
  <c r="BN319" i="3"/>
  <c r="BO319" i="3"/>
  <c r="BP319" i="3"/>
  <c r="BQ319" i="3"/>
  <c r="BR319" i="3"/>
  <c r="BS319" i="3"/>
  <c r="BT319" i="3"/>
  <c r="BU319" i="3"/>
  <c r="BV319" i="3"/>
  <c r="BW319" i="3"/>
  <c r="BX319" i="3"/>
  <c r="BY319" i="3"/>
  <c r="D320" i="3"/>
  <c r="E320" i="3"/>
  <c r="F320" i="3"/>
  <c r="G320" i="3"/>
  <c r="H320" i="3"/>
  <c r="I320" i="3"/>
  <c r="J320" i="3"/>
  <c r="K320" i="3"/>
  <c r="L320" i="3"/>
  <c r="M320" i="3"/>
  <c r="N320" i="3"/>
  <c r="O320" i="3"/>
  <c r="P320" i="3"/>
  <c r="Q320" i="3"/>
  <c r="R320" i="3"/>
  <c r="S320" i="3"/>
  <c r="T320" i="3"/>
  <c r="U320" i="3"/>
  <c r="V320" i="3"/>
  <c r="W320" i="3"/>
  <c r="X320" i="3"/>
  <c r="Y320" i="3"/>
  <c r="Z320" i="3"/>
  <c r="AA320" i="3"/>
  <c r="AB320" i="3"/>
  <c r="AC320" i="3"/>
  <c r="AD320" i="3"/>
  <c r="AE320" i="3"/>
  <c r="AF320" i="3"/>
  <c r="AG320" i="3"/>
  <c r="AH320" i="3"/>
  <c r="AI320" i="3"/>
  <c r="AJ320" i="3"/>
  <c r="AK320" i="3"/>
  <c r="AL320" i="3"/>
  <c r="AM320" i="3"/>
  <c r="AN320" i="3"/>
  <c r="AO320" i="3"/>
  <c r="AP320" i="3"/>
  <c r="AQ320" i="3"/>
  <c r="AR320" i="3"/>
  <c r="AS320" i="3"/>
  <c r="AT320" i="3"/>
  <c r="AU320" i="3"/>
  <c r="AV320" i="3"/>
  <c r="AW320" i="3"/>
  <c r="AX320" i="3"/>
  <c r="AY320" i="3"/>
  <c r="AZ320" i="3"/>
  <c r="BA320" i="3"/>
  <c r="BB320" i="3"/>
  <c r="BC320" i="3"/>
  <c r="BD320" i="3"/>
  <c r="BE320" i="3"/>
  <c r="BF320" i="3"/>
  <c r="BG320" i="3"/>
  <c r="BH320" i="3"/>
  <c r="BI320" i="3"/>
  <c r="BJ320" i="3"/>
  <c r="BK320" i="3"/>
  <c r="BL320" i="3"/>
  <c r="BM320" i="3"/>
  <c r="BN320" i="3"/>
  <c r="BO320" i="3"/>
  <c r="BP320" i="3"/>
  <c r="BQ320" i="3"/>
  <c r="BR320" i="3"/>
  <c r="BS320" i="3"/>
  <c r="BT320" i="3"/>
  <c r="BU320" i="3"/>
  <c r="BV320" i="3"/>
  <c r="BW320" i="3"/>
  <c r="BX320" i="3"/>
  <c r="BY320" i="3"/>
  <c r="D321" i="3"/>
  <c r="E321" i="3"/>
  <c r="F321" i="3"/>
  <c r="G321" i="3"/>
  <c r="H321" i="3"/>
  <c r="I321" i="3"/>
  <c r="J321" i="3"/>
  <c r="K321" i="3"/>
  <c r="L321" i="3"/>
  <c r="M321" i="3"/>
  <c r="N321" i="3"/>
  <c r="O321" i="3"/>
  <c r="P321" i="3"/>
  <c r="Q321" i="3"/>
  <c r="R321" i="3"/>
  <c r="S321" i="3"/>
  <c r="T321" i="3"/>
  <c r="U321" i="3"/>
  <c r="V321" i="3"/>
  <c r="W321" i="3"/>
  <c r="X321" i="3"/>
  <c r="Y321" i="3"/>
  <c r="Z321" i="3"/>
  <c r="AA321" i="3"/>
  <c r="AB321" i="3"/>
  <c r="AC321" i="3"/>
  <c r="AD321" i="3"/>
  <c r="AE321" i="3"/>
  <c r="AF321" i="3"/>
  <c r="AG321" i="3"/>
  <c r="AH321" i="3"/>
  <c r="AI321" i="3"/>
  <c r="AJ321" i="3"/>
  <c r="AK321" i="3"/>
  <c r="AL321" i="3"/>
  <c r="AM321" i="3"/>
  <c r="AN321" i="3"/>
  <c r="AO321" i="3"/>
  <c r="AP321" i="3"/>
  <c r="AQ321" i="3"/>
  <c r="AR321" i="3"/>
  <c r="AS321" i="3"/>
  <c r="AT321" i="3"/>
  <c r="AU321" i="3"/>
  <c r="AV321" i="3"/>
  <c r="AW321" i="3"/>
  <c r="AX321" i="3"/>
  <c r="AY321" i="3"/>
  <c r="AZ321" i="3"/>
  <c r="BA321" i="3"/>
  <c r="BB321" i="3"/>
  <c r="BC321" i="3"/>
  <c r="BD321" i="3"/>
  <c r="BE321" i="3"/>
  <c r="BF321" i="3"/>
  <c r="BG321" i="3"/>
  <c r="BH321" i="3"/>
  <c r="BI321" i="3"/>
  <c r="BJ321" i="3"/>
  <c r="BK321" i="3"/>
  <c r="BL321" i="3"/>
  <c r="BM321" i="3"/>
  <c r="BN321" i="3"/>
  <c r="BO321" i="3"/>
  <c r="BP321" i="3"/>
  <c r="BQ321" i="3"/>
  <c r="BR321" i="3"/>
  <c r="BS321" i="3"/>
  <c r="BT321" i="3"/>
  <c r="BU321" i="3"/>
  <c r="BV321" i="3"/>
  <c r="BW321" i="3"/>
  <c r="BX321" i="3"/>
  <c r="BY321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247" i="3"/>
  <c r="CD170" i="3"/>
  <c r="CE170" i="3"/>
  <c r="CF170" i="3"/>
  <c r="CG170" i="3"/>
  <c r="CD171" i="3"/>
  <c r="CE171" i="3"/>
  <c r="CF171" i="3"/>
  <c r="CG171" i="3"/>
  <c r="CD172" i="3"/>
  <c r="CE172" i="3"/>
  <c r="CF172" i="3"/>
  <c r="CG172" i="3"/>
  <c r="CD173" i="3"/>
  <c r="CE173" i="3"/>
  <c r="CF173" i="3"/>
  <c r="CG173" i="3"/>
  <c r="CD174" i="3"/>
  <c r="CE174" i="3"/>
  <c r="CF174" i="3"/>
  <c r="CG174" i="3"/>
  <c r="CD175" i="3"/>
  <c r="CE175" i="3"/>
  <c r="CF175" i="3"/>
  <c r="CG175" i="3"/>
  <c r="CD176" i="3"/>
  <c r="CE176" i="3"/>
  <c r="CF176" i="3"/>
  <c r="CG176" i="3"/>
  <c r="CD177" i="3"/>
  <c r="CE177" i="3"/>
  <c r="CF177" i="3"/>
  <c r="CG177" i="3"/>
  <c r="CD178" i="3"/>
  <c r="CE178" i="3"/>
  <c r="CF178" i="3"/>
  <c r="CG178" i="3"/>
  <c r="CD179" i="3"/>
  <c r="CE179" i="3"/>
  <c r="CF179" i="3"/>
  <c r="CG179" i="3"/>
  <c r="CD180" i="3"/>
  <c r="CE180" i="3"/>
  <c r="CF180" i="3"/>
  <c r="CG180" i="3"/>
  <c r="CD181" i="3"/>
  <c r="CE181" i="3"/>
  <c r="CF181" i="3"/>
  <c r="CG181" i="3"/>
  <c r="CD182" i="3"/>
  <c r="CE182" i="3"/>
  <c r="CF182" i="3"/>
  <c r="CG182" i="3"/>
  <c r="CD183" i="3"/>
  <c r="CE183" i="3"/>
  <c r="CF183" i="3"/>
  <c r="CG183" i="3"/>
  <c r="CD184" i="3"/>
  <c r="CE184" i="3"/>
  <c r="CF184" i="3"/>
  <c r="CG184" i="3"/>
  <c r="CD185" i="3"/>
  <c r="CE185" i="3"/>
  <c r="CF185" i="3"/>
  <c r="CG185" i="3"/>
  <c r="CD186" i="3"/>
  <c r="CE186" i="3"/>
  <c r="CF186" i="3"/>
  <c r="CG186" i="3"/>
  <c r="CD187" i="3"/>
  <c r="CE187" i="3"/>
  <c r="CF187" i="3"/>
  <c r="CG187" i="3"/>
  <c r="CD188" i="3"/>
  <c r="CE188" i="3"/>
  <c r="CF188" i="3"/>
  <c r="CG188" i="3"/>
  <c r="CD189" i="3"/>
  <c r="CE189" i="3"/>
  <c r="CF189" i="3"/>
  <c r="CG189" i="3"/>
  <c r="CD190" i="3"/>
  <c r="CE190" i="3"/>
  <c r="CF190" i="3"/>
  <c r="CG190" i="3"/>
  <c r="CD191" i="3"/>
  <c r="CE191" i="3"/>
  <c r="CF191" i="3"/>
  <c r="CG191" i="3"/>
  <c r="CD192" i="3"/>
  <c r="CE192" i="3"/>
  <c r="CF192" i="3"/>
  <c r="CG192" i="3"/>
  <c r="CD193" i="3"/>
  <c r="CE193" i="3"/>
  <c r="CF193" i="3"/>
  <c r="CG193" i="3"/>
  <c r="CD194" i="3"/>
  <c r="CE194" i="3"/>
  <c r="CF194" i="3"/>
  <c r="CG194" i="3"/>
  <c r="CD195" i="3"/>
  <c r="CE195" i="3"/>
  <c r="CF195" i="3"/>
  <c r="CG195" i="3"/>
  <c r="CD196" i="3"/>
  <c r="CE196" i="3"/>
  <c r="CF196" i="3"/>
  <c r="CG196" i="3"/>
  <c r="CD197" i="3"/>
  <c r="CE197" i="3"/>
  <c r="CF197" i="3"/>
  <c r="CG197" i="3"/>
  <c r="CD198" i="3"/>
  <c r="CE198" i="3"/>
  <c r="CF198" i="3"/>
  <c r="CG198" i="3"/>
  <c r="CD199" i="3"/>
  <c r="CE199" i="3"/>
  <c r="CF199" i="3"/>
  <c r="CG199" i="3"/>
  <c r="CD200" i="3"/>
  <c r="CE200" i="3"/>
  <c r="CF200" i="3"/>
  <c r="CG200" i="3"/>
  <c r="CD201" i="3"/>
  <c r="CE201" i="3"/>
  <c r="CF201" i="3"/>
  <c r="CG201" i="3"/>
  <c r="CD202" i="3"/>
  <c r="CE202" i="3"/>
  <c r="CF202" i="3"/>
  <c r="CG202" i="3"/>
  <c r="CD203" i="3"/>
  <c r="CE203" i="3"/>
  <c r="CF203" i="3"/>
  <c r="CG203" i="3"/>
  <c r="CD204" i="3"/>
  <c r="CE204" i="3"/>
  <c r="CF204" i="3"/>
  <c r="CG204" i="3"/>
  <c r="CD205" i="3"/>
  <c r="CE205" i="3"/>
  <c r="CF205" i="3"/>
  <c r="CG205" i="3"/>
  <c r="CD206" i="3"/>
  <c r="CE206" i="3"/>
  <c r="CF206" i="3"/>
  <c r="CG206" i="3"/>
  <c r="CD207" i="3"/>
  <c r="CE207" i="3"/>
  <c r="CF207" i="3"/>
  <c r="CG207" i="3"/>
  <c r="CD208" i="3"/>
  <c r="CE208" i="3"/>
  <c r="CF208" i="3"/>
  <c r="CG208" i="3"/>
  <c r="CD209" i="3"/>
  <c r="CE209" i="3"/>
  <c r="CF209" i="3"/>
  <c r="CG209" i="3"/>
  <c r="CD210" i="3"/>
  <c r="CE210" i="3"/>
  <c r="CF210" i="3"/>
  <c r="CG210" i="3"/>
  <c r="CD211" i="3"/>
  <c r="CE211" i="3"/>
  <c r="CF211" i="3"/>
  <c r="CG211" i="3"/>
  <c r="CD212" i="3"/>
  <c r="CE212" i="3"/>
  <c r="CF212" i="3"/>
  <c r="CG212" i="3"/>
  <c r="CD213" i="3"/>
  <c r="CE213" i="3"/>
  <c r="CF213" i="3"/>
  <c r="CG213" i="3"/>
  <c r="CD214" i="3"/>
  <c r="CE214" i="3"/>
  <c r="CF214" i="3"/>
  <c r="CG214" i="3"/>
  <c r="CD215" i="3"/>
  <c r="CE215" i="3"/>
  <c r="CF215" i="3"/>
  <c r="CG215" i="3"/>
  <c r="CD216" i="3"/>
  <c r="CE216" i="3"/>
  <c r="CF216" i="3"/>
  <c r="CG216" i="3"/>
  <c r="CD217" i="3"/>
  <c r="CE217" i="3"/>
  <c r="CF217" i="3"/>
  <c r="CG217" i="3"/>
  <c r="CD218" i="3"/>
  <c r="CE218" i="3"/>
  <c r="CF218" i="3"/>
  <c r="CG218" i="3"/>
  <c r="CD219" i="3"/>
  <c r="CE219" i="3"/>
  <c r="CF219" i="3"/>
  <c r="CG219" i="3"/>
  <c r="CD220" i="3"/>
  <c r="CE220" i="3"/>
  <c r="CF220" i="3"/>
  <c r="CG220" i="3"/>
  <c r="CD221" i="3"/>
  <c r="CE221" i="3"/>
  <c r="CF221" i="3"/>
  <c r="CG221" i="3"/>
  <c r="CD222" i="3"/>
  <c r="CE222" i="3"/>
  <c r="CF222" i="3"/>
  <c r="CG222" i="3"/>
  <c r="CD223" i="3"/>
  <c r="CE223" i="3"/>
  <c r="CF223" i="3"/>
  <c r="CG223" i="3"/>
  <c r="CD224" i="3"/>
  <c r="CE224" i="3"/>
  <c r="CF224" i="3"/>
  <c r="CG224" i="3"/>
  <c r="CD225" i="3"/>
  <c r="CE225" i="3"/>
  <c r="CF225" i="3"/>
  <c r="CG225" i="3"/>
  <c r="CD226" i="3"/>
  <c r="CE226" i="3"/>
  <c r="CF226" i="3"/>
  <c r="CG226" i="3"/>
  <c r="CD227" i="3"/>
  <c r="CE227" i="3"/>
  <c r="CF227" i="3"/>
  <c r="CG227" i="3"/>
  <c r="CD228" i="3"/>
  <c r="CE228" i="3"/>
  <c r="CF228" i="3"/>
  <c r="CG228" i="3"/>
  <c r="CD229" i="3"/>
  <c r="CE229" i="3"/>
  <c r="CF229" i="3"/>
  <c r="CG229" i="3"/>
  <c r="CD230" i="3"/>
  <c r="CE230" i="3"/>
  <c r="CF230" i="3"/>
  <c r="CG230" i="3"/>
  <c r="CD231" i="3"/>
  <c r="CE231" i="3"/>
  <c r="CF231" i="3"/>
  <c r="CG231" i="3"/>
  <c r="CD232" i="3"/>
  <c r="CE232" i="3"/>
  <c r="CF232" i="3"/>
  <c r="CG232" i="3"/>
  <c r="CD233" i="3"/>
  <c r="CE233" i="3"/>
  <c r="CF233" i="3"/>
  <c r="CG233" i="3"/>
  <c r="CD234" i="3"/>
  <c r="CE234" i="3"/>
  <c r="CF234" i="3"/>
  <c r="CG234" i="3"/>
  <c r="CD235" i="3"/>
  <c r="CE235" i="3"/>
  <c r="CF235" i="3"/>
  <c r="CG235" i="3"/>
  <c r="CD236" i="3"/>
  <c r="CE236" i="3"/>
  <c r="CF236" i="3"/>
  <c r="CG236" i="3"/>
  <c r="CD237" i="3"/>
  <c r="CE237" i="3"/>
  <c r="CF237" i="3"/>
  <c r="CG237" i="3"/>
  <c r="CD238" i="3"/>
  <c r="CE238" i="3"/>
  <c r="CF238" i="3"/>
  <c r="CG238" i="3"/>
  <c r="CD239" i="3"/>
  <c r="CE239" i="3"/>
  <c r="CF239" i="3"/>
  <c r="CG239" i="3"/>
  <c r="CD240" i="3"/>
  <c r="CE240" i="3"/>
  <c r="CF240" i="3"/>
  <c r="CG240" i="3"/>
  <c r="CD241" i="3"/>
  <c r="CE241" i="3"/>
  <c r="CF241" i="3"/>
  <c r="CG241" i="3"/>
  <c r="CD242" i="3"/>
  <c r="CE242" i="3"/>
  <c r="CF242" i="3"/>
  <c r="CG242" i="3"/>
  <c r="CD243" i="3"/>
  <c r="CE243" i="3"/>
  <c r="CF243" i="3"/>
  <c r="CG243" i="3"/>
  <c r="CE169" i="3"/>
  <c r="CF169" i="3"/>
  <c r="CG169" i="3"/>
  <c r="D325" i="3"/>
  <c r="E325" i="3"/>
  <c r="F325" i="3"/>
  <c r="G325" i="3"/>
  <c r="H325" i="3"/>
  <c r="I325" i="3"/>
  <c r="J325" i="3"/>
  <c r="K325" i="3"/>
  <c r="L325" i="3"/>
  <c r="M325" i="3"/>
  <c r="N325" i="3"/>
  <c r="O325" i="3"/>
  <c r="P325" i="3"/>
  <c r="Q325" i="3"/>
  <c r="R325" i="3"/>
  <c r="S325" i="3"/>
  <c r="T325" i="3"/>
  <c r="U325" i="3"/>
  <c r="V325" i="3"/>
  <c r="W325" i="3"/>
  <c r="X325" i="3"/>
  <c r="Y325" i="3"/>
  <c r="Z325" i="3"/>
  <c r="AA325" i="3"/>
  <c r="AB325" i="3"/>
  <c r="AC325" i="3"/>
  <c r="AD325" i="3"/>
  <c r="AE325" i="3"/>
  <c r="AF325" i="3"/>
  <c r="AG325" i="3"/>
  <c r="AH325" i="3"/>
  <c r="AI325" i="3"/>
  <c r="AJ325" i="3"/>
  <c r="AK325" i="3"/>
  <c r="AL325" i="3"/>
  <c r="AM325" i="3"/>
  <c r="AN325" i="3"/>
  <c r="AO325" i="3"/>
  <c r="AP325" i="3"/>
  <c r="AQ325" i="3"/>
  <c r="AR325" i="3"/>
  <c r="AS325" i="3"/>
  <c r="AT325" i="3"/>
  <c r="AU325" i="3"/>
  <c r="AV325" i="3"/>
  <c r="AW325" i="3"/>
  <c r="AX325" i="3"/>
  <c r="AY325" i="3"/>
  <c r="AZ325" i="3"/>
  <c r="BA325" i="3"/>
  <c r="BB325" i="3"/>
  <c r="BC325" i="3"/>
  <c r="BD325" i="3"/>
  <c r="BE325" i="3"/>
  <c r="BF325" i="3"/>
  <c r="BG325" i="3"/>
  <c r="BH325" i="3"/>
  <c r="BI325" i="3"/>
  <c r="BJ325" i="3"/>
  <c r="BK325" i="3"/>
  <c r="BL325" i="3"/>
  <c r="BM325" i="3"/>
  <c r="BN325" i="3"/>
  <c r="BO325" i="3"/>
  <c r="BP325" i="3"/>
  <c r="BQ325" i="3"/>
  <c r="BR325" i="3"/>
  <c r="BS325" i="3"/>
  <c r="BT325" i="3"/>
  <c r="BU325" i="3"/>
  <c r="BV325" i="3"/>
  <c r="BW325" i="3"/>
  <c r="BX325" i="3"/>
  <c r="BY325" i="3"/>
  <c r="BZ325" i="3"/>
  <c r="D326" i="3"/>
  <c r="E326" i="3"/>
  <c r="F326" i="3"/>
  <c r="G326" i="3"/>
  <c r="H326" i="3"/>
  <c r="I326" i="3"/>
  <c r="J326" i="3"/>
  <c r="K326" i="3"/>
  <c r="L326" i="3"/>
  <c r="M326" i="3"/>
  <c r="N326" i="3"/>
  <c r="O326" i="3"/>
  <c r="P326" i="3"/>
  <c r="Q326" i="3"/>
  <c r="R326" i="3"/>
  <c r="S326" i="3"/>
  <c r="T326" i="3"/>
  <c r="U326" i="3"/>
  <c r="V326" i="3"/>
  <c r="W326" i="3"/>
  <c r="X326" i="3"/>
  <c r="Y326" i="3"/>
  <c r="Z326" i="3"/>
  <c r="AA326" i="3"/>
  <c r="AB326" i="3"/>
  <c r="AC326" i="3"/>
  <c r="AD326" i="3"/>
  <c r="AE326" i="3"/>
  <c r="AF326" i="3"/>
  <c r="AG326" i="3"/>
  <c r="AH326" i="3"/>
  <c r="AI326" i="3"/>
  <c r="AJ326" i="3"/>
  <c r="AK326" i="3"/>
  <c r="AL326" i="3"/>
  <c r="AM326" i="3"/>
  <c r="AN326" i="3"/>
  <c r="AO326" i="3"/>
  <c r="AP326" i="3"/>
  <c r="AQ326" i="3"/>
  <c r="AR326" i="3"/>
  <c r="AS326" i="3"/>
  <c r="AT326" i="3"/>
  <c r="AU326" i="3"/>
  <c r="AV326" i="3"/>
  <c r="AW326" i="3"/>
  <c r="AX326" i="3"/>
  <c r="AY326" i="3"/>
  <c r="AZ326" i="3"/>
  <c r="BA326" i="3"/>
  <c r="BB326" i="3"/>
  <c r="BC326" i="3"/>
  <c r="BD326" i="3"/>
  <c r="BE326" i="3"/>
  <c r="BF326" i="3"/>
  <c r="BG326" i="3"/>
  <c r="BH326" i="3"/>
  <c r="BI326" i="3"/>
  <c r="BJ326" i="3"/>
  <c r="BK326" i="3"/>
  <c r="BL326" i="3"/>
  <c r="BM326" i="3"/>
  <c r="BN326" i="3"/>
  <c r="BO326" i="3"/>
  <c r="BP326" i="3"/>
  <c r="BQ326" i="3"/>
  <c r="BR326" i="3"/>
  <c r="BS326" i="3"/>
  <c r="BT326" i="3"/>
  <c r="BU326" i="3"/>
  <c r="BV326" i="3"/>
  <c r="BW326" i="3"/>
  <c r="BX326" i="3"/>
  <c r="BY326" i="3"/>
  <c r="BZ326" i="3"/>
  <c r="C325" i="3"/>
  <c r="C326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P169" i="3"/>
  <c r="Q169" i="3"/>
  <c r="R169" i="3"/>
  <c r="S169" i="3"/>
  <c r="T169" i="3"/>
  <c r="U169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K169" i="3"/>
  <c r="AL169" i="3"/>
  <c r="AM169" i="3"/>
  <c r="AN169" i="3"/>
  <c r="AO169" i="3"/>
  <c r="AP169" i="3"/>
  <c r="AQ169" i="3"/>
  <c r="AR169" i="3"/>
  <c r="AS169" i="3"/>
  <c r="AT169" i="3"/>
  <c r="AU169" i="3"/>
  <c r="AV169" i="3"/>
  <c r="AW169" i="3"/>
  <c r="AX169" i="3"/>
  <c r="AY169" i="3"/>
  <c r="AZ169" i="3"/>
  <c r="BA169" i="3"/>
  <c r="BB169" i="3"/>
  <c r="BC169" i="3"/>
  <c r="BD169" i="3"/>
  <c r="BE169" i="3"/>
  <c r="BF169" i="3"/>
  <c r="BG169" i="3"/>
  <c r="BH169" i="3"/>
  <c r="BI169" i="3"/>
  <c r="BJ169" i="3"/>
  <c r="BK169" i="3"/>
  <c r="BL169" i="3"/>
  <c r="BM169" i="3"/>
  <c r="BN169" i="3"/>
  <c r="BO169" i="3"/>
  <c r="BP169" i="3"/>
  <c r="BQ169" i="3"/>
  <c r="BR169" i="3"/>
  <c r="BS169" i="3"/>
  <c r="BT169" i="3"/>
  <c r="BU169" i="3"/>
  <c r="BV169" i="3"/>
  <c r="BW169" i="3"/>
  <c r="BX169" i="3"/>
  <c r="BY169" i="3"/>
  <c r="BZ169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P170" i="3"/>
  <c r="Q170" i="3"/>
  <c r="R170" i="3"/>
  <c r="S170" i="3"/>
  <c r="T170" i="3"/>
  <c r="U170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K170" i="3"/>
  <c r="AL170" i="3"/>
  <c r="AM170" i="3"/>
  <c r="AN170" i="3"/>
  <c r="AO170" i="3"/>
  <c r="AP170" i="3"/>
  <c r="AQ170" i="3"/>
  <c r="AR170" i="3"/>
  <c r="AS170" i="3"/>
  <c r="AT170" i="3"/>
  <c r="AU170" i="3"/>
  <c r="AV170" i="3"/>
  <c r="AW170" i="3"/>
  <c r="AX170" i="3"/>
  <c r="AY170" i="3"/>
  <c r="AZ170" i="3"/>
  <c r="BA170" i="3"/>
  <c r="BB170" i="3"/>
  <c r="BC170" i="3"/>
  <c r="BD170" i="3"/>
  <c r="BE170" i="3"/>
  <c r="BF170" i="3"/>
  <c r="BG170" i="3"/>
  <c r="BH170" i="3"/>
  <c r="BI170" i="3"/>
  <c r="BJ170" i="3"/>
  <c r="BK170" i="3"/>
  <c r="BL170" i="3"/>
  <c r="BM170" i="3"/>
  <c r="BN170" i="3"/>
  <c r="BO170" i="3"/>
  <c r="BP170" i="3"/>
  <c r="BQ170" i="3"/>
  <c r="BR170" i="3"/>
  <c r="BS170" i="3"/>
  <c r="BT170" i="3"/>
  <c r="BU170" i="3"/>
  <c r="BV170" i="3"/>
  <c r="BW170" i="3"/>
  <c r="BX170" i="3"/>
  <c r="BY170" i="3"/>
  <c r="BZ170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P171" i="3"/>
  <c r="Q171" i="3"/>
  <c r="R171" i="3"/>
  <c r="S171" i="3"/>
  <c r="T171" i="3"/>
  <c r="U171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K171" i="3"/>
  <c r="AL171" i="3"/>
  <c r="AM171" i="3"/>
  <c r="AN171" i="3"/>
  <c r="AO171" i="3"/>
  <c r="AP171" i="3"/>
  <c r="AQ171" i="3"/>
  <c r="AR171" i="3"/>
  <c r="AS171" i="3"/>
  <c r="AT171" i="3"/>
  <c r="AU171" i="3"/>
  <c r="AV171" i="3"/>
  <c r="AW171" i="3"/>
  <c r="AX171" i="3"/>
  <c r="AY171" i="3"/>
  <c r="AZ171" i="3"/>
  <c r="BA171" i="3"/>
  <c r="BB171" i="3"/>
  <c r="BC171" i="3"/>
  <c r="BD171" i="3"/>
  <c r="BE171" i="3"/>
  <c r="BF171" i="3"/>
  <c r="BG171" i="3"/>
  <c r="BH171" i="3"/>
  <c r="BI171" i="3"/>
  <c r="BJ171" i="3"/>
  <c r="BK171" i="3"/>
  <c r="BL171" i="3"/>
  <c r="BM171" i="3"/>
  <c r="BN171" i="3"/>
  <c r="BO171" i="3"/>
  <c r="BP171" i="3"/>
  <c r="BQ171" i="3"/>
  <c r="BR171" i="3"/>
  <c r="BS171" i="3"/>
  <c r="BT171" i="3"/>
  <c r="BU171" i="3"/>
  <c r="BV171" i="3"/>
  <c r="BW171" i="3"/>
  <c r="BX171" i="3"/>
  <c r="BY171" i="3"/>
  <c r="BZ171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P172" i="3"/>
  <c r="Q172" i="3"/>
  <c r="R172" i="3"/>
  <c r="S172" i="3"/>
  <c r="T172" i="3"/>
  <c r="U172" i="3"/>
  <c r="V172" i="3"/>
  <c r="W172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K172" i="3"/>
  <c r="AL172" i="3"/>
  <c r="AM172" i="3"/>
  <c r="AN172" i="3"/>
  <c r="AO172" i="3"/>
  <c r="AP172" i="3"/>
  <c r="AQ172" i="3"/>
  <c r="AR172" i="3"/>
  <c r="AS172" i="3"/>
  <c r="AT172" i="3"/>
  <c r="AU172" i="3"/>
  <c r="AV172" i="3"/>
  <c r="AW172" i="3"/>
  <c r="AX172" i="3"/>
  <c r="AY172" i="3"/>
  <c r="AZ172" i="3"/>
  <c r="BA172" i="3"/>
  <c r="BB172" i="3"/>
  <c r="BC172" i="3"/>
  <c r="BD172" i="3"/>
  <c r="BE172" i="3"/>
  <c r="BF172" i="3"/>
  <c r="BG172" i="3"/>
  <c r="BH172" i="3"/>
  <c r="BI172" i="3"/>
  <c r="BJ172" i="3"/>
  <c r="BK172" i="3"/>
  <c r="BL172" i="3"/>
  <c r="BM172" i="3"/>
  <c r="BN172" i="3"/>
  <c r="BO172" i="3"/>
  <c r="BP172" i="3"/>
  <c r="BQ172" i="3"/>
  <c r="BR172" i="3"/>
  <c r="BS172" i="3"/>
  <c r="BT172" i="3"/>
  <c r="BU172" i="3"/>
  <c r="BV172" i="3"/>
  <c r="BW172" i="3"/>
  <c r="BX172" i="3"/>
  <c r="BY172" i="3"/>
  <c r="BZ172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P173" i="3"/>
  <c r="Q173" i="3"/>
  <c r="R173" i="3"/>
  <c r="S173" i="3"/>
  <c r="T173" i="3"/>
  <c r="U173" i="3"/>
  <c r="V173" i="3"/>
  <c r="W173" i="3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K173" i="3"/>
  <c r="AL173" i="3"/>
  <c r="AM173" i="3"/>
  <c r="AN173" i="3"/>
  <c r="AO173" i="3"/>
  <c r="AP173" i="3"/>
  <c r="AQ173" i="3"/>
  <c r="AR173" i="3"/>
  <c r="AS173" i="3"/>
  <c r="AT173" i="3"/>
  <c r="AU173" i="3"/>
  <c r="AV173" i="3"/>
  <c r="AW173" i="3"/>
  <c r="AX173" i="3"/>
  <c r="AY173" i="3"/>
  <c r="AZ173" i="3"/>
  <c r="BA173" i="3"/>
  <c r="BB173" i="3"/>
  <c r="BC173" i="3"/>
  <c r="BD173" i="3"/>
  <c r="BE173" i="3"/>
  <c r="BF173" i="3"/>
  <c r="BG173" i="3"/>
  <c r="BH173" i="3"/>
  <c r="BI173" i="3"/>
  <c r="BJ173" i="3"/>
  <c r="BK173" i="3"/>
  <c r="BL173" i="3"/>
  <c r="BM173" i="3"/>
  <c r="BN173" i="3"/>
  <c r="BO173" i="3"/>
  <c r="BP173" i="3"/>
  <c r="BQ173" i="3"/>
  <c r="BR173" i="3"/>
  <c r="BS173" i="3"/>
  <c r="BT173" i="3"/>
  <c r="BU173" i="3"/>
  <c r="BV173" i="3"/>
  <c r="BW173" i="3"/>
  <c r="BX173" i="3"/>
  <c r="BY173" i="3"/>
  <c r="BZ173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P174" i="3"/>
  <c r="Q174" i="3"/>
  <c r="R174" i="3"/>
  <c r="S174" i="3"/>
  <c r="T174" i="3"/>
  <c r="U174" i="3"/>
  <c r="V174" i="3"/>
  <c r="W174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K174" i="3"/>
  <c r="AL174" i="3"/>
  <c r="AM174" i="3"/>
  <c r="AN174" i="3"/>
  <c r="AO174" i="3"/>
  <c r="AP174" i="3"/>
  <c r="AQ174" i="3"/>
  <c r="AR174" i="3"/>
  <c r="AS174" i="3"/>
  <c r="AT174" i="3"/>
  <c r="AU174" i="3"/>
  <c r="AV174" i="3"/>
  <c r="AW174" i="3"/>
  <c r="AX174" i="3"/>
  <c r="AY174" i="3"/>
  <c r="AZ174" i="3"/>
  <c r="BA174" i="3"/>
  <c r="BB174" i="3"/>
  <c r="BC174" i="3"/>
  <c r="BD174" i="3"/>
  <c r="BE174" i="3"/>
  <c r="BF174" i="3"/>
  <c r="BG174" i="3"/>
  <c r="BH174" i="3"/>
  <c r="BI174" i="3"/>
  <c r="BJ174" i="3"/>
  <c r="BK174" i="3"/>
  <c r="BL174" i="3"/>
  <c r="BM174" i="3"/>
  <c r="BN174" i="3"/>
  <c r="BO174" i="3"/>
  <c r="BP174" i="3"/>
  <c r="BQ174" i="3"/>
  <c r="BR174" i="3"/>
  <c r="BS174" i="3"/>
  <c r="BT174" i="3"/>
  <c r="BU174" i="3"/>
  <c r="BV174" i="3"/>
  <c r="BW174" i="3"/>
  <c r="BX174" i="3"/>
  <c r="BY174" i="3"/>
  <c r="BZ174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P175" i="3"/>
  <c r="Q175" i="3"/>
  <c r="R175" i="3"/>
  <c r="S175" i="3"/>
  <c r="T175" i="3"/>
  <c r="U175" i="3"/>
  <c r="V175" i="3"/>
  <c r="W175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K175" i="3"/>
  <c r="AL175" i="3"/>
  <c r="AM175" i="3"/>
  <c r="AN175" i="3"/>
  <c r="AO175" i="3"/>
  <c r="AP175" i="3"/>
  <c r="AQ175" i="3"/>
  <c r="AR175" i="3"/>
  <c r="AS175" i="3"/>
  <c r="AT175" i="3"/>
  <c r="AU175" i="3"/>
  <c r="AV175" i="3"/>
  <c r="AW175" i="3"/>
  <c r="AX175" i="3"/>
  <c r="AY175" i="3"/>
  <c r="AZ175" i="3"/>
  <c r="BA175" i="3"/>
  <c r="BB175" i="3"/>
  <c r="BC175" i="3"/>
  <c r="BD175" i="3"/>
  <c r="BE175" i="3"/>
  <c r="BF175" i="3"/>
  <c r="BG175" i="3"/>
  <c r="BH175" i="3"/>
  <c r="BI175" i="3"/>
  <c r="BJ175" i="3"/>
  <c r="BK175" i="3"/>
  <c r="BL175" i="3"/>
  <c r="BM175" i="3"/>
  <c r="BN175" i="3"/>
  <c r="BO175" i="3"/>
  <c r="BP175" i="3"/>
  <c r="BQ175" i="3"/>
  <c r="BR175" i="3"/>
  <c r="BS175" i="3"/>
  <c r="BT175" i="3"/>
  <c r="BU175" i="3"/>
  <c r="BV175" i="3"/>
  <c r="BW175" i="3"/>
  <c r="BX175" i="3"/>
  <c r="BY175" i="3"/>
  <c r="BZ175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P176" i="3"/>
  <c r="Q176" i="3"/>
  <c r="R176" i="3"/>
  <c r="S176" i="3"/>
  <c r="T176" i="3"/>
  <c r="U176" i="3"/>
  <c r="V176" i="3"/>
  <c r="W176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K176" i="3"/>
  <c r="AL176" i="3"/>
  <c r="AM176" i="3"/>
  <c r="AN176" i="3"/>
  <c r="AO176" i="3"/>
  <c r="AP176" i="3"/>
  <c r="AQ176" i="3"/>
  <c r="AR176" i="3"/>
  <c r="AS176" i="3"/>
  <c r="AT176" i="3"/>
  <c r="AU176" i="3"/>
  <c r="AV176" i="3"/>
  <c r="AW176" i="3"/>
  <c r="AX176" i="3"/>
  <c r="AY176" i="3"/>
  <c r="AZ176" i="3"/>
  <c r="BA176" i="3"/>
  <c r="BB176" i="3"/>
  <c r="BC176" i="3"/>
  <c r="BD176" i="3"/>
  <c r="BE176" i="3"/>
  <c r="BF176" i="3"/>
  <c r="BG176" i="3"/>
  <c r="BH176" i="3"/>
  <c r="BI176" i="3"/>
  <c r="BJ176" i="3"/>
  <c r="BK176" i="3"/>
  <c r="BL176" i="3"/>
  <c r="BM176" i="3"/>
  <c r="BN176" i="3"/>
  <c r="BO176" i="3"/>
  <c r="BP176" i="3"/>
  <c r="BQ176" i="3"/>
  <c r="BR176" i="3"/>
  <c r="BS176" i="3"/>
  <c r="BT176" i="3"/>
  <c r="BU176" i="3"/>
  <c r="BV176" i="3"/>
  <c r="BW176" i="3"/>
  <c r="BX176" i="3"/>
  <c r="BY176" i="3"/>
  <c r="BZ176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P177" i="3"/>
  <c r="Q177" i="3"/>
  <c r="R177" i="3"/>
  <c r="S177" i="3"/>
  <c r="T177" i="3"/>
  <c r="U177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K177" i="3"/>
  <c r="AL177" i="3"/>
  <c r="AM177" i="3"/>
  <c r="AN177" i="3"/>
  <c r="AO177" i="3"/>
  <c r="AP177" i="3"/>
  <c r="AQ177" i="3"/>
  <c r="AR177" i="3"/>
  <c r="AS177" i="3"/>
  <c r="AT177" i="3"/>
  <c r="AU177" i="3"/>
  <c r="AV177" i="3"/>
  <c r="AW177" i="3"/>
  <c r="AX177" i="3"/>
  <c r="AY177" i="3"/>
  <c r="AZ177" i="3"/>
  <c r="BA177" i="3"/>
  <c r="BB177" i="3"/>
  <c r="BC177" i="3"/>
  <c r="BD177" i="3"/>
  <c r="BE177" i="3"/>
  <c r="BF177" i="3"/>
  <c r="BG177" i="3"/>
  <c r="BH177" i="3"/>
  <c r="BI177" i="3"/>
  <c r="BJ177" i="3"/>
  <c r="BK177" i="3"/>
  <c r="BL177" i="3"/>
  <c r="BM177" i="3"/>
  <c r="BN177" i="3"/>
  <c r="BO177" i="3"/>
  <c r="BP177" i="3"/>
  <c r="BQ177" i="3"/>
  <c r="BR177" i="3"/>
  <c r="BS177" i="3"/>
  <c r="BT177" i="3"/>
  <c r="BU177" i="3"/>
  <c r="BV177" i="3"/>
  <c r="BW177" i="3"/>
  <c r="BX177" i="3"/>
  <c r="BY177" i="3"/>
  <c r="BZ177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P178" i="3"/>
  <c r="Q178" i="3"/>
  <c r="R178" i="3"/>
  <c r="S178" i="3"/>
  <c r="T178" i="3"/>
  <c r="U178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K178" i="3"/>
  <c r="AL178" i="3"/>
  <c r="AM178" i="3"/>
  <c r="AN178" i="3"/>
  <c r="AO178" i="3"/>
  <c r="AP178" i="3"/>
  <c r="AQ178" i="3"/>
  <c r="AR178" i="3"/>
  <c r="AS178" i="3"/>
  <c r="AT178" i="3"/>
  <c r="AU178" i="3"/>
  <c r="AV178" i="3"/>
  <c r="AW178" i="3"/>
  <c r="AX178" i="3"/>
  <c r="AY178" i="3"/>
  <c r="AZ178" i="3"/>
  <c r="BA178" i="3"/>
  <c r="BB178" i="3"/>
  <c r="BC178" i="3"/>
  <c r="BD178" i="3"/>
  <c r="BE178" i="3"/>
  <c r="BF178" i="3"/>
  <c r="BG178" i="3"/>
  <c r="BH178" i="3"/>
  <c r="BI178" i="3"/>
  <c r="BJ178" i="3"/>
  <c r="BK178" i="3"/>
  <c r="BL178" i="3"/>
  <c r="BM178" i="3"/>
  <c r="BN178" i="3"/>
  <c r="BO178" i="3"/>
  <c r="BP178" i="3"/>
  <c r="BQ178" i="3"/>
  <c r="BR178" i="3"/>
  <c r="BS178" i="3"/>
  <c r="BT178" i="3"/>
  <c r="BU178" i="3"/>
  <c r="BV178" i="3"/>
  <c r="BW178" i="3"/>
  <c r="BX178" i="3"/>
  <c r="BY178" i="3"/>
  <c r="BZ178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P179" i="3"/>
  <c r="Q179" i="3"/>
  <c r="R179" i="3"/>
  <c r="S179" i="3"/>
  <c r="T179" i="3"/>
  <c r="U179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AW179" i="3"/>
  <c r="AX179" i="3"/>
  <c r="AY179" i="3"/>
  <c r="AZ179" i="3"/>
  <c r="BA179" i="3"/>
  <c r="BB179" i="3"/>
  <c r="BC179" i="3"/>
  <c r="BD179" i="3"/>
  <c r="BE179" i="3"/>
  <c r="BF179" i="3"/>
  <c r="BG179" i="3"/>
  <c r="BH179" i="3"/>
  <c r="BI179" i="3"/>
  <c r="BJ179" i="3"/>
  <c r="BK179" i="3"/>
  <c r="BL179" i="3"/>
  <c r="BM179" i="3"/>
  <c r="BN179" i="3"/>
  <c r="BO179" i="3"/>
  <c r="BP179" i="3"/>
  <c r="BQ179" i="3"/>
  <c r="BR179" i="3"/>
  <c r="BS179" i="3"/>
  <c r="BT179" i="3"/>
  <c r="BU179" i="3"/>
  <c r="BV179" i="3"/>
  <c r="BW179" i="3"/>
  <c r="BX179" i="3"/>
  <c r="BY179" i="3"/>
  <c r="BZ179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P180" i="3"/>
  <c r="Q180" i="3"/>
  <c r="R180" i="3"/>
  <c r="S180" i="3"/>
  <c r="T180" i="3"/>
  <c r="U180" i="3"/>
  <c r="V180" i="3"/>
  <c r="W180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K180" i="3"/>
  <c r="AL180" i="3"/>
  <c r="AM180" i="3"/>
  <c r="AN180" i="3"/>
  <c r="AO180" i="3"/>
  <c r="AP180" i="3"/>
  <c r="AQ180" i="3"/>
  <c r="AR180" i="3"/>
  <c r="AS180" i="3"/>
  <c r="AT180" i="3"/>
  <c r="AU180" i="3"/>
  <c r="AV180" i="3"/>
  <c r="AW180" i="3"/>
  <c r="AX180" i="3"/>
  <c r="AY180" i="3"/>
  <c r="AZ180" i="3"/>
  <c r="BA180" i="3"/>
  <c r="BB180" i="3"/>
  <c r="BC180" i="3"/>
  <c r="BD180" i="3"/>
  <c r="BE180" i="3"/>
  <c r="BF180" i="3"/>
  <c r="BG180" i="3"/>
  <c r="BH180" i="3"/>
  <c r="BI180" i="3"/>
  <c r="BJ180" i="3"/>
  <c r="BK180" i="3"/>
  <c r="BL180" i="3"/>
  <c r="BM180" i="3"/>
  <c r="BN180" i="3"/>
  <c r="BO180" i="3"/>
  <c r="BP180" i="3"/>
  <c r="BQ180" i="3"/>
  <c r="BR180" i="3"/>
  <c r="BS180" i="3"/>
  <c r="BT180" i="3"/>
  <c r="BU180" i="3"/>
  <c r="BV180" i="3"/>
  <c r="BW180" i="3"/>
  <c r="BX180" i="3"/>
  <c r="BY180" i="3"/>
  <c r="BZ180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P181" i="3"/>
  <c r="Q181" i="3"/>
  <c r="R181" i="3"/>
  <c r="S181" i="3"/>
  <c r="T181" i="3"/>
  <c r="U181" i="3"/>
  <c r="V181" i="3"/>
  <c r="W181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W181" i="3"/>
  <c r="AX181" i="3"/>
  <c r="AY181" i="3"/>
  <c r="AZ181" i="3"/>
  <c r="BA181" i="3"/>
  <c r="BB181" i="3"/>
  <c r="BC181" i="3"/>
  <c r="BD181" i="3"/>
  <c r="BE181" i="3"/>
  <c r="BF181" i="3"/>
  <c r="BG181" i="3"/>
  <c r="BH181" i="3"/>
  <c r="BI181" i="3"/>
  <c r="BJ181" i="3"/>
  <c r="BK181" i="3"/>
  <c r="BL181" i="3"/>
  <c r="BM181" i="3"/>
  <c r="BN181" i="3"/>
  <c r="BO181" i="3"/>
  <c r="BP181" i="3"/>
  <c r="BQ181" i="3"/>
  <c r="BR181" i="3"/>
  <c r="BS181" i="3"/>
  <c r="BT181" i="3"/>
  <c r="BU181" i="3"/>
  <c r="BV181" i="3"/>
  <c r="BW181" i="3"/>
  <c r="BX181" i="3"/>
  <c r="BY181" i="3"/>
  <c r="BZ181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P182" i="3"/>
  <c r="Q182" i="3"/>
  <c r="R182" i="3"/>
  <c r="S182" i="3"/>
  <c r="T182" i="3"/>
  <c r="U182" i="3"/>
  <c r="V182" i="3"/>
  <c r="W182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AW182" i="3"/>
  <c r="AX182" i="3"/>
  <c r="AY182" i="3"/>
  <c r="AZ182" i="3"/>
  <c r="BA182" i="3"/>
  <c r="BB182" i="3"/>
  <c r="BC182" i="3"/>
  <c r="BD182" i="3"/>
  <c r="BE182" i="3"/>
  <c r="BF182" i="3"/>
  <c r="BG182" i="3"/>
  <c r="BH182" i="3"/>
  <c r="BI182" i="3"/>
  <c r="BJ182" i="3"/>
  <c r="BK182" i="3"/>
  <c r="BL182" i="3"/>
  <c r="BM182" i="3"/>
  <c r="BN182" i="3"/>
  <c r="BO182" i="3"/>
  <c r="BP182" i="3"/>
  <c r="BQ182" i="3"/>
  <c r="BR182" i="3"/>
  <c r="BS182" i="3"/>
  <c r="BT182" i="3"/>
  <c r="BU182" i="3"/>
  <c r="BV182" i="3"/>
  <c r="BW182" i="3"/>
  <c r="BX182" i="3"/>
  <c r="BY182" i="3"/>
  <c r="BZ182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P183" i="3"/>
  <c r="Q183" i="3"/>
  <c r="R183" i="3"/>
  <c r="S183" i="3"/>
  <c r="T183" i="3"/>
  <c r="U183" i="3"/>
  <c r="V183" i="3"/>
  <c r="W183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K183" i="3"/>
  <c r="AL183" i="3"/>
  <c r="AM183" i="3"/>
  <c r="AN183" i="3"/>
  <c r="AO183" i="3"/>
  <c r="AP183" i="3"/>
  <c r="AQ183" i="3"/>
  <c r="AR183" i="3"/>
  <c r="AS183" i="3"/>
  <c r="AT183" i="3"/>
  <c r="AU183" i="3"/>
  <c r="AV183" i="3"/>
  <c r="AW183" i="3"/>
  <c r="AX183" i="3"/>
  <c r="AY183" i="3"/>
  <c r="AZ183" i="3"/>
  <c r="BA183" i="3"/>
  <c r="BB183" i="3"/>
  <c r="BC183" i="3"/>
  <c r="BD183" i="3"/>
  <c r="BE183" i="3"/>
  <c r="BF183" i="3"/>
  <c r="BG183" i="3"/>
  <c r="BH183" i="3"/>
  <c r="BI183" i="3"/>
  <c r="BJ183" i="3"/>
  <c r="BK183" i="3"/>
  <c r="BL183" i="3"/>
  <c r="BM183" i="3"/>
  <c r="BN183" i="3"/>
  <c r="BO183" i="3"/>
  <c r="BP183" i="3"/>
  <c r="BQ183" i="3"/>
  <c r="BR183" i="3"/>
  <c r="BS183" i="3"/>
  <c r="BT183" i="3"/>
  <c r="BU183" i="3"/>
  <c r="BV183" i="3"/>
  <c r="BW183" i="3"/>
  <c r="BX183" i="3"/>
  <c r="BY183" i="3"/>
  <c r="BZ183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P184" i="3"/>
  <c r="Q184" i="3"/>
  <c r="R184" i="3"/>
  <c r="S184" i="3"/>
  <c r="T184" i="3"/>
  <c r="U184" i="3"/>
  <c r="V184" i="3"/>
  <c r="W184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K184" i="3"/>
  <c r="AL184" i="3"/>
  <c r="AM184" i="3"/>
  <c r="AN184" i="3"/>
  <c r="AO184" i="3"/>
  <c r="AP184" i="3"/>
  <c r="AQ184" i="3"/>
  <c r="AR184" i="3"/>
  <c r="AS184" i="3"/>
  <c r="AT184" i="3"/>
  <c r="AU184" i="3"/>
  <c r="AV184" i="3"/>
  <c r="AW184" i="3"/>
  <c r="AX184" i="3"/>
  <c r="AY184" i="3"/>
  <c r="AZ184" i="3"/>
  <c r="BA184" i="3"/>
  <c r="BB184" i="3"/>
  <c r="BC184" i="3"/>
  <c r="BD184" i="3"/>
  <c r="BE184" i="3"/>
  <c r="BF184" i="3"/>
  <c r="BG184" i="3"/>
  <c r="BH184" i="3"/>
  <c r="BI184" i="3"/>
  <c r="BJ184" i="3"/>
  <c r="BK184" i="3"/>
  <c r="BL184" i="3"/>
  <c r="BM184" i="3"/>
  <c r="BN184" i="3"/>
  <c r="BO184" i="3"/>
  <c r="BP184" i="3"/>
  <c r="BQ184" i="3"/>
  <c r="BR184" i="3"/>
  <c r="BS184" i="3"/>
  <c r="BT184" i="3"/>
  <c r="BU184" i="3"/>
  <c r="BV184" i="3"/>
  <c r="BW184" i="3"/>
  <c r="BX184" i="3"/>
  <c r="BY184" i="3"/>
  <c r="BZ184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P185" i="3"/>
  <c r="Q185" i="3"/>
  <c r="R185" i="3"/>
  <c r="S185" i="3"/>
  <c r="T185" i="3"/>
  <c r="U185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K185" i="3"/>
  <c r="AL185" i="3"/>
  <c r="AM185" i="3"/>
  <c r="AN185" i="3"/>
  <c r="AO185" i="3"/>
  <c r="AP185" i="3"/>
  <c r="AQ185" i="3"/>
  <c r="AR185" i="3"/>
  <c r="AS185" i="3"/>
  <c r="AT185" i="3"/>
  <c r="AU185" i="3"/>
  <c r="AV185" i="3"/>
  <c r="AW185" i="3"/>
  <c r="AX185" i="3"/>
  <c r="AY185" i="3"/>
  <c r="AZ185" i="3"/>
  <c r="BA185" i="3"/>
  <c r="BB185" i="3"/>
  <c r="BC185" i="3"/>
  <c r="BD185" i="3"/>
  <c r="BE185" i="3"/>
  <c r="BF185" i="3"/>
  <c r="BG185" i="3"/>
  <c r="BH185" i="3"/>
  <c r="BI185" i="3"/>
  <c r="BJ185" i="3"/>
  <c r="BK185" i="3"/>
  <c r="BL185" i="3"/>
  <c r="BM185" i="3"/>
  <c r="BN185" i="3"/>
  <c r="BO185" i="3"/>
  <c r="BP185" i="3"/>
  <c r="BQ185" i="3"/>
  <c r="BR185" i="3"/>
  <c r="BS185" i="3"/>
  <c r="BT185" i="3"/>
  <c r="BU185" i="3"/>
  <c r="BV185" i="3"/>
  <c r="BW185" i="3"/>
  <c r="BX185" i="3"/>
  <c r="BY185" i="3"/>
  <c r="BZ185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P186" i="3"/>
  <c r="Q186" i="3"/>
  <c r="R186" i="3"/>
  <c r="S186" i="3"/>
  <c r="T186" i="3"/>
  <c r="U186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K186" i="3"/>
  <c r="AL186" i="3"/>
  <c r="AM186" i="3"/>
  <c r="AN186" i="3"/>
  <c r="AO186" i="3"/>
  <c r="AP186" i="3"/>
  <c r="AQ186" i="3"/>
  <c r="AR186" i="3"/>
  <c r="AS186" i="3"/>
  <c r="AT186" i="3"/>
  <c r="AU186" i="3"/>
  <c r="AV186" i="3"/>
  <c r="AW186" i="3"/>
  <c r="AX186" i="3"/>
  <c r="AY186" i="3"/>
  <c r="AZ186" i="3"/>
  <c r="BA186" i="3"/>
  <c r="BB186" i="3"/>
  <c r="BC186" i="3"/>
  <c r="BD186" i="3"/>
  <c r="BE186" i="3"/>
  <c r="BF186" i="3"/>
  <c r="BG186" i="3"/>
  <c r="BH186" i="3"/>
  <c r="BI186" i="3"/>
  <c r="BJ186" i="3"/>
  <c r="BK186" i="3"/>
  <c r="BL186" i="3"/>
  <c r="BM186" i="3"/>
  <c r="BN186" i="3"/>
  <c r="BO186" i="3"/>
  <c r="BP186" i="3"/>
  <c r="BQ186" i="3"/>
  <c r="BR186" i="3"/>
  <c r="BS186" i="3"/>
  <c r="BT186" i="3"/>
  <c r="BU186" i="3"/>
  <c r="BV186" i="3"/>
  <c r="BW186" i="3"/>
  <c r="BX186" i="3"/>
  <c r="BY186" i="3"/>
  <c r="BZ186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P187" i="3"/>
  <c r="Q187" i="3"/>
  <c r="R187" i="3"/>
  <c r="S187" i="3"/>
  <c r="T187" i="3"/>
  <c r="U187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W187" i="3"/>
  <c r="AX187" i="3"/>
  <c r="AY187" i="3"/>
  <c r="AZ187" i="3"/>
  <c r="BA187" i="3"/>
  <c r="BB187" i="3"/>
  <c r="BC187" i="3"/>
  <c r="BD187" i="3"/>
  <c r="BE187" i="3"/>
  <c r="BF187" i="3"/>
  <c r="BG187" i="3"/>
  <c r="BH187" i="3"/>
  <c r="BI187" i="3"/>
  <c r="BJ187" i="3"/>
  <c r="BK187" i="3"/>
  <c r="BL187" i="3"/>
  <c r="BM187" i="3"/>
  <c r="BN187" i="3"/>
  <c r="BO187" i="3"/>
  <c r="BP187" i="3"/>
  <c r="BQ187" i="3"/>
  <c r="BR187" i="3"/>
  <c r="BS187" i="3"/>
  <c r="BT187" i="3"/>
  <c r="BU187" i="3"/>
  <c r="BV187" i="3"/>
  <c r="BW187" i="3"/>
  <c r="BX187" i="3"/>
  <c r="BY187" i="3"/>
  <c r="BZ187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T188" i="3"/>
  <c r="U188" i="3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AW188" i="3"/>
  <c r="AX188" i="3"/>
  <c r="AY188" i="3"/>
  <c r="AZ188" i="3"/>
  <c r="BA188" i="3"/>
  <c r="BB188" i="3"/>
  <c r="BC188" i="3"/>
  <c r="BD188" i="3"/>
  <c r="BE188" i="3"/>
  <c r="BF188" i="3"/>
  <c r="BG188" i="3"/>
  <c r="BH188" i="3"/>
  <c r="BI188" i="3"/>
  <c r="BJ188" i="3"/>
  <c r="BK188" i="3"/>
  <c r="BL188" i="3"/>
  <c r="BM188" i="3"/>
  <c r="BN188" i="3"/>
  <c r="BO188" i="3"/>
  <c r="BP188" i="3"/>
  <c r="BQ188" i="3"/>
  <c r="BR188" i="3"/>
  <c r="BS188" i="3"/>
  <c r="BT188" i="3"/>
  <c r="BU188" i="3"/>
  <c r="BV188" i="3"/>
  <c r="BW188" i="3"/>
  <c r="BX188" i="3"/>
  <c r="BY188" i="3"/>
  <c r="BZ188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T189" i="3"/>
  <c r="U189" i="3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K189" i="3"/>
  <c r="AL189" i="3"/>
  <c r="AM189" i="3"/>
  <c r="AN189" i="3"/>
  <c r="AO189" i="3"/>
  <c r="AP189" i="3"/>
  <c r="AQ189" i="3"/>
  <c r="AR189" i="3"/>
  <c r="AS189" i="3"/>
  <c r="AT189" i="3"/>
  <c r="AU189" i="3"/>
  <c r="AV189" i="3"/>
  <c r="AW189" i="3"/>
  <c r="AX189" i="3"/>
  <c r="AY189" i="3"/>
  <c r="AZ189" i="3"/>
  <c r="BA189" i="3"/>
  <c r="BB189" i="3"/>
  <c r="BC189" i="3"/>
  <c r="BD189" i="3"/>
  <c r="BE189" i="3"/>
  <c r="BF189" i="3"/>
  <c r="BG189" i="3"/>
  <c r="BH189" i="3"/>
  <c r="BI189" i="3"/>
  <c r="BJ189" i="3"/>
  <c r="BK189" i="3"/>
  <c r="BL189" i="3"/>
  <c r="BM189" i="3"/>
  <c r="BN189" i="3"/>
  <c r="BO189" i="3"/>
  <c r="BP189" i="3"/>
  <c r="BQ189" i="3"/>
  <c r="BR189" i="3"/>
  <c r="BS189" i="3"/>
  <c r="BT189" i="3"/>
  <c r="BU189" i="3"/>
  <c r="BV189" i="3"/>
  <c r="BW189" i="3"/>
  <c r="BX189" i="3"/>
  <c r="BY189" i="3"/>
  <c r="BZ189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T190" i="3"/>
  <c r="U190" i="3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K190" i="3"/>
  <c r="AL190" i="3"/>
  <c r="AM190" i="3"/>
  <c r="AN190" i="3"/>
  <c r="AO190" i="3"/>
  <c r="AP190" i="3"/>
  <c r="AQ190" i="3"/>
  <c r="AR190" i="3"/>
  <c r="AS190" i="3"/>
  <c r="AT190" i="3"/>
  <c r="AU190" i="3"/>
  <c r="AV190" i="3"/>
  <c r="AW190" i="3"/>
  <c r="AX190" i="3"/>
  <c r="AY190" i="3"/>
  <c r="AZ190" i="3"/>
  <c r="BA190" i="3"/>
  <c r="BB190" i="3"/>
  <c r="BC190" i="3"/>
  <c r="BD190" i="3"/>
  <c r="BE190" i="3"/>
  <c r="BF190" i="3"/>
  <c r="BG190" i="3"/>
  <c r="BH190" i="3"/>
  <c r="BI190" i="3"/>
  <c r="BJ190" i="3"/>
  <c r="BK190" i="3"/>
  <c r="BL190" i="3"/>
  <c r="BM190" i="3"/>
  <c r="BN190" i="3"/>
  <c r="BO190" i="3"/>
  <c r="BP190" i="3"/>
  <c r="BQ190" i="3"/>
  <c r="BR190" i="3"/>
  <c r="BS190" i="3"/>
  <c r="BT190" i="3"/>
  <c r="BU190" i="3"/>
  <c r="BV190" i="3"/>
  <c r="BW190" i="3"/>
  <c r="BX190" i="3"/>
  <c r="BY190" i="3"/>
  <c r="BZ190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T191" i="3"/>
  <c r="U191" i="3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AW191" i="3"/>
  <c r="AX191" i="3"/>
  <c r="AY191" i="3"/>
  <c r="AZ191" i="3"/>
  <c r="BA191" i="3"/>
  <c r="BB191" i="3"/>
  <c r="BC191" i="3"/>
  <c r="BD191" i="3"/>
  <c r="BE191" i="3"/>
  <c r="BF191" i="3"/>
  <c r="BG191" i="3"/>
  <c r="BH191" i="3"/>
  <c r="BI191" i="3"/>
  <c r="BJ191" i="3"/>
  <c r="BK191" i="3"/>
  <c r="BL191" i="3"/>
  <c r="BM191" i="3"/>
  <c r="BN191" i="3"/>
  <c r="BO191" i="3"/>
  <c r="BP191" i="3"/>
  <c r="BQ191" i="3"/>
  <c r="BR191" i="3"/>
  <c r="BS191" i="3"/>
  <c r="BT191" i="3"/>
  <c r="BU191" i="3"/>
  <c r="BV191" i="3"/>
  <c r="BW191" i="3"/>
  <c r="BX191" i="3"/>
  <c r="BY191" i="3"/>
  <c r="BZ191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T192" i="3"/>
  <c r="U192" i="3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K192" i="3"/>
  <c r="AL192" i="3"/>
  <c r="AM192" i="3"/>
  <c r="AN192" i="3"/>
  <c r="AO192" i="3"/>
  <c r="AP192" i="3"/>
  <c r="AQ192" i="3"/>
  <c r="AR192" i="3"/>
  <c r="AS192" i="3"/>
  <c r="AT192" i="3"/>
  <c r="AU192" i="3"/>
  <c r="AV192" i="3"/>
  <c r="AW192" i="3"/>
  <c r="AX192" i="3"/>
  <c r="AY192" i="3"/>
  <c r="AZ192" i="3"/>
  <c r="BA192" i="3"/>
  <c r="BB192" i="3"/>
  <c r="BC192" i="3"/>
  <c r="BD192" i="3"/>
  <c r="BE192" i="3"/>
  <c r="BF192" i="3"/>
  <c r="BG192" i="3"/>
  <c r="BH192" i="3"/>
  <c r="BI192" i="3"/>
  <c r="BJ192" i="3"/>
  <c r="BK192" i="3"/>
  <c r="BL192" i="3"/>
  <c r="BM192" i="3"/>
  <c r="BN192" i="3"/>
  <c r="BO192" i="3"/>
  <c r="BP192" i="3"/>
  <c r="BQ192" i="3"/>
  <c r="BR192" i="3"/>
  <c r="BS192" i="3"/>
  <c r="BT192" i="3"/>
  <c r="BU192" i="3"/>
  <c r="BV192" i="3"/>
  <c r="BW192" i="3"/>
  <c r="BX192" i="3"/>
  <c r="BY192" i="3"/>
  <c r="BZ192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T193" i="3"/>
  <c r="U193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K193" i="3"/>
  <c r="AL193" i="3"/>
  <c r="AM193" i="3"/>
  <c r="AN193" i="3"/>
  <c r="AO193" i="3"/>
  <c r="AP193" i="3"/>
  <c r="AQ193" i="3"/>
  <c r="AR193" i="3"/>
  <c r="AS193" i="3"/>
  <c r="AT193" i="3"/>
  <c r="AU193" i="3"/>
  <c r="AV193" i="3"/>
  <c r="AW193" i="3"/>
  <c r="AX193" i="3"/>
  <c r="AY193" i="3"/>
  <c r="AZ193" i="3"/>
  <c r="BA193" i="3"/>
  <c r="BB193" i="3"/>
  <c r="BC193" i="3"/>
  <c r="BD193" i="3"/>
  <c r="BE193" i="3"/>
  <c r="BF193" i="3"/>
  <c r="BG193" i="3"/>
  <c r="BH193" i="3"/>
  <c r="BI193" i="3"/>
  <c r="BJ193" i="3"/>
  <c r="BK193" i="3"/>
  <c r="BL193" i="3"/>
  <c r="BM193" i="3"/>
  <c r="BN193" i="3"/>
  <c r="BO193" i="3"/>
  <c r="BP193" i="3"/>
  <c r="BQ193" i="3"/>
  <c r="BR193" i="3"/>
  <c r="BS193" i="3"/>
  <c r="BT193" i="3"/>
  <c r="BU193" i="3"/>
  <c r="BV193" i="3"/>
  <c r="BW193" i="3"/>
  <c r="BX193" i="3"/>
  <c r="BY193" i="3"/>
  <c r="BZ193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T194" i="3"/>
  <c r="U194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AW194" i="3"/>
  <c r="AX194" i="3"/>
  <c r="AY194" i="3"/>
  <c r="AZ194" i="3"/>
  <c r="BA194" i="3"/>
  <c r="BB194" i="3"/>
  <c r="BC194" i="3"/>
  <c r="BD194" i="3"/>
  <c r="BE194" i="3"/>
  <c r="BF194" i="3"/>
  <c r="BG194" i="3"/>
  <c r="BH194" i="3"/>
  <c r="BI194" i="3"/>
  <c r="BJ194" i="3"/>
  <c r="BK194" i="3"/>
  <c r="BL194" i="3"/>
  <c r="BM194" i="3"/>
  <c r="BN194" i="3"/>
  <c r="BO194" i="3"/>
  <c r="BP194" i="3"/>
  <c r="BQ194" i="3"/>
  <c r="BR194" i="3"/>
  <c r="BS194" i="3"/>
  <c r="BT194" i="3"/>
  <c r="BU194" i="3"/>
  <c r="BV194" i="3"/>
  <c r="BW194" i="3"/>
  <c r="BX194" i="3"/>
  <c r="BY194" i="3"/>
  <c r="BZ194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T195" i="3"/>
  <c r="U195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AW195" i="3"/>
  <c r="AX195" i="3"/>
  <c r="AY195" i="3"/>
  <c r="AZ195" i="3"/>
  <c r="BA195" i="3"/>
  <c r="BB195" i="3"/>
  <c r="BC195" i="3"/>
  <c r="BD195" i="3"/>
  <c r="BE195" i="3"/>
  <c r="BF195" i="3"/>
  <c r="BG195" i="3"/>
  <c r="BH195" i="3"/>
  <c r="BI195" i="3"/>
  <c r="BJ195" i="3"/>
  <c r="BK195" i="3"/>
  <c r="BL195" i="3"/>
  <c r="BM195" i="3"/>
  <c r="BN195" i="3"/>
  <c r="BO195" i="3"/>
  <c r="BP195" i="3"/>
  <c r="BQ195" i="3"/>
  <c r="BR195" i="3"/>
  <c r="BS195" i="3"/>
  <c r="BT195" i="3"/>
  <c r="BU195" i="3"/>
  <c r="BV195" i="3"/>
  <c r="BW195" i="3"/>
  <c r="BX195" i="3"/>
  <c r="BY195" i="3"/>
  <c r="BZ195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P196" i="3"/>
  <c r="Q196" i="3"/>
  <c r="R196" i="3"/>
  <c r="S196" i="3"/>
  <c r="T196" i="3"/>
  <c r="U196" i="3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K196" i="3"/>
  <c r="AL196" i="3"/>
  <c r="AM196" i="3"/>
  <c r="AN196" i="3"/>
  <c r="AO196" i="3"/>
  <c r="AP196" i="3"/>
  <c r="AQ196" i="3"/>
  <c r="AR196" i="3"/>
  <c r="AS196" i="3"/>
  <c r="AT196" i="3"/>
  <c r="AU196" i="3"/>
  <c r="AV196" i="3"/>
  <c r="AW196" i="3"/>
  <c r="AX196" i="3"/>
  <c r="AY196" i="3"/>
  <c r="AZ196" i="3"/>
  <c r="BA196" i="3"/>
  <c r="BB196" i="3"/>
  <c r="BC196" i="3"/>
  <c r="BD196" i="3"/>
  <c r="BE196" i="3"/>
  <c r="BF196" i="3"/>
  <c r="BG196" i="3"/>
  <c r="BH196" i="3"/>
  <c r="BI196" i="3"/>
  <c r="BJ196" i="3"/>
  <c r="BK196" i="3"/>
  <c r="BL196" i="3"/>
  <c r="BM196" i="3"/>
  <c r="BN196" i="3"/>
  <c r="BO196" i="3"/>
  <c r="BP196" i="3"/>
  <c r="BQ196" i="3"/>
  <c r="BR196" i="3"/>
  <c r="BS196" i="3"/>
  <c r="BT196" i="3"/>
  <c r="BU196" i="3"/>
  <c r="BV196" i="3"/>
  <c r="BW196" i="3"/>
  <c r="BX196" i="3"/>
  <c r="BY196" i="3"/>
  <c r="BZ196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T197" i="3"/>
  <c r="U197" i="3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K197" i="3"/>
  <c r="AL197" i="3"/>
  <c r="AM197" i="3"/>
  <c r="AN197" i="3"/>
  <c r="AO197" i="3"/>
  <c r="AP197" i="3"/>
  <c r="AQ197" i="3"/>
  <c r="AR197" i="3"/>
  <c r="AS197" i="3"/>
  <c r="AT197" i="3"/>
  <c r="AU197" i="3"/>
  <c r="AV197" i="3"/>
  <c r="AW197" i="3"/>
  <c r="AX197" i="3"/>
  <c r="AY197" i="3"/>
  <c r="AZ197" i="3"/>
  <c r="BA197" i="3"/>
  <c r="BB197" i="3"/>
  <c r="BC197" i="3"/>
  <c r="BD197" i="3"/>
  <c r="BE197" i="3"/>
  <c r="BF197" i="3"/>
  <c r="BG197" i="3"/>
  <c r="BH197" i="3"/>
  <c r="BI197" i="3"/>
  <c r="BJ197" i="3"/>
  <c r="BK197" i="3"/>
  <c r="BL197" i="3"/>
  <c r="BM197" i="3"/>
  <c r="BN197" i="3"/>
  <c r="BO197" i="3"/>
  <c r="BP197" i="3"/>
  <c r="BQ197" i="3"/>
  <c r="BR197" i="3"/>
  <c r="BS197" i="3"/>
  <c r="BT197" i="3"/>
  <c r="BU197" i="3"/>
  <c r="BV197" i="3"/>
  <c r="BW197" i="3"/>
  <c r="BX197" i="3"/>
  <c r="BY197" i="3"/>
  <c r="BZ197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P198" i="3"/>
  <c r="Q198" i="3"/>
  <c r="R198" i="3"/>
  <c r="S198" i="3"/>
  <c r="T198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W198" i="3"/>
  <c r="AX198" i="3"/>
  <c r="AY198" i="3"/>
  <c r="AZ198" i="3"/>
  <c r="BA198" i="3"/>
  <c r="BB198" i="3"/>
  <c r="BC198" i="3"/>
  <c r="BD198" i="3"/>
  <c r="BE198" i="3"/>
  <c r="BF198" i="3"/>
  <c r="BG198" i="3"/>
  <c r="BH198" i="3"/>
  <c r="BI198" i="3"/>
  <c r="BJ198" i="3"/>
  <c r="BK198" i="3"/>
  <c r="BL198" i="3"/>
  <c r="BM198" i="3"/>
  <c r="BN198" i="3"/>
  <c r="BO198" i="3"/>
  <c r="BP198" i="3"/>
  <c r="BQ198" i="3"/>
  <c r="BR198" i="3"/>
  <c r="BS198" i="3"/>
  <c r="BT198" i="3"/>
  <c r="BU198" i="3"/>
  <c r="BV198" i="3"/>
  <c r="BW198" i="3"/>
  <c r="BX198" i="3"/>
  <c r="BY198" i="3"/>
  <c r="BZ198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P199" i="3"/>
  <c r="Q199" i="3"/>
  <c r="R199" i="3"/>
  <c r="S199" i="3"/>
  <c r="T199" i="3"/>
  <c r="U199" i="3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K199" i="3"/>
  <c r="AL199" i="3"/>
  <c r="AM199" i="3"/>
  <c r="AN199" i="3"/>
  <c r="AO199" i="3"/>
  <c r="AP199" i="3"/>
  <c r="AQ199" i="3"/>
  <c r="AR199" i="3"/>
  <c r="AS199" i="3"/>
  <c r="AT199" i="3"/>
  <c r="AU199" i="3"/>
  <c r="AV199" i="3"/>
  <c r="AW199" i="3"/>
  <c r="AX199" i="3"/>
  <c r="AY199" i="3"/>
  <c r="AZ199" i="3"/>
  <c r="BA199" i="3"/>
  <c r="BB199" i="3"/>
  <c r="BC199" i="3"/>
  <c r="BD199" i="3"/>
  <c r="BE199" i="3"/>
  <c r="BF199" i="3"/>
  <c r="BG199" i="3"/>
  <c r="BH199" i="3"/>
  <c r="BI199" i="3"/>
  <c r="BJ199" i="3"/>
  <c r="BK199" i="3"/>
  <c r="BL199" i="3"/>
  <c r="BM199" i="3"/>
  <c r="BN199" i="3"/>
  <c r="BO199" i="3"/>
  <c r="BP199" i="3"/>
  <c r="BQ199" i="3"/>
  <c r="BR199" i="3"/>
  <c r="BS199" i="3"/>
  <c r="BT199" i="3"/>
  <c r="BU199" i="3"/>
  <c r="BV199" i="3"/>
  <c r="BW199" i="3"/>
  <c r="BX199" i="3"/>
  <c r="BY199" i="3"/>
  <c r="BZ199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P200" i="3"/>
  <c r="Q200" i="3"/>
  <c r="R200" i="3"/>
  <c r="S200" i="3"/>
  <c r="T200" i="3"/>
  <c r="U200" i="3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K200" i="3"/>
  <c r="AL200" i="3"/>
  <c r="AM200" i="3"/>
  <c r="AN200" i="3"/>
  <c r="AO200" i="3"/>
  <c r="AP200" i="3"/>
  <c r="AQ200" i="3"/>
  <c r="AR200" i="3"/>
  <c r="AS200" i="3"/>
  <c r="AT200" i="3"/>
  <c r="AU200" i="3"/>
  <c r="AV200" i="3"/>
  <c r="AW200" i="3"/>
  <c r="AX200" i="3"/>
  <c r="AY200" i="3"/>
  <c r="AZ200" i="3"/>
  <c r="BA200" i="3"/>
  <c r="BB200" i="3"/>
  <c r="BC200" i="3"/>
  <c r="BD200" i="3"/>
  <c r="BE200" i="3"/>
  <c r="BF200" i="3"/>
  <c r="BG200" i="3"/>
  <c r="BH200" i="3"/>
  <c r="BI200" i="3"/>
  <c r="BJ200" i="3"/>
  <c r="BK200" i="3"/>
  <c r="BL200" i="3"/>
  <c r="BM200" i="3"/>
  <c r="BN200" i="3"/>
  <c r="BO200" i="3"/>
  <c r="BP200" i="3"/>
  <c r="BQ200" i="3"/>
  <c r="BR200" i="3"/>
  <c r="BS200" i="3"/>
  <c r="BT200" i="3"/>
  <c r="BU200" i="3"/>
  <c r="BV200" i="3"/>
  <c r="BW200" i="3"/>
  <c r="BX200" i="3"/>
  <c r="BY200" i="3"/>
  <c r="BZ200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T201" i="3"/>
  <c r="U201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AW201" i="3"/>
  <c r="AX201" i="3"/>
  <c r="AY201" i="3"/>
  <c r="AZ201" i="3"/>
  <c r="BA201" i="3"/>
  <c r="BB201" i="3"/>
  <c r="BC201" i="3"/>
  <c r="BD201" i="3"/>
  <c r="BE201" i="3"/>
  <c r="BF201" i="3"/>
  <c r="BG201" i="3"/>
  <c r="BH201" i="3"/>
  <c r="BI201" i="3"/>
  <c r="BJ201" i="3"/>
  <c r="BK201" i="3"/>
  <c r="BL201" i="3"/>
  <c r="BM201" i="3"/>
  <c r="BN201" i="3"/>
  <c r="BO201" i="3"/>
  <c r="BP201" i="3"/>
  <c r="BQ201" i="3"/>
  <c r="BR201" i="3"/>
  <c r="BS201" i="3"/>
  <c r="BT201" i="3"/>
  <c r="BU201" i="3"/>
  <c r="BV201" i="3"/>
  <c r="BW201" i="3"/>
  <c r="BX201" i="3"/>
  <c r="BY201" i="3"/>
  <c r="BZ201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P202" i="3"/>
  <c r="Q202" i="3"/>
  <c r="R202" i="3"/>
  <c r="S202" i="3"/>
  <c r="T202" i="3"/>
  <c r="U202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K202" i="3"/>
  <c r="AL202" i="3"/>
  <c r="AM202" i="3"/>
  <c r="AN202" i="3"/>
  <c r="AO202" i="3"/>
  <c r="AP202" i="3"/>
  <c r="AQ202" i="3"/>
  <c r="AR202" i="3"/>
  <c r="AS202" i="3"/>
  <c r="AT202" i="3"/>
  <c r="AU202" i="3"/>
  <c r="AV202" i="3"/>
  <c r="AW202" i="3"/>
  <c r="AX202" i="3"/>
  <c r="AY202" i="3"/>
  <c r="AZ202" i="3"/>
  <c r="BA202" i="3"/>
  <c r="BB202" i="3"/>
  <c r="BC202" i="3"/>
  <c r="BD202" i="3"/>
  <c r="BE202" i="3"/>
  <c r="BF202" i="3"/>
  <c r="BG202" i="3"/>
  <c r="BH202" i="3"/>
  <c r="BI202" i="3"/>
  <c r="BJ202" i="3"/>
  <c r="BK202" i="3"/>
  <c r="BL202" i="3"/>
  <c r="BM202" i="3"/>
  <c r="BN202" i="3"/>
  <c r="BO202" i="3"/>
  <c r="BP202" i="3"/>
  <c r="BQ202" i="3"/>
  <c r="BR202" i="3"/>
  <c r="BS202" i="3"/>
  <c r="BT202" i="3"/>
  <c r="BU202" i="3"/>
  <c r="BV202" i="3"/>
  <c r="BW202" i="3"/>
  <c r="BX202" i="3"/>
  <c r="BY202" i="3"/>
  <c r="BZ202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P203" i="3"/>
  <c r="Q203" i="3"/>
  <c r="R203" i="3"/>
  <c r="S203" i="3"/>
  <c r="T203" i="3"/>
  <c r="U203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K203" i="3"/>
  <c r="AL203" i="3"/>
  <c r="AM203" i="3"/>
  <c r="AN203" i="3"/>
  <c r="AO203" i="3"/>
  <c r="AP203" i="3"/>
  <c r="AQ203" i="3"/>
  <c r="AR203" i="3"/>
  <c r="AS203" i="3"/>
  <c r="AT203" i="3"/>
  <c r="AU203" i="3"/>
  <c r="AV203" i="3"/>
  <c r="AW203" i="3"/>
  <c r="AX203" i="3"/>
  <c r="AY203" i="3"/>
  <c r="AZ203" i="3"/>
  <c r="BA203" i="3"/>
  <c r="BB203" i="3"/>
  <c r="BC203" i="3"/>
  <c r="BD203" i="3"/>
  <c r="BE203" i="3"/>
  <c r="BF203" i="3"/>
  <c r="BG203" i="3"/>
  <c r="BH203" i="3"/>
  <c r="BI203" i="3"/>
  <c r="BJ203" i="3"/>
  <c r="BK203" i="3"/>
  <c r="BL203" i="3"/>
  <c r="BM203" i="3"/>
  <c r="BN203" i="3"/>
  <c r="BO203" i="3"/>
  <c r="BP203" i="3"/>
  <c r="BQ203" i="3"/>
  <c r="BR203" i="3"/>
  <c r="BS203" i="3"/>
  <c r="BT203" i="3"/>
  <c r="BU203" i="3"/>
  <c r="BV203" i="3"/>
  <c r="BW203" i="3"/>
  <c r="BX203" i="3"/>
  <c r="BY203" i="3"/>
  <c r="BZ203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P204" i="3"/>
  <c r="Q204" i="3"/>
  <c r="R204" i="3"/>
  <c r="S204" i="3"/>
  <c r="T204" i="3"/>
  <c r="U204" i="3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K204" i="3"/>
  <c r="AL204" i="3"/>
  <c r="AM204" i="3"/>
  <c r="AN204" i="3"/>
  <c r="AO204" i="3"/>
  <c r="AP204" i="3"/>
  <c r="AQ204" i="3"/>
  <c r="AR204" i="3"/>
  <c r="AS204" i="3"/>
  <c r="AT204" i="3"/>
  <c r="AU204" i="3"/>
  <c r="AV204" i="3"/>
  <c r="AW204" i="3"/>
  <c r="AX204" i="3"/>
  <c r="AY204" i="3"/>
  <c r="AZ204" i="3"/>
  <c r="BA204" i="3"/>
  <c r="BB204" i="3"/>
  <c r="BC204" i="3"/>
  <c r="BD204" i="3"/>
  <c r="BE204" i="3"/>
  <c r="BF204" i="3"/>
  <c r="BG204" i="3"/>
  <c r="BH204" i="3"/>
  <c r="BI204" i="3"/>
  <c r="BJ204" i="3"/>
  <c r="BK204" i="3"/>
  <c r="BL204" i="3"/>
  <c r="BM204" i="3"/>
  <c r="BN204" i="3"/>
  <c r="BO204" i="3"/>
  <c r="BP204" i="3"/>
  <c r="BQ204" i="3"/>
  <c r="BR204" i="3"/>
  <c r="BS204" i="3"/>
  <c r="BT204" i="3"/>
  <c r="BU204" i="3"/>
  <c r="BV204" i="3"/>
  <c r="BW204" i="3"/>
  <c r="BX204" i="3"/>
  <c r="BY204" i="3"/>
  <c r="BZ204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P205" i="3"/>
  <c r="Q205" i="3"/>
  <c r="R205" i="3"/>
  <c r="S205" i="3"/>
  <c r="T205" i="3"/>
  <c r="U205" i="3"/>
  <c r="V205" i="3"/>
  <c r="W205" i="3"/>
  <c r="X205" i="3"/>
  <c r="Y205" i="3"/>
  <c r="Z205" i="3"/>
  <c r="AA205" i="3"/>
  <c r="AB205" i="3"/>
  <c r="AC205" i="3"/>
  <c r="AD205" i="3"/>
  <c r="AE205" i="3"/>
  <c r="AF205" i="3"/>
  <c r="AG205" i="3"/>
  <c r="AH205" i="3"/>
  <c r="AI205" i="3"/>
  <c r="AJ205" i="3"/>
  <c r="AK205" i="3"/>
  <c r="AL205" i="3"/>
  <c r="AM205" i="3"/>
  <c r="AN205" i="3"/>
  <c r="AO205" i="3"/>
  <c r="AP205" i="3"/>
  <c r="AQ205" i="3"/>
  <c r="AR205" i="3"/>
  <c r="AS205" i="3"/>
  <c r="AT205" i="3"/>
  <c r="AU205" i="3"/>
  <c r="AV205" i="3"/>
  <c r="AW205" i="3"/>
  <c r="AX205" i="3"/>
  <c r="AY205" i="3"/>
  <c r="AZ205" i="3"/>
  <c r="BA205" i="3"/>
  <c r="BB205" i="3"/>
  <c r="BC205" i="3"/>
  <c r="BD205" i="3"/>
  <c r="BE205" i="3"/>
  <c r="BF205" i="3"/>
  <c r="BG205" i="3"/>
  <c r="BH205" i="3"/>
  <c r="BI205" i="3"/>
  <c r="BJ205" i="3"/>
  <c r="BK205" i="3"/>
  <c r="BL205" i="3"/>
  <c r="BM205" i="3"/>
  <c r="BN205" i="3"/>
  <c r="BO205" i="3"/>
  <c r="BP205" i="3"/>
  <c r="BQ205" i="3"/>
  <c r="BR205" i="3"/>
  <c r="BS205" i="3"/>
  <c r="BT205" i="3"/>
  <c r="BU205" i="3"/>
  <c r="BV205" i="3"/>
  <c r="BW205" i="3"/>
  <c r="BX205" i="3"/>
  <c r="BY205" i="3"/>
  <c r="BZ205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P206" i="3"/>
  <c r="Q206" i="3"/>
  <c r="R206" i="3"/>
  <c r="S206" i="3"/>
  <c r="T206" i="3"/>
  <c r="U206" i="3"/>
  <c r="V206" i="3"/>
  <c r="W206" i="3"/>
  <c r="X206" i="3"/>
  <c r="Y206" i="3"/>
  <c r="Z206" i="3"/>
  <c r="AA206" i="3"/>
  <c r="AB206" i="3"/>
  <c r="AC206" i="3"/>
  <c r="AD206" i="3"/>
  <c r="AE206" i="3"/>
  <c r="AF206" i="3"/>
  <c r="AG206" i="3"/>
  <c r="AH206" i="3"/>
  <c r="AI206" i="3"/>
  <c r="AJ206" i="3"/>
  <c r="AK206" i="3"/>
  <c r="AL206" i="3"/>
  <c r="AM206" i="3"/>
  <c r="AN206" i="3"/>
  <c r="AO206" i="3"/>
  <c r="AP206" i="3"/>
  <c r="AQ206" i="3"/>
  <c r="AR206" i="3"/>
  <c r="AS206" i="3"/>
  <c r="AT206" i="3"/>
  <c r="AU206" i="3"/>
  <c r="AV206" i="3"/>
  <c r="AW206" i="3"/>
  <c r="AX206" i="3"/>
  <c r="AY206" i="3"/>
  <c r="AZ206" i="3"/>
  <c r="BA206" i="3"/>
  <c r="BB206" i="3"/>
  <c r="BC206" i="3"/>
  <c r="BD206" i="3"/>
  <c r="BE206" i="3"/>
  <c r="BF206" i="3"/>
  <c r="BG206" i="3"/>
  <c r="BH206" i="3"/>
  <c r="BI206" i="3"/>
  <c r="BJ206" i="3"/>
  <c r="BK206" i="3"/>
  <c r="BL206" i="3"/>
  <c r="BM206" i="3"/>
  <c r="BN206" i="3"/>
  <c r="BO206" i="3"/>
  <c r="BP206" i="3"/>
  <c r="BQ206" i="3"/>
  <c r="BR206" i="3"/>
  <c r="BS206" i="3"/>
  <c r="BT206" i="3"/>
  <c r="BU206" i="3"/>
  <c r="BV206" i="3"/>
  <c r="BW206" i="3"/>
  <c r="BX206" i="3"/>
  <c r="BY206" i="3"/>
  <c r="BZ206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P207" i="3"/>
  <c r="Q207" i="3"/>
  <c r="R207" i="3"/>
  <c r="S207" i="3"/>
  <c r="T207" i="3"/>
  <c r="U207" i="3"/>
  <c r="V207" i="3"/>
  <c r="W207" i="3"/>
  <c r="X207" i="3"/>
  <c r="Y207" i="3"/>
  <c r="Z207" i="3"/>
  <c r="AA207" i="3"/>
  <c r="AB207" i="3"/>
  <c r="AC207" i="3"/>
  <c r="AD207" i="3"/>
  <c r="AE207" i="3"/>
  <c r="AF207" i="3"/>
  <c r="AG207" i="3"/>
  <c r="AH207" i="3"/>
  <c r="AI207" i="3"/>
  <c r="AJ207" i="3"/>
  <c r="AK207" i="3"/>
  <c r="AL207" i="3"/>
  <c r="AM207" i="3"/>
  <c r="AN207" i="3"/>
  <c r="AO207" i="3"/>
  <c r="AP207" i="3"/>
  <c r="AQ207" i="3"/>
  <c r="AR207" i="3"/>
  <c r="AS207" i="3"/>
  <c r="AT207" i="3"/>
  <c r="AU207" i="3"/>
  <c r="AV207" i="3"/>
  <c r="AW207" i="3"/>
  <c r="AX207" i="3"/>
  <c r="AY207" i="3"/>
  <c r="AZ207" i="3"/>
  <c r="BA207" i="3"/>
  <c r="BB207" i="3"/>
  <c r="BC207" i="3"/>
  <c r="BD207" i="3"/>
  <c r="BE207" i="3"/>
  <c r="BF207" i="3"/>
  <c r="BG207" i="3"/>
  <c r="BH207" i="3"/>
  <c r="BI207" i="3"/>
  <c r="BJ207" i="3"/>
  <c r="BK207" i="3"/>
  <c r="BL207" i="3"/>
  <c r="BM207" i="3"/>
  <c r="BN207" i="3"/>
  <c r="BO207" i="3"/>
  <c r="BP207" i="3"/>
  <c r="BQ207" i="3"/>
  <c r="BR207" i="3"/>
  <c r="BS207" i="3"/>
  <c r="BT207" i="3"/>
  <c r="BU207" i="3"/>
  <c r="BV207" i="3"/>
  <c r="BW207" i="3"/>
  <c r="BX207" i="3"/>
  <c r="BY207" i="3"/>
  <c r="BZ207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P208" i="3"/>
  <c r="Q208" i="3"/>
  <c r="R208" i="3"/>
  <c r="S208" i="3"/>
  <c r="T208" i="3"/>
  <c r="U208" i="3"/>
  <c r="V208" i="3"/>
  <c r="W208" i="3"/>
  <c r="X208" i="3"/>
  <c r="Y208" i="3"/>
  <c r="Z208" i="3"/>
  <c r="AA208" i="3"/>
  <c r="AB208" i="3"/>
  <c r="AC208" i="3"/>
  <c r="AD208" i="3"/>
  <c r="AE208" i="3"/>
  <c r="AF208" i="3"/>
  <c r="AG208" i="3"/>
  <c r="AH208" i="3"/>
  <c r="AI208" i="3"/>
  <c r="AJ208" i="3"/>
  <c r="AK208" i="3"/>
  <c r="AL208" i="3"/>
  <c r="AM208" i="3"/>
  <c r="AN208" i="3"/>
  <c r="AO208" i="3"/>
  <c r="AP208" i="3"/>
  <c r="AQ208" i="3"/>
  <c r="AR208" i="3"/>
  <c r="AS208" i="3"/>
  <c r="AT208" i="3"/>
  <c r="AU208" i="3"/>
  <c r="AV208" i="3"/>
  <c r="AW208" i="3"/>
  <c r="AX208" i="3"/>
  <c r="AY208" i="3"/>
  <c r="AZ208" i="3"/>
  <c r="BA208" i="3"/>
  <c r="BB208" i="3"/>
  <c r="BC208" i="3"/>
  <c r="BD208" i="3"/>
  <c r="BE208" i="3"/>
  <c r="BF208" i="3"/>
  <c r="BG208" i="3"/>
  <c r="BH208" i="3"/>
  <c r="BI208" i="3"/>
  <c r="BJ208" i="3"/>
  <c r="BK208" i="3"/>
  <c r="BL208" i="3"/>
  <c r="BM208" i="3"/>
  <c r="BN208" i="3"/>
  <c r="BO208" i="3"/>
  <c r="BP208" i="3"/>
  <c r="BQ208" i="3"/>
  <c r="BR208" i="3"/>
  <c r="BS208" i="3"/>
  <c r="BT208" i="3"/>
  <c r="BU208" i="3"/>
  <c r="BV208" i="3"/>
  <c r="BW208" i="3"/>
  <c r="BX208" i="3"/>
  <c r="BY208" i="3"/>
  <c r="BZ208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P209" i="3"/>
  <c r="Q209" i="3"/>
  <c r="R209" i="3"/>
  <c r="S209" i="3"/>
  <c r="T209" i="3"/>
  <c r="U209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AI209" i="3"/>
  <c r="AJ209" i="3"/>
  <c r="AK209" i="3"/>
  <c r="AL209" i="3"/>
  <c r="AM209" i="3"/>
  <c r="AN209" i="3"/>
  <c r="AO209" i="3"/>
  <c r="AP209" i="3"/>
  <c r="AQ209" i="3"/>
  <c r="AR209" i="3"/>
  <c r="AS209" i="3"/>
  <c r="AT209" i="3"/>
  <c r="AU209" i="3"/>
  <c r="AV209" i="3"/>
  <c r="AW209" i="3"/>
  <c r="AX209" i="3"/>
  <c r="AY209" i="3"/>
  <c r="AZ209" i="3"/>
  <c r="BA209" i="3"/>
  <c r="BB209" i="3"/>
  <c r="BC209" i="3"/>
  <c r="BD209" i="3"/>
  <c r="BE209" i="3"/>
  <c r="BF209" i="3"/>
  <c r="BG209" i="3"/>
  <c r="BH209" i="3"/>
  <c r="BI209" i="3"/>
  <c r="BJ209" i="3"/>
  <c r="BK209" i="3"/>
  <c r="BL209" i="3"/>
  <c r="BM209" i="3"/>
  <c r="BN209" i="3"/>
  <c r="BO209" i="3"/>
  <c r="BP209" i="3"/>
  <c r="BQ209" i="3"/>
  <c r="BR209" i="3"/>
  <c r="BS209" i="3"/>
  <c r="BT209" i="3"/>
  <c r="BU209" i="3"/>
  <c r="BV209" i="3"/>
  <c r="BW209" i="3"/>
  <c r="BX209" i="3"/>
  <c r="BY209" i="3"/>
  <c r="BZ209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P210" i="3"/>
  <c r="Q210" i="3"/>
  <c r="R210" i="3"/>
  <c r="S210" i="3"/>
  <c r="T210" i="3"/>
  <c r="U210" i="3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AI210" i="3"/>
  <c r="AJ210" i="3"/>
  <c r="AK210" i="3"/>
  <c r="AL210" i="3"/>
  <c r="AM210" i="3"/>
  <c r="AN210" i="3"/>
  <c r="AO210" i="3"/>
  <c r="AP210" i="3"/>
  <c r="AQ210" i="3"/>
  <c r="AR210" i="3"/>
  <c r="AS210" i="3"/>
  <c r="AT210" i="3"/>
  <c r="AU210" i="3"/>
  <c r="AV210" i="3"/>
  <c r="AW210" i="3"/>
  <c r="AX210" i="3"/>
  <c r="AY210" i="3"/>
  <c r="AZ210" i="3"/>
  <c r="BA210" i="3"/>
  <c r="BB210" i="3"/>
  <c r="BC210" i="3"/>
  <c r="BD210" i="3"/>
  <c r="BE210" i="3"/>
  <c r="BF210" i="3"/>
  <c r="BG210" i="3"/>
  <c r="BH210" i="3"/>
  <c r="BI210" i="3"/>
  <c r="BJ210" i="3"/>
  <c r="BK210" i="3"/>
  <c r="BL210" i="3"/>
  <c r="BM210" i="3"/>
  <c r="BN210" i="3"/>
  <c r="BO210" i="3"/>
  <c r="BP210" i="3"/>
  <c r="BQ210" i="3"/>
  <c r="BR210" i="3"/>
  <c r="BS210" i="3"/>
  <c r="BT210" i="3"/>
  <c r="BU210" i="3"/>
  <c r="BV210" i="3"/>
  <c r="BW210" i="3"/>
  <c r="BX210" i="3"/>
  <c r="BY210" i="3"/>
  <c r="BZ210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P211" i="3"/>
  <c r="Q211" i="3"/>
  <c r="R211" i="3"/>
  <c r="S211" i="3"/>
  <c r="T211" i="3"/>
  <c r="U211" i="3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AI211" i="3"/>
  <c r="AJ211" i="3"/>
  <c r="AK211" i="3"/>
  <c r="AL211" i="3"/>
  <c r="AM211" i="3"/>
  <c r="AN211" i="3"/>
  <c r="AO211" i="3"/>
  <c r="AP211" i="3"/>
  <c r="AQ211" i="3"/>
  <c r="AR211" i="3"/>
  <c r="AS211" i="3"/>
  <c r="AT211" i="3"/>
  <c r="AU211" i="3"/>
  <c r="AV211" i="3"/>
  <c r="AW211" i="3"/>
  <c r="AX211" i="3"/>
  <c r="AY211" i="3"/>
  <c r="AZ211" i="3"/>
  <c r="BA211" i="3"/>
  <c r="BB211" i="3"/>
  <c r="BC211" i="3"/>
  <c r="BD211" i="3"/>
  <c r="BE211" i="3"/>
  <c r="BF211" i="3"/>
  <c r="BG211" i="3"/>
  <c r="BH211" i="3"/>
  <c r="BI211" i="3"/>
  <c r="BJ211" i="3"/>
  <c r="BK211" i="3"/>
  <c r="BL211" i="3"/>
  <c r="BM211" i="3"/>
  <c r="BN211" i="3"/>
  <c r="BO211" i="3"/>
  <c r="BP211" i="3"/>
  <c r="BQ211" i="3"/>
  <c r="BR211" i="3"/>
  <c r="BS211" i="3"/>
  <c r="BT211" i="3"/>
  <c r="BU211" i="3"/>
  <c r="BV211" i="3"/>
  <c r="BW211" i="3"/>
  <c r="BX211" i="3"/>
  <c r="BY211" i="3"/>
  <c r="BZ211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R212" i="3"/>
  <c r="S212" i="3"/>
  <c r="T212" i="3"/>
  <c r="U212" i="3"/>
  <c r="V212" i="3"/>
  <c r="W212" i="3"/>
  <c r="X212" i="3"/>
  <c r="Y212" i="3"/>
  <c r="Z212" i="3"/>
  <c r="AA212" i="3"/>
  <c r="AB212" i="3"/>
  <c r="AC212" i="3"/>
  <c r="AD212" i="3"/>
  <c r="AE212" i="3"/>
  <c r="AF212" i="3"/>
  <c r="AG212" i="3"/>
  <c r="AH212" i="3"/>
  <c r="AI212" i="3"/>
  <c r="AJ212" i="3"/>
  <c r="AK212" i="3"/>
  <c r="AL212" i="3"/>
  <c r="AM212" i="3"/>
  <c r="AN212" i="3"/>
  <c r="AO212" i="3"/>
  <c r="AP212" i="3"/>
  <c r="AQ212" i="3"/>
  <c r="AR212" i="3"/>
  <c r="AS212" i="3"/>
  <c r="AT212" i="3"/>
  <c r="AU212" i="3"/>
  <c r="AV212" i="3"/>
  <c r="AW212" i="3"/>
  <c r="AX212" i="3"/>
  <c r="AY212" i="3"/>
  <c r="AZ212" i="3"/>
  <c r="BA212" i="3"/>
  <c r="BB212" i="3"/>
  <c r="BC212" i="3"/>
  <c r="BD212" i="3"/>
  <c r="BE212" i="3"/>
  <c r="BF212" i="3"/>
  <c r="BG212" i="3"/>
  <c r="BH212" i="3"/>
  <c r="BI212" i="3"/>
  <c r="BJ212" i="3"/>
  <c r="BK212" i="3"/>
  <c r="BL212" i="3"/>
  <c r="BM212" i="3"/>
  <c r="BN212" i="3"/>
  <c r="BO212" i="3"/>
  <c r="BP212" i="3"/>
  <c r="BQ212" i="3"/>
  <c r="BR212" i="3"/>
  <c r="BS212" i="3"/>
  <c r="BT212" i="3"/>
  <c r="BU212" i="3"/>
  <c r="BV212" i="3"/>
  <c r="BW212" i="3"/>
  <c r="BX212" i="3"/>
  <c r="BY212" i="3"/>
  <c r="BZ212" i="3"/>
  <c r="D213" i="3"/>
  <c r="E213" i="3"/>
  <c r="F213" i="3"/>
  <c r="G213" i="3"/>
  <c r="H213" i="3"/>
  <c r="I213" i="3"/>
  <c r="J213" i="3"/>
  <c r="K213" i="3"/>
  <c r="L213" i="3"/>
  <c r="M213" i="3"/>
  <c r="N213" i="3"/>
  <c r="O213" i="3"/>
  <c r="P213" i="3"/>
  <c r="Q213" i="3"/>
  <c r="R213" i="3"/>
  <c r="S213" i="3"/>
  <c r="T213" i="3"/>
  <c r="U213" i="3"/>
  <c r="V213" i="3"/>
  <c r="W213" i="3"/>
  <c r="X213" i="3"/>
  <c r="Y213" i="3"/>
  <c r="Z213" i="3"/>
  <c r="AA213" i="3"/>
  <c r="AB213" i="3"/>
  <c r="AC213" i="3"/>
  <c r="AD213" i="3"/>
  <c r="AE213" i="3"/>
  <c r="AF213" i="3"/>
  <c r="AG213" i="3"/>
  <c r="AH213" i="3"/>
  <c r="AI213" i="3"/>
  <c r="AJ213" i="3"/>
  <c r="AK213" i="3"/>
  <c r="AL213" i="3"/>
  <c r="AM213" i="3"/>
  <c r="AN213" i="3"/>
  <c r="AO213" i="3"/>
  <c r="AP213" i="3"/>
  <c r="AQ213" i="3"/>
  <c r="AR213" i="3"/>
  <c r="AS213" i="3"/>
  <c r="AT213" i="3"/>
  <c r="AU213" i="3"/>
  <c r="AV213" i="3"/>
  <c r="AW213" i="3"/>
  <c r="AX213" i="3"/>
  <c r="AY213" i="3"/>
  <c r="AZ213" i="3"/>
  <c r="BA213" i="3"/>
  <c r="BB213" i="3"/>
  <c r="BC213" i="3"/>
  <c r="BD213" i="3"/>
  <c r="BE213" i="3"/>
  <c r="BF213" i="3"/>
  <c r="BG213" i="3"/>
  <c r="BH213" i="3"/>
  <c r="BI213" i="3"/>
  <c r="BJ213" i="3"/>
  <c r="BK213" i="3"/>
  <c r="BL213" i="3"/>
  <c r="BM213" i="3"/>
  <c r="BN213" i="3"/>
  <c r="BO213" i="3"/>
  <c r="BP213" i="3"/>
  <c r="BQ213" i="3"/>
  <c r="BR213" i="3"/>
  <c r="BS213" i="3"/>
  <c r="BT213" i="3"/>
  <c r="BU213" i="3"/>
  <c r="BV213" i="3"/>
  <c r="BW213" i="3"/>
  <c r="BX213" i="3"/>
  <c r="BY213" i="3"/>
  <c r="BZ213" i="3"/>
  <c r="D214" i="3"/>
  <c r="E214" i="3"/>
  <c r="F214" i="3"/>
  <c r="G214" i="3"/>
  <c r="H214" i="3"/>
  <c r="I214" i="3"/>
  <c r="J214" i="3"/>
  <c r="K214" i="3"/>
  <c r="L214" i="3"/>
  <c r="M214" i="3"/>
  <c r="N214" i="3"/>
  <c r="O214" i="3"/>
  <c r="P214" i="3"/>
  <c r="Q214" i="3"/>
  <c r="R214" i="3"/>
  <c r="S214" i="3"/>
  <c r="T214" i="3"/>
  <c r="U214" i="3"/>
  <c r="V214" i="3"/>
  <c r="W214" i="3"/>
  <c r="X214" i="3"/>
  <c r="Y214" i="3"/>
  <c r="Z214" i="3"/>
  <c r="AA214" i="3"/>
  <c r="AB214" i="3"/>
  <c r="AC214" i="3"/>
  <c r="AD214" i="3"/>
  <c r="AE214" i="3"/>
  <c r="AF214" i="3"/>
  <c r="AG214" i="3"/>
  <c r="AH214" i="3"/>
  <c r="AI214" i="3"/>
  <c r="AJ214" i="3"/>
  <c r="AK214" i="3"/>
  <c r="AL214" i="3"/>
  <c r="AM214" i="3"/>
  <c r="AN214" i="3"/>
  <c r="AO214" i="3"/>
  <c r="AP214" i="3"/>
  <c r="AQ214" i="3"/>
  <c r="AR214" i="3"/>
  <c r="AS214" i="3"/>
  <c r="AT214" i="3"/>
  <c r="AU214" i="3"/>
  <c r="AV214" i="3"/>
  <c r="AW214" i="3"/>
  <c r="AX214" i="3"/>
  <c r="AY214" i="3"/>
  <c r="AZ214" i="3"/>
  <c r="BA214" i="3"/>
  <c r="BB214" i="3"/>
  <c r="BC214" i="3"/>
  <c r="BD214" i="3"/>
  <c r="BE214" i="3"/>
  <c r="BF214" i="3"/>
  <c r="BG214" i="3"/>
  <c r="BH214" i="3"/>
  <c r="BI214" i="3"/>
  <c r="BJ214" i="3"/>
  <c r="BK214" i="3"/>
  <c r="BL214" i="3"/>
  <c r="BM214" i="3"/>
  <c r="BN214" i="3"/>
  <c r="BO214" i="3"/>
  <c r="BP214" i="3"/>
  <c r="BQ214" i="3"/>
  <c r="BR214" i="3"/>
  <c r="BS214" i="3"/>
  <c r="BT214" i="3"/>
  <c r="BU214" i="3"/>
  <c r="BV214" i="3"/>
  <c r="BW214" i="3"/>
  <c r="BX214" i="3"/>
  <c r="BY214" i="3"/>
  <c r="BZ214" i="3"/>
  <c r="D215" i="3"/>
  <c r="E215" i="3"/>
  <c r="F215" i="3"/>
  <c r="G215" i="3"/>
  <c r="H215" i="3"/>
  <c r="I215" i="3"/>
  <c r="J215" i="3"/>
  <c r="K215" i="3"/>
  <c r="L215" i="3"/>
  <c r="M215" i="3"/>
  <c r="N215" i="3"/>
  <c r="O215" i="3"/>
  <c r="P215" i="3"/>
  <c r="Q215" i="3"/>
  <c r="R215" i="3"/>
  <c r="S215" i="3"/>
  <c r="T215" i="3"/>
  <c r="U215" i="3"/>
  <c r="V215" i="3"/>
  <c r="W215" i="3"/>
  <c r="X215" i="3"/>
  <c r="Y215" i="3"/>
  <c r="Z215" i="3"/>
  <c r="AA215" i="3"/>
  <c r="AB215" i="3"/>
  <c r="AC215" i="3"/>
  <c r="AD215" i="3"/>
  <c r="AE215" i="3"/>
  <c r="AF215" i="3"/>
  <c r="AG215" i="3"/>
  <c r="AH215" i="3"/>
  <c r="AI215" i="3"/>
  <c r="AJ215" i="3"/>
  <c r="AK215" i="3"/>
  <c r="AL215" i="3"/>
  <c r="AM215" i="3"/>
  <c r="AN215" i="3"/>
  <c r="AO215" i="3"/>
  <c r="AP215" i="3"/>
  <c r="AQ215" i="3"/>
  <c r="AR215" i="3"/>
  <c r="AS215" i="3"/>
  <c r="AT215" i="3"/>
  <c r="AU215" i="3"/>
  <c r="AV215" i="3"/>
  <c r="AW215" i="3"/>
  <c r="AX215" i="3"/>
  <c r="AY215" i="3"/>
  <c r="AZ215" i="3"/>
  <c r="BA215" i="3"/>
  <c r="BB215" i="3"/>
  <c r="BC215" i="3"/>
  <c r="BD215" i="3"/>
  <c r="BE215" i="3"/>
  <c r="BF215" i="3"/>
  <c r="BG215" i="3"/>
  <c r="BH215" i="3"/>
  <c r="BI215" i="3"/>
  <c r="BJ215" i="3"/>
  <c r="BK215" i="3"/>
  <c r="BL215" i="3"/>
  <c r="BM215" i="3"/>
  <c r="BN215" i="3"/>
  <c r="BO215" i="3"/>
  <c r="BP215" i="3"/>
  <c r="BQ215" i="3"/>
  <c r="BR215" i="3"/>
  <c r="BS215" i="3"/>
  <c r="BT215" i="3"/>
  <c r="BU215" i="3"/>
  <c r="BV215" i="3"/>
  <c r="BW215" i="3"/>
  <c r="BX215" i="3"/>
  <c r="BY215" i="3"/>
  <c r="BZ215" i="3"/>
  <c r="D216" i="3"/>
  <c r="E216" i="3"/>
  <c r="F216" i="3"/>
  <c r="G216" i="3"/>
  <c r="H216" i="3"/>
  <c r="I216" i="3"/>
  <c r="J216" i="3"/>
  <c r="K216" i="3"/>
  <c r="L216" i="3"/>
  <c r="M216" i="3"/>
  <c r="N216" i="3"/>
  <c r="O216" i="3"/>
  <c r="P216" i="3"/>
  <c r="Q216" i="3"/>
  <c r="R216" i="3"/>
  <c r="S216" i="3"/>
  <c r="T216" i="3"/>
  <c r="U216" i="3"/>
  <c r="V216" i="3"/>
  <c r="W216" i="3"/>
  <c r="X216" i="3"/>
  <c r="Y216" i="3"/>
  <c r="Z216" i="3"/>
  <c r="AA216" i="3"/>
  <c r="AB216" i="3"/>
  <c r="AC216" i="3"/>
  <c r="AD216" i="3"/>
  <c r="AE216" i="3"/>
  <c r="AF216" i="3"/>
  <c r="AG216" i="3"/>
  <c r="AH216" i="3"/>
  <c r="AI216" i="3"/>
  <c r="AJ216" i="3"/>
  <c r="AK216" i="3"/>
  <c r="AL216" i="3"/>
  <c r="AM216" i="3"/>
  <c r="AN216" i="3"/>
  <c r="AO216" i="3"/>
  <c r="AP216" i="3"/>
  <c r="AQ216" i="3"/>
  <c r="AR216" i="3"/>
  <c r="AS216" i="3"/>
  <c r="AT216" i="3"/>
  <c r="AU216" i="3"/>
  <c r="AV216" i="3"/>
  <c r="AW216" i="3"/>
  <c r="AX216" i="3"/>
  <c r="AY216" i="3"/>
  <c r="AZ216" i="3"/>
  <c r="BA216" i="3"/>
  <c r="BB216" i="3"/>
  <c r="BC216" i="3"/>
  <c r="BD216" i="3"/>
  <c r="BE216" i="3"/>
  <c r="BF216" i="3"/>
  <c r="BG216" i="3"/>
  <c r="BH216" i="3"/>
  <c r="BI216" i="3"/>
  <c r="BJ216" i="3"/>
  <c r="BK216" i="3"/>
  <c r="BL216" i="3"/>
  <c r="BM216" i="3"/>
  <c r="BN216" i="3"/>
  <c r="BO216" i="3"/>
  <c r="BP216" i="3"/>
  <c r="BQ216" i="3"/>
  <c r="BR216" i="3"/>
  <c r="BS216" i="3"/>
  <c r="BT216" i="3"/>
  <c r="BU216" i="3"/>
  <c r="BV216" i="3"/>
  <c r="BW216" i="3"/>
  <c r="BX216" i="3"/>
  <c r="BY216" i="3"/>
  <c r="BZ216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R217" i="3"/>
  <c r="S217" i="3"/>
  <c r="T217" i="3"/>
  <c r="U217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AI217" i="3"/>
  <c r="AJ217" i="3"/>
  <c r="AK217" i="3"/>
  <c r="AL217" i="3"/>
  <c r="AM217" i="3"/>
  <c r="AN217" i="3"/>
  <c r="AO217" i="3"/>
  <c r="AP217" i="3"/>
  <c r="AQ217" i="3"/>
  <c r="AR217" i="3"/>
  <c r="AS217" i="3"/>
  <c r="AT217" i="3"/>
  <c r="AU217" i="3"/>
  <c r="AV217" i="3"/>
  <c r="AW217" i="3"/>
  <c r="AX217" i="3"/>
  <c r="AY217" i="3"/>
  <c r="AZ217" i="3"/>
  <c r="BA217" i="3"/>
  <c r="BB217" i="3"/>
  <c r="BC217" i="3"/>
  <c r="BD217" i="3"/>
  <c r="BE217" i="3"/>
  <c r="BF217" i="3"/>
  <c r="BG217" i="3"/>
  <c r="BH217" i="3"/>
  <c r="BI217" i="3"/>
  <c r="BJ217" i="3"/>
  <c r="BK217" i="3"/>
  <c r="BL217" i="3"/>
  <c r="BM217" i="3"/>
  <c r="BN217" i="3"/>
  <c r="BO217" i="3"/>
  <c r="BP217" i="3"/>
  <c r="BQ217" i="3"/>
  <c r="BR217" i="3"/>
  <c r="BS217" i="3"/>
  <c r="BT217" i="3"/>
  <c r="BU217" i="3"/>
  <c r="BV217" i="3"/>
  <c r="BW217" i="3"/>
  <c r="BX217" i="3"/>
  <c r="BY217" i="3"/>
  <c r="BZ217" i="3"/>
  <c r="D218" i="3"/>
  <c r="E218" i="3"/>
  <c r="F218" i="3"/>
  <c r="G218" i="3"/>
  <c r="H218" i="3"/>
  <c r="I218" i="3"/>
  <c r="J218" i="3"/>
  <c r="K218" i="3"/>
  <c r="L218" i="3"/>
  <c r="M218" i="3"/>
  <c r="N218" i="3"/>
  <c r="O218" i="3"/>
  <c r="P218" i="3"/>
  <c r="Q218" i="3"/>
  <c r="R218" i="3"/>
  <c r="S218" i="3"/>
  <c r="T218" i="3"/>
  <c r="U218" i="3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AI218" i="3"/>
  <c r="AJ218" i="3"/>
  <c r="AK218" i="3"/>
  <c r="AL218" i="3"/>
  <c r="AM218" i="3"/>
  <c r="AN218" i="3"/>
  <c r="AO218" i="3"/>
  <c r="AP218" i="3"/>
  <c r="AQ218" i="3"/>
  <c r="AR218" i="3"/>
  <c r="AS218" i="3"/>
  <c r="AT218" i="3"/>
  <c r="AU218" i="3"/>
  <c r="AV218" i="3"/>
  <c r="AW218" i="3"/>
  <c r="AX218" i="3"/>
  <c r="AY218" i="3"/>
  <c r="AZ218" i="3"/>
  <c r="BA218" i="3"/>
  <c r="BB218" i="3"/>
  <c r="BC218" i="3"/>
  <c r="BD218" i="3"/>
  <c r="BE218" i="3"/>
  <c r="BF218" i="3"/>
  <c r="BG218" i="3"/>
  <c r="BH218" i="3"/>
  <c r="BI218" i="3"/>
  <c r="BJ218" i="3"/>
  <c r="BK218" i="3"/>
  <c r="BL218" i="3"/>
  <c r="BM218" i="3"/>
  <c r="BN218" i="3"/>
  <c r="BO218" i="3"/>
  <c r="BP218" i="3"/>
  <c r="BQ218" i="3"/>
  <c r="BR218" i="3"/>
  <c r="BS218" i="3"/>
  <c r="BT218" i="3"/>
  <c r="BU218" i="3"/>
  <c r="BV218" i="3"/>
  <c r="BW218" i="3"/>
  <c r="BX218" i="3"/>
  <c r="BY218" i="3"/>
  <c r="BZ218" i="3"/>
  <c r="D219" i="3"/>
  <c r="E219" i="3"/>
  <c r="F219" i="3"/>
  <c r="G219" i="3"/>
  <c r="H219" i="3"/>
  <c r="I219" i="3"/>
  <c r="J219" i="3"/>
  <c r="K219" i="3"/>
  <c r="L219" i="3"/>
  <c r="M219" i="3"/>
  <c r="N219" i="3"/>
  <c r="O219" i="3"/>
  <c r="P219" i="3"/>
  <c r="Q219" i="3"/>
  <c r="R219" i="3"/>
  <c r="S219" i="3"/>
  <c r="T219" i="3"/>
  <c r="U219" i="3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AI219" i="3"/>
  <c r="AJ219" i="3"/>
  <c r="AK219" i="3"/>
  <c r="AL219" i="3"/>
  <c r="AM219" i="3"/>
  <c r="AN219" i="3"/>
  <c r="AO219" i="3"/>
  <c r="AP219" i="3"/>
  <c r="AQ219" i="3"/>
  <c r="AR219" i="3"/>
  <c r="AS219" i="3"/>
  <c r="AT219" i="3"/>
  <c r="AU219" i="3"/>
  <c r="AV219" i="3"/>
  <c r="AW219" i="3"/>
  <c r="AX219" i="3"/>
  <c r="AY219" i="3"/>
  <c r="AZ219" i="3"/>
  <c r="BA219" i="3"/>
  <c r="BB219" i="3"/>
  <c r="BC219" i="3"/>
  <c r="BD219" i="3"/>
  <c r="BE219" i="3"/>
  <c r="BF219" i="3"/>
  <c r="BG219" i="3"/>
  <c r="BH219" i="3"/>
  <c r="BI219" i="3"/>
  <c r="BJ219" i="3"/>
  <c r="BK219" i="3"/>
  <c r="BL219" i="3"/>
  <c r="BM219" i="3"/>
  <c r="BN219" i="3"/>
  <c r="BO219" i="3"/>
  <c r="BP219" i="3"/>
  <c r="BQ219" i="3"/>
  <c r="BR219" i="3"/>
  <c r="BS219" i="3"/>
  <c r="BT219" i="3"/>
  <c r="BU219" i="3"/>
  <c r="BV219" i="3"/>
  <c r="BW219" i="3"/>
  <c r="BX219" i="3"/>
  <c r="BY219" i="3"/>
  <c r="BZ219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P220" i="3"/>
  <c r="Q220" i="3"/>
  <c r="R220" i="3"/>
  <c r="S220" i="3"/>
  <c r="T220" i="3"/>
  <c r="U220" i="3"/>
  <c r="V220" i="3"/>
  <c r="W220" i="3"/>
  <c r="X220" i="3"/>
  <c r="Y220" i="3"/>
  <c r="Z220" i="3"/>
  <c r="AA220" i="3"/>
  <c r="AB220" i="3"/>
  <c r="AC220" i="3"/>
  <c r="AD220" i="3"/>
  <c r="AE220" i="3"/>
  <c r="AF220" i="3"/>
  <c r="AG220" i="3"/>
  <c r="AH220" i="3"/>
  <c r="AI220" i="3"/>
  <c r="AJ220" i="3"/>
  <c r="AK220" i="3"/>
  <c r="AL220" i="3"/>
  <c r="AM220" i="3"/>
  <c r="AN220" i="3"/>
  <c r="AO220" i="3"/>
  <c r="AP220" i="3"/>
  <c r="AQ220" i="3"/>
  <c r="AR220" i="3"/>
  <c r="AS220" i="3"/>
  <c r="AT220" i="3"/>
  <c r="AU220" i="3"/>
  <c r="AV220" i="3"/>
  <c r="AW220" i="3"/>
  <c r="AX220" i="3"/>
  <c r="AY220" i="3"/>
  <c r="AZ220" i="3"/>
  <c r="BA220" i="3"/>
  <c r="BB220" i="3"/>
  <c r="BC220" i="3"/>
  <c r="BD220" i="3"/>
  <c r="BE220" i="3"/>
  <c r="BF220" i="3"/>
  <c r="BG220" i="3"/>
  <c r="BH220" i="3"/>
  <c r="BI220" i="3"/>
  <c r="BJ220" i="3"/>
  <c r="BK220" i="3"/>
  <c r="BL220" i="3"/>
  <c r="BM220" i="3"/>
  <c r="BN220" i="3"/>
  <c r="BO220" i="3"/>
  <c r="BP220" i="3"/>
  <c r="BQ220" i="3"/>
  <c r="BR220" i="3"/>
  <c r="BS220" i="3"/>
  <c r="BT220" i="3"/>
  <c r="BU220" i="3"/>
  <c r="BV220" i="3"/>
  <c r="BW220" i="3"/>
  <c r="BX220" i="3"/>
  <c r="BY220" i="3"/>
  <c r="BZ220" i="3"/>
  <c r="D221" i="3"/>
  <c r="E221" i="3"/>
  <c r="F221" i="3"/>
  <c r="G221" i="3"/>
  <c r="H221" i="3"/>
  <c r="I221" i="3"/>
  <c r="J221" i="3"/>
  <c r="K221" i="3"/>
  <c r="L221" i="3"/>
  <c r="M221" i="3"/>
  <c r="N221" i="3"/>
  <c r="O221" i="3"/>
  <c r="P221" i="3"/>
  <c r="Q221" i="3"/>
  <c r="R221" i="3"/>
  <c r="S221" i="3"/>
  <c r="T221" i="3"/>
  <c r="U221" i="3"/>
  <c r="V221" i="3"/>
  <c r="W221" i="3"/>
  <c r="X221" i="3"/>
  <c r="Y221" i="3"/>
  <c r="Z221" i="3"/>
  <c r="AA221" i="3"/>
  <c r="AB221" i="3"/>
  <c r="AC221" i="3"/>
  <c r="AD221" i="3"/>
  <c r="AE221" i="3"/>
  <c r="AF221" i="3"/>
  <c r="AG221" i="3"/>
  <c r="AH221" i="3"/>
  <c r="AI221" i="3"/>
  <c r="AJ221" i="3"/>
  <c r="AK221" i="3"/>
  <c r="AL221" i="3"/>
  <c r="AM221" i="3"/>
  <c r="AN221" i="3"/>
  <c r="AO221" i="3"/>
  <c r="AP221" i="3"/>
  <c r="AQ221" i="3"/>
  <c r="AR221" i="3"/>
  <c r="AS221" i="3"/>
  <c r="AT221" i="3"/>
  <c r="AU221" i="3"/>
  <c r="AV221" i="3"/>
  <c r="AW221" i="3"/>
  <c r="AX221" i="3"/>
  <c r="AY221" i="3"/>
  <c r="AZ221" i="3"/>
  <c r="BA221" i="3"/>
  <c r="BB221" i="3"/>
  <c r="BC221" i="3"/>
  <c r="BD221" i="3"/>
  <c r="BE221" i="3"/>
  <c r="BF221" i="3"/>
  <c r="BG221" i="3"/>
  <c r="BH221" i="3"/>
  <c r="BI221" i="3"/>
  <c r="BJ221" i="3"/>
  <c r="BK221" i="3"/>
  <c r="BL221" i="3"/>
  <c r="BM221" i="3"/>
  <c r="BN221" i="3"/>
  <c r="BO221" i="3"/>
  <c r="BP221" i="3"/>
  <c r="BQ221" i="3"/>
  <c r="BR221" i="3"/>
  <c r="BS221" i="3"/>
  <c r="BT221" i="3"/>
  <c r="BU221" i="3"/>
  <c r="BV221" i="3"/>
  <c r="BW221" i="3"/>
  <c r="BX221" i="3"/>
  <c r="BY221" i="3"/>
  <c r="BZ221" i="3"/>
  <c r="D222" i="3"/>
  <c r="E222" i="3"/>
  <c r="F222" i="3"/>
  <c r="G222" i="3"/>
  <c r="H222" i="3"/>
  <c r="I222" i="3"/>
  <c r="J222" i="3"/>
  <c r="K222" i="3"/>
  <c r="L222" i="3"/>
  <c r="M222" i="3"/>
  <c r="N222" i="3"/>
  <c r="O222" i="3"/>
  <c r="P222" i="3"/>
  <c r="Q222" i="3"/>
  <c r="R222" i="3"/>
  <c r="S222" i="3"/>
  <c r="T222" i="3"/>
  <c r="U222" i="3"/>
  <c r="V222" i="3"/>
  <c r="W222" i="3"/>
  <c r="X222" i="3"/>
  <c r="Y222" i="3"/>
  <c r="Z222" i="3"/>
  <c r="AA222" i="3"/>
  <c r="AB222" i="3"/>
  <c r="AC222" i="3"/>
  <c r="AD222" i="3"/>
  <c r="AE222" i="3"/>
  <c r="AF222" i="3"/>
  <c r="AG222" i="3"/>
  <c r="AH222" i="3"/>
  <c r="AI222" i="3"/>
  <c r="AJ222" i="3"/>
  <c r="AK222" i="3"/>
  <c r="AL222" i="3"/>
  <c r="AM222" i="3"/>
  <c r="AN222" i="3"/>
  <c r="AO222" i="3"/>
  <c r="AP222" i="3"/>
  <c r="AQ222" i="3"/>
  <c r="AR222" i="3"/>
  <c r="AS222" i="3"/>
  <c r="AT222" i="3"/>
  <c r="AU222" i="3"/>
  <c r="AV222" i="3"/>
  <c r="AW222" i="3"/>
  <c r="AX222" i="3"/>
  <c r="AY222" i="3"/>
  <c r="AZ222" i="3"/>
  <c r="BA222" i="3"/>
  <c r="BB222" i="3"/>
  <c r="BC222" i="3"/>
  <c r="BD222" i="3"/>
  <c r="BE222" i="3"/>
  <c r="BF222" i="3"/>
  <c r="BG222" i="3"/>
  <c r="BH222" i="3"/>
  <c r="BI222" i="3"/>
  <c r="BJ222" i="3"/>
  <c r="BK222" i="3"/>
  <c r="BL222" i="3"/>
  <c r="BM222" i="3"/>
  <c r="BN222" i="3"/>
  <c r="BO222" i="3"/>
  <c r="BP222" i="3"/>
  <c r="BQ222" i="3"/>
  <c r="BR222" i="3"/>
  <c r="BS222" i="3"/>
  <c r="BT222" i="3"/>
  <c r="BU222" i="3"/>
  <c r="BV222" i="3"/>
  <c r="BW222" i="3"/>
  <c r="BX222" i="3"/>
  <c r="BY222" i="3"/>
  <c r="BZ222" i="3"/>
  <c r="D223" i="3"/>
  <c r="E223" i="3"/>
  <c r="F223" i="3"/>
  <c r="G223" i="3"/>
  <c r="H223" i="3"/>
  <c r="I223" i="3"/>
  <c r="J223" i="3"/>
  <c r="K223" i="3"/>
  <c r="L223" i="3"/>
  <c r="M223" i="3"/>
  <c r="N223" i="3"/>
  <c r="O223" i="3"/>
  <c r="P223" i="3"/>
  <c r="Q223" i="3"/>
  <c r="R223" i="3"/>
  <c r="S223" i="3"/>
  <c r="T223" i="3"/>
  <c r="U223" i="3"/>
  <c r="V223" i="3"/>
  <c r="W223" i="3"/>
  <c r="X223" i="3"/>
  <c r="Y223" i="3"/>
  <c r="Z223" i="3"/>
  <c r="AA223" i="3"/>
  <c r="AB223" i="3"/>
  <c r="AC223" i="3"/>
  <c r="AD223" i="3"/>
  <c r="AE223" i="3"/>
  <c r="AF223" i="3"/>
  <c r="AG223" i="3"/>
  <c r="AH223" i="3"/>
  <c r="AI223" i="3"/>
  <c r="AJ223" i="3"/>
  <c r="AK223" i="3"/>
  <c r="AL223" i="3"/>
  <c r="AM223" i="3"/>
  <c r="AN223" i="3"/>
  <c r="AO223" i="3"/>
  <c r="AP223" i="3"/>
  <c r="AQ223" i="3"/>
  <c r="AR223" i="3"/>
  <c r="AS223" i="3"/>
  <c r="AT223" i="3"/>
  <c r="AU223" i="3"/>
  <c r="AV223" i="3"/>
  <c r="AW223" i="3"/>
  <c r="AX223" i="3"/>
  <c r="AY223" i="3"/>
  <c r="AZ223" i="3"/>
  <c r="BA223" i="3"/>
  <c r="BB223" i="3"/>
  <c r="BC223" i="3"/>
  <c r="BD223" i="3"/>
  <c r="BE223" i="3"/>
  <c r="BF223" i="3"/>
  <c r="BG223" i="3"/>
  <c r="BH223" i="3"/>
  <c r="BI223" i="3"/>
  <c r="BJ223" i="3"/>
  <c r="BK223" i="3"/>
  <c r="BL223" i="3"/>
  <c r="BM223" i="3"/>
  <c r="BN223" i="3"/>
  <c r="BO223" i="3"/>
  <c r="BP223" i="3"/>
  <c r="BQ223" i="3"/>
  <c r="BR223" i="3"/>
  <c r="BS223" i="3"/>
  <c r="BT223" i="3"/>
  <c r="BU223" i="3"/>
  <c r="BV223" i="3"/>
  <c r="BW223" i="3"/>
  <c r="BX223" i="3"/>
  <c r="BY223" i="3"/>
  <c r="BZ223" i="3"/>
  <c r="D224" i="3"/>
  <c r="E224" i="3"/>
  <c r="F224" i="3"/>
  <c r="G224" i="3"/>
  <c r="H224" i="3"/>
  <c r="I224" i="3"/>
  <c r="J224" i="3"/>
  <c r="K224" i="3"/>
  <c r="L224" i="3"/>
  <c r="M224" i="3"/>
  <c r="N224" i="3"/>
  <c r="O224" i="3"/>
  <c r="P224" i="3"/>
  <c r="Q224" i="3"/>
  <c r="R224" i="3"/>
  <c r="S224" i="3"/>
  <c r="T224" i="3"/>
  <c r="U224" i="3"/>
  <c r="V224" i="3"/>
  <c r="W224" i="3"/>
  <c r="X224" i="3"/>
  <c r="Y224" i="3"/>
  <c r="Z224" i="3"/>
  <c r="AA224" i="3"/>
  <c r="AB224" i="3"/>
  <c r="AC224" i="3"/>
  <c r="AD224" i="3"/>
  <c r="AE224" i="3"/>
  <c r="AF224" i="3"/>
  <c r="AG224" i="3"/>
  <c r="AH224" i="3"/>
  <c r="AI224" i="3"/>
  <c r="AJ224" i="3"/>
  <c r="AK224" i="3"/>
  <c r="AL224" i="3"/>
  <c r="AM224" i="3"/>
  <c r="AN224" i="3"/>
  <c r="AO224" i="3"/>
  <c r="AP224" i="3"/>
  <c r="AQ224" i="3"/>
  <c r="AR224" i="3"/>
  <c r="AS224" i="3"/>
  <c r="AT224" i="3"/>
  <c r="AU224" i="3"/>
  <c r="AV224" i="3"/>
  <c r="AW224" i="3"/>
  <c r="AX224" i="3"/>
  <c r="AY224" i="3"/>
  <c r="AZ224" i="3"/>
  <c r="BA224" i="3"/>
  <c r="BB224" i="3"/>
  <c r="BC224" i="3"/>
  <c r="BD224" i="3"/>
  <c r="BE224" i="3"/>
  <c r="BF224" i="3"/>
  <c r="BG224" i="3"/>
  <c r="BH224" i="3"/>
  <c r="BI224" i="3"/>
  <c r="BJ224" i="3"/>
  <c r="BK224" i="3"/>
  <c r="BL224" i="3"/>
  <c r="BM224" i="3"/>
  <c r="BN224" i="3"/>
  <c r="BO224" i="3"/>
  <c r="BP224" i="3"/>
  <c r="BQ224" i="3"/>
  <c r="BR224" i="3"/>
  <c r="BS224" i="3"/>
  <c r="BT224" i="3"/>
  <c r="BU224" i="3"/>
  <c r="BV224" i="3"/>
  <c r="BW224" i="3"/>
  <c r="BX224" i="3"/>
  <c r="BY224" i="3"/>
  <c r="BZ224" i="3"/>
  <c r="D225" i="3"/>
  <c r="E225" i="3"/>
  <c r="F225" i="3"/>
  <c r="G225" i="3"/>
  <c r="H225" i="3"/>
  <c r="I225" i="3"/>
  <c r="J225" i="3"/>
  <c r="K225" i="3"/>
  <c r="L225" i="3"/>
  <c r="M225" i="3"/>
  <c r="N225" i="3"/>
  <c r="O225" i="3"/>
  <c r="P225" i="3"/>
  <c r="Q225" i="3"/>
  <c r="R225" i="3"/>
  <c r="S225" i="3"/>
  <c r="T225" i="3"/>
  <c r="U225" i="3"/>
  <c r="V225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AI225" i="3"/>
  <c r="AJ225" i="3"/>
  <c r="AK225" i="3"/>
  <c r="AL225" i="3"/>
  <c r="AM225" i="3"/>
  <c r="AN225" i="3"/>
  <c r="AO225" i="3"/>
  <c r="AP225" i="3"/>
  <c r="AQ225" i="3"/>
  <c r="AR225" i="3"/>
  <c r="AS225" i="3"/>
  <c r="AT225" i="3"/>
  <c r="AU225" i="3"/>
  <c r="AV225" i="3"/>
  <c r="AW225" i="3"/>
  <c r="AX225" i="3"/>
  <c r="AY225" i="3"/>
  <c r="AZ225" i="3"/>
  <c r="BA225" i="3"/>
  <c r="BB225" i="3"/>
  <c r="BC225" i="3"/>
  <c r="BD225" i="3"/>
  <c r="BE225" i="3"/>
  <c r="BF225" i="3"/>
  <c r="BG225" i="3"/>
  <c r="BH225" i="3"/>
  <c r="BI225" i="3"/>
  <c r="BJ225" i="3"/>
  <c r="BK225" i="3"/>
  <c r="BL225" i="3"/>
  <c r="BM225" i="3"/>
  <c r="BN225" i="3"/>
  <c r="BO225" i="3"/>
  <c r="BP225" i="3"/>
  <c r="BQ225" i="3"/>
  <c r="BR225" i="3"/>
  <c r="BS225" i="3"/>
  <c r="BT225" i="3"/>
  <c r="BU225" i="3"/>
  <c r="BV225" i="3"/>
  <c r="BW225" i="3"/>
  <c r="BX225" i="3"/>
  <c r="BY225" i="3"/>
  <c r="BZ225" i="3"/>
  <c r="D226" i="3"/>
  <c r="E226" i="3"/>
  <c r="F226" i="3"/>
  <c r="G226" i="3"/>
  <c r="H226" i="3"/>
  <c r="I226" i="3"/>
  <c r="J226" i="3"/>
  <c r="K226" i="3"/>
  <c r="L226" i="3"/>
  <c r="M226" i="3"/>
  <c r="N226" i="3"/>
  <c r="O226" i="3"/>
  <c r="P226" i="3"/>
  <c r="Q226" i="3"/>
  <c r="R226" i="3"/>
  <c r="S226" i="3"/>
  <c r="T226" i="3"/>
  <c r="U226" i="3"/>
  <c r="V226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AI226" i="3"/>
  <c r="AJ226" i="3"/>
  <c r="AK226" i="3"/>
  <c r="AL226" i="3"/>
  <c r="AM226" i="3"/>
  <c r="AN226" i="3"/>
  <c r="AO226" i="3"/>
  <c r="AP226" i="3"/>
  <c r="AQ226" i="3"/>
  <c r="AR226" i="3"/>
  <c r="AS226" i="3"/>
  <c r="AT226" i="3"/>
  <c r="AU226" i="3"/>
  <c r="AV226" i="3"/>
  <c r="AW226" i="3"/>
  <c r="AX226" i="3"/>
  <c r="AY226" i="3"/>
  <c r="AZ226" i="3"/>
  <c r="BA226" i="3"/>
  <c r="BB226" i="3"/>
  <c r="BC226" i="3"/>
  <c r="BD226" i="3"/>
  <c r="BE226" i="3"/>
  <c r="BF226" i="3"/>
  <c r="BG226" i="3"/>
  <c r="BH226" i="3"/>
  <c r="BI226" i="3"/>
  <c r="BJ226" i="3"/>
  <c r="BK226" i="3"/>
  <c r="BL226" i="3"/>
  <c r="BM226" i="3"/>
  <c r="BN226" i="3"/>
  <c r="BO226" i="3"/>
  <c r="BP226" i="3"/>
  <c r="BQ226" i="3"/>
  <c r="BR226" i="3"/>
  <c r="BS226" i="3"/>
  <c r="BT226" i="3"/>
  <c r="BU226" i="3"/>
  <c r="BV226" i="3"/>
  <c r="BW226" i="3"/>
  <c r="BX226" i="3"/>
  <c r="BY226" i="3"/>
  <c r="BZ226" i="3"/>
  <c r="D227" i="3"/>
  <c r="E227" i="3"/>
  <c r="F227" i="3"/>
  <c r="G227" i="3"/>
  <c r="H227" i="3"/>
  <c r="I227" i="3"/>
  <c r="J227" i="3"/>
  <c r="K227" i="3"/>
  <c r="L227" i="3"/>
  <c r="M227" i="3"/>
  <c r="N227" i="3"/>
  <c r="O227" i="3"/>
  <c r="P227" i="3"/>
  <c r="Q227" i="3"/>
  <c r="R227" i="3"/>
  <c r="S227" i="3"/>
  <c r="T227" i="3"/>
  <c r="U227" i="3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AI227" i="3"/>
  <c r="AJ227" i="3"/>
  <c r="AK227" i="3"/>
  <c r="AL227" i="3"/>
  <c r="AM227" i="3"/>
  <c r="AN227" i="3"/>
  <c r="AO227" i="3"/>
  <c r="AP227" i="3"/>
  <c r="AQ227" i="3"/>
  <c r="AR227" i="3"/>
  <c r="AS227" i="3"/>
  <c r="AT227" i="3"/>
  <c r="AU227" i="3"/>
  <c r="AV227" i="3"/>
  <c r="AW227" i="3"/>
  <c r="AX227" i="3"/>
  <c r="AY227" i="3"/>
  <c r="AZ227" i="3"/>
  <c r="BA227" i="3"/>
  <c r="BB227" i="3"/>
  <c r="BC227" i="3"/>
  <c r="BD227" i="3"/>
  <c r="BE227" i="3"/>
  <c r="BF227" i="3"/>
  <c r="BG227" i="3"/>
  <c r="BH227" i="3"/>
  <c r="BI227" i="3"/>
  <c r="BJ227" i="3"/>
  <c r="BK227" i="3"/>
  <c r="BL227" i="3"/>
  <c r="BM227" i="3"/>
  <c r="BN227" i="3"/>
  <c r="BO227" i="3"/>
  <c r="BP227" i="3"/>
  <c r="BQ227" i="3"/>
  <c r="BR227" i="3"/>
  <c r="BS227" i="3"/>
  <c r="BT227" i="3"/>
  <c r="BU227" i="3"/>
  <c r="BV227" i="3"/>
  <c r="BW227" i="3"/>
  <c r="BX227" i="3"/>
  <c r="BY227" i="3"/>
  <c r="BZ227" i="3"/>
  <c r="D228" i="3"/>
  <c r="E228" i="3"/>
  <c r="F228" i="3"/>
  <c r="G228" i="3"/>
  <c r="H228" i="3"/>
  <c r="I228" i="3"/>
  <c r="J228" i="3"/>
  <c r="K228" i="3"/>
  <c r="L228" i="3"/>
  <c r="M228" i="3"/>
  <c r="N228" i="3"/>
  <c r="O228" i="3"/>
  <c r="P228" i="3"/>
  <c r="Q228" i="3"/>
  <c r="R228" i="3"/>
  <c r="S228" i="3"/>
  <c r="T228" i="3"/>
  <c r="U228" i="3"/>
  <c r="V228" i="3"/>
  <c r="W228" i="3"/>
  <c r="X228" i="3"/>
  <c r="Y228" i="3"/>
  <c r="Z228" i="3"/>
  <c r="AA228" i="3"/>
  <c r="AB228" i="3"/>
  <c r="AC228" i="3"/>
  <c r="AD228" i="3"/>
  <c r="AE228" i="3"/>
  <c r="AF228" i="3"/>
  <c r="AG228" i="3"/>
  <c r="AH228" i="3"/>
  <c r="AI228" i="3"/>
  <c r="AJ228" i="3"/>
  <c r="AK228" i="3"/>
  <c r="AL228" i="3"/>
  <c r="AM228" i="3"/>
  <c r="AN228" i="3"/>
  <c r="AO228" i="3"/>
  <c r="AP228" i="3"/>
  <c r="AQ228" i="3"/>
  <c r="AR228" i="3"/>
  <c r="AS228" i="3"/>
  <c r="AT228" i="3"/>
  <c r="AU228" i="3"/>
  <c r="AV228" i="3"/>
  <c r="AW228" i="3"/>
  <c r="AX228" i="3"/>
  <c r="AY228" i="3"/>
  <c r="AZ228" i="3"/>
  <c r="BA228" i="3"/>
  <c r="BB228" i="3"/>
  <c r="BC228" i="3"/>
  <c r="BD228" i="3"/>
  <c r="BE228" i="3"/>
  <c r="BF228" i="3"/>
  <c r="BG228" i="3"/>
  <c r="BH228" i="3"/>
  <c r="BI228" i="3"/>
  <c r="BJ228" i="3"/>
  <c r="BK228" i="3"/>
  <c r="BL228" i="3"/>
  <c r="BM228" i="3"/>
  <c r="BN228" i="3"/>
  <c r="BO228" i="3"/>
  <c r="BP228" i="3"/>
  <c r="BQ228" i="3"/>
  <c r="BR228" i="3"/>
  <c r="BS228" i="3"/>
  <c r="BT228" i="3"/>
  <c r="BU228" i="3"/>
  <c r="BV228" i="3"/>
  <c r="BW228" i="3"/>
  <c r="BX228" i="3"/>
  <c r="BY228" i="3"/>
  <c r="BZ228" i="3"/>
  <c r="D229" i="3"/>
  <c r="E229" i="3"/>
  <c r="F229" i="3"/>
  <c r="G229" i="3"/>
  <c r="H229" i="3"/>
  <c r="I229" i="3"/>
  <c r="J229" i="3"/>
  <c r="K229" i="3"/>
  <c r="L229" i="3"/>
  <c r="M229" i="3"/>
  <c r="N229" i="3"/>
  <c r="O229" i="3"/>
  <c r="P229" i="3"/>
  <c r="Q229" i="3"/>
  <c r="R229" i="3"/>
  <c r="S229" i="3"/>
  <c r="T229" i="3"/>
  <c r="U229" i="3"/>
  <c r="V229" i="3"/>
  <c r="W229" i="3"/>
  <c r="X229" i="3"/>
  <c r="Y229" i="3"/>
  <c r="Z229" i="3"/>
  <c r="AA229" i="3"/>
  <c r="AB229" i="3"/>
  <c r="AC229" i="3"/>
  <c r="AD229" i="3"/>
  <c r="AE229" i="3"/>
  <c r="AF229" i="3"/>
  <c r="AG229" i="3"/>
  <c r="AH229" i="3"/>
  <c r="AI229" i="3"/>
  <c r="AJ229" i="3"/>
  <c r="AK229" i="3"/>
  <c r="AL229" i="3"/>
  <c r="AM229" i="3"/>
  <c r="AN229" i="3"/>
  <c r="AO229" i="3"/>
  <c r="AP229" i="3"/>
  <c r="AQ229" i="3"/>
  <c r="AR229" i="3"/>
  <c r="AS229" i="3"/>
  <c r="AT229" i="3"/>
  <c r="AU229" i="3"/>
  <c r="AV229" i="3"/>
  <c r="AW229" i="3"/>
  <c r="AX229" i="3"/>
  <c r="AY229" i="3"/>
  <c r="AZ229" i="3"/>
  <c r="BA229" i="3"/>
  <c r="BB229" i="3"/>
  <c r="BC229" i="3"/>
  <c r="BD229" i="3"/>
  <c r="BE229" i="3"/>
  <c r="BF229" i="3"/>
  <c r="BG229" i="3"/>
  <c r="BH229" i="3"/>
  <c r="BI229" i="3"/>
  <c r="BJ229" i="3"/>
  <c r="BK229" i="3"/>
  <c r="BL229" i="3"/>
  <c r="BM229" i="3"/>
  <c r="BN229" i="3"/>
  <c r="BO229" i="3"/>
  <c r="BP229" i="3"/>
  <c r="BQ229" i="3"/>
  <c r="BR229" i="3"/>
  <c r="BS229" i="3"/>
  <c r="BT229" i="3"/>
  <c r="BU229" i="3"/>
  <c r="BV229" i="3"/>
  <c r="BW229" i="3"/>
  <c r="BX229" i="3"/>
  <c r="BY229" i="3"/>
  <c r="BZ229" i="3"/>
  <c r="D230" i="3"/>
  <c r="E230" i="3"/>
  <c r="F230" i="3"/>
  <c r="G230" i="3"/>
  <c r="H230" i="3"/>
  <c r="I230" i="3"/>
  <c r="J230" i="3"/>
  <c r="K230" i="3"/>
  <c r="L230" i="3"/>
  <c r="M230" i="3"/>
  <c r="N230" i="3"/>
  <c r="O230" i="3"/>
  <c r="P230" i="3"/>
  <c r="Q230" i="3"/>
  <c r="R230" i="3"/>
  <c r="S230" i="3"/>
  <c r="T230" i="3"/>
  <c r="U230" i="3"/>
  <c r="V230" i="3"/>
  <c r="W230" i="3"/>
  <c r="X230" i="3"/>
  <c r="Y230" i="3"/>
  <c r="Z230" i="3"/>
  <c r="AA230" i="3"/>
  <c r="AB230" i="3"/>
  <c r="AC230" i="3"/>
  <c r="AD230" i="3"/>
  <c r="AE230" i="3"/>
  <c r="AF230" i="3"/>
  <c r="AG230" i="3"/>
  <c r="AH230" i="3"/>
  <c r="AI230" i="3"/>
  <c r="AJ230" i="3"/>
  <c r="AK230" i="3"/>
  <c r="AL230" i="3"/>
  <c r="AM230" i="3"/>
  <c r="AN230" i="3"/>
  <c r="AO230" i="3"/>
  <c r="AP230" i="3"/>
  <c r="AQ230" i="3"/>
  <c r="AR230" i="3"/>
  <c r="AS230" i="3"/>
  <c r="AT230" i="3"/>
  <c r="AU230" i="3"/>
  <c r="AV230" i="3"/>
  <c r="AW230" i="3"/>
  <c r="AX230" i="3"/>
  <c r="AY230" i="3"/>
  <c r="AZ230" i="3"/>
  <c r="BA230" i="3"/>
  <c r="BB230" i="3"/>
  <c r="BC230" i="3"/>
  <c r="BD230" i="3"/>
  <c r="BE230" i="3"/>
  <c r="BF230" i="3"/>
  <c r="BG230" i="3"/>
  <c r="BH230" i="3"/>
  <c r="BI230" i="3"/>
  <c r="BJ230" i="3"/>
  <c r="BK230" i="3"/>
  <c r="BL230" i="3"/>
  <c r="BM230" i="3"/>
  <c r="BN230" i="3"/>
  <c r="BO230" i="3"/>
  <c r="BP230" i="3"/>
  <c r="BQ230" i="3"/>
  <c r="BR230" i="3"/>
  <c r="BS230" i="3"/>
  <c r="BT230" i="3"/>
  <c r="BU230" i="3"/>
  <c r="BV230" i="3"/>
  <c r="BW230" i="3"/>
  <c r="BX230" i="3"/>
  <c r="BY230" i="3"/>
  <c r="BZ230" i="3"/>
  <c r="D231" i="3"/>
  <c r="E231" i="3"/>
  <c r="F231" i="3"/>
  <c r="G231" i="3"/>
  <c r="H231" i="3"/>
  <c r="I231" i="3"/>
  <c r="J231" i="3"/>
  <c r="K231" i="3"/>
  <c r="L231" i="3"/>
  <c r="M231" i="3"/>
  <c r="N231" i="3"/>
  <c r="O231" i="3"/>
  <c r="P231" i="3"/>
  <c r="Q231" i="3"/>
  <c r="R231" i="3"/>
  <c r="S231" i="3"/>
  <c r="T231" i="3"/>
  <c r="U231" i="3"/>
  <c r="V231" i="3"/>
  <c r="W231" i="3"/>
  <c r="X231" i="3"/>
  <c r="Y231" i="3"/>
  <c r="Z231" i="3"/>
  <c r="AA231" i="3"/>
  <c r="AB231" i="3"/>
  <c r="AC231" i="3"/>
  <c r="AD231" i="3"/>
  <c r="AE231" i="3"/>
  <c r="AF231" i="3"/>
  <c r="AG231" i="3"/>
  <c r="AH231" i="3"/>
  <c r="AI231" i="3"/>
  <c r="AJ231" i="3"/>
  <c r="AK231" i="3"/>
  <c r="AL231" i="3"/>
  <c r="AM231" i="3"/>
  <c r="AN231" i="3"/>
  <c r="AO231" i="3"/>
  <c r="AP231" i="3"/>
  <c r="AQ231" i="3"/>
  <c r="AR231" i="3"/>
  <c r="AS231" i="3"/>
  <c r="AT231" i="3"/>
  <c r="AU231" i="3"/>
  <c r="AV231" i="3"/>
  <c r="AW231" i="3"/>
  <c r="AX231" i="3"/>
  <c r="AY231" i="3"/>
  <c r="AZ231" i="3"/>
  <c r="BA231" i="3"/>
  <c r="BB231" i="3"/>
  <c r="BC231" i="3"/>
  <c r="BD231" i="3"/>
  <c r="BE231" i="3"/>
  <c r="BF231" i="3"/>
  <c r="BG231" i="3"/>
  <c r="BH231" i="3"/>
  <c r="BI231" i="3"/>
  <c r="BJ231" i="3"/>
  <c r="BK231" i="3"/>
  <c r="BL231" i="3"/>
  <c r="BM231" i="3"/>
  <c r="BN231" i="3"/>
  <c r="BO231" i="3"/>
  <c r="BP231" i="3"/>
  <c r="BQ231" i="3"/>
  <c r="BR231" i="3"/>
  <c r="BS231" i="3"/>
  <c r="BT231" i="3"/>
  <c r="BU231" i="3"/>
  <c r="BV231" i="3"/>
  <c r="BW231" i="3"/>
  <c r="BX231" i="3"/>
  <c r="BY231" i="3"/>
  <c r="BZ231" i="3"/>
  <c r="D232" i="3"/>
  <c r="E232" i="3"/>
  <c r="F232" i="3"/>
  <c r="G232" i="3"/>
  <c r="H232" i="3"/>
  <c r="I232" i="3"/>
  <c r="J232" i="3"/>
  <c r="K232" i="3"/>
  <c r="L232" i="3"/>
  <c r="M232" i="3"/>
  <c r="N232" i="3"/>
  <c r="O232" i="3"/>
  <c r="P232" i="3"/>
  <c r="Q232" i="3"/>
  <c r="R232" i="3"/>
  <c r="S232" i="3"/>
  <c r="T232" i="3"/>
  <c r="U232" i="3"/>
  <c r="V232" i="3"/>
  <c r="W232" i="3"/>
  <c r="X232" i="3"/>
  <c r="Y232" i="3"/>
  <c r="Z232" i="3"/>
  <c r="AA232" i="3"/>
  <c r="AB232" i="3"/>
  <c r="AC232" i="3"/>
  <c r="AD232" i="3"/>
  <c r="AE232" i="3"/>
  <c r="AF232" i="3"/>
  <c r="AG232" i="3"/>
  <c r="AH232" i="3"/>
  <c r="AI232" i="3"/>
  <c r="AJ232" i="3"/>
  <c r="AK232" i="3"/>
  <c r="AL232" i="3"/>
  <c r="AM232" i="3"/>
  <c r="AN232" i="3"/>
  <c r="AO232" i="3"/>
  <c r="AP232" i="3"/>
  <c r="AQ232" i="3"/>
  <c r="AR232" i="3"/>
  <c r="AS232" i="3"/>
  <c r="AT232" i="3"/>
  <c r="AU232" i="3"/>
  <c r="AV232" i="3"/>
  <c r="AW232" i="3"/>
  <c r="AX232" i="3"/>
  <c r="AY232" i="3"/>
  <c r="AZ232" i="3"/>
  <c r="BA232" i="3"/>
  <c r="BB232" i="3"/>
  <c r="BC232" i="3"/>
  <c r="BD232" i="3"/>
  <c r="BE232" i="3"/>
  <c r="BF232" i="3"/>
  <c r="BG232" i="3"/>
  <c r="BH232" i="3"/>
  <c r="BI232" i="3"/>
  <c r="BJ232" i="3"/>
  <c r="BK232" i="3"/>
  <c r="BL232" i="3"/>
  <c r="BM232" i="3"/>
  <c r="BN232" i="3"/>
  <c r="BO232" i="3"/>
  <c r="BP232" i="3"/>
  <c r="BQ232" i="3"/>
  <c r="BR232" i="3"/>
  <c r="BS232" i="3"/>
  <c r="BT232" i="3"/>
  <c r="BU232" i="3"/>
  <c r="BV232" i="3"/>
  <c r="BW232" i="3"/>
  <c r="BX232" i="3"/>
  <c r="BY232" i="3"/>
  <c r="BZ232" i="3"/>
  <c r="D233" i="3"/>
  <c r="E233" i="3"/>
  <c r="F233" i="3"/>
  <c r="G233" i="3"/>
  <c r="H233" i="3"/>
  <c r="I233" i="3"/>
  <c r="J233" i="3"/>
  <c r="K233" i="3"/>
  <c r="L233" i="3"/>
  <c r="M233" i="3"/>
  <c r="N233" i="3"/>
  <c r="O233" i="3"/>
  <c r="P233" i="3"/>
  <c r="Q233" i="3"/>
  <c r="R233" i="3"/>
  <c r="S233" i="3"/>
  <c r="T233" i="3"/>
  <c r="U233" i="3"/>
  <c r="V233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AI233" i="3"/>
  <c r="AJ233" i="3"/>
  <c r="AK233" i="3"/>
  <c r="AL233" i="3"/>
  <c r="AM233" i="3"/>
  <c r="AN233" i="3"/>
  <c r="AO233" i="3"/>
  <c r="AP233" i="3"/>
  <c r="AQ233" i="3"/>
  <c r="AR233" i="3"/>
  <c r="AS233" i="3"/>
  <c r="AT233" i="3"/>
  <c r="AU233" i="3"/>
  <c r="AV233" i="3"/>
  <c r="AW233" i="3"/>
  <c r="AX233" i="3"/>
  <c r="AY233" i="3"/>
  <c r="AZ233" i="3"/>
  <c r="BA233" i="3"/>
  <c r="BB233" i="3"/>
  <c r="BC233" i="3"/>
  <c r="BD233" i="3"/>
  <c r="BE233" i="3"/>
  <c r="BF233" i="3"/>
  <c r="BG233" i="3"/>
  <c r="BH233" i="3"/>
  <c r="BI233" i="3"/>
  <c r="BJ233" i="3"/>
  <c r="BK233" i="3"/>
  <c r="BL233" i="3"/>
  <c r="BM233" i="3"/>
  <c r="BN233" i="3"/>
  <c r="BO233" i="3"/>
  <c r="BP233" i="3"/>
  <c r="BQ233" i="3"/>
  <c r="BR233" i="3"/>
  <c r="BS233" i="3"/>
  <c r="BT233" i="3"/>
  <c r="BU233" i="3"/>
  <c r="BV233" i="3"/>
  <c r="BW233" i="3"/>
  <c r="BX233" i="3"/>
  <c r="BY233" i="3"/>
  <c r="BZ233" i="3"/>
  <c r="D234" i="3"/>
  <c r="E234" i="3"/>
  <c r="F234" i="3"/>
  <c r="G234" i="3"/>
  <c r="H234" i="3"/>
  <c r="I234" i="3"/>
  <c r="J234" i="3"/>
  <c r="K234" i="3"/>
  <c r="L234" i="3"/>
  <c r="M234" i="3"/>
  <c r="N234" i="3"/>
  <c r="O234" i="3"/>
  <c r="P234" i="3"/>
  <c r="Q234" i="3"/>
  <c r="R234" i="3"/>
  <c r="S234" i="3"/>
  <c r="T234" i="3"/>
  <c r="U234" i="3"/>
  <c r="V234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AI234" i="3"/>
  <c r="AJ234" i="3"/>
  <c r="AK234" i="3"/>
  <c r="AL234" i="3"/>
  <c r="AM234" i="3"/>
  <c r="AN234" i="3"/>
  <c r="AO234" i="3"/>
  <c r="AP234" i="3"/>
  <c r="AQ234" i="3"/>
  <c r="AR234" i="3"/>
  <c r="AS234" i="3"/>
  <c r="AT234" i="3"/>
  <c r="AU234" i="3"/>
  <c r="AV234" i="3"/>
  <c r="AW234" i="3"/>
  <c r="AX234" i="3"/>
  <c r="AY234" i="3"/>
  <c r="AZ234" i="3"/>
  <c r="BA234" i="3"/>
  <c r="BB234" i="3"/>
  <c r="BC234" i="3"/>
  <c r="BD234" i="3"/>
  <c r="BE234" i="3"/>
  <c r="BF234" i="3"/>
  <c r="BG234" i="3"/>
  <c r="BH234" i="3"/>
  <c r="BI234" i="3"/>
  <c r="BJ234" i="3"/>
  <c r="BK234" i="3"/>
  <c r="BL234" i="3"/>
  <c r="BM234" i="3"/>
  <c r="BN234" i="3"/>
  <c r="BO234" i="3"/>
  <c r="BP234" i="3"/>
  <c r="BQ234" i="3"/>
  <c r="BR234" i="3"/>
  <c r="BS234" i="3"/>
  <c r="BT234" i="3"/>
  <c r="BU234" i="3"/>
  <c r="BV234" i="3"/>
  <c r="BW234" i="3"/>
  <c r="BX234" i="3"/>
  <c r="BY234" i="3"/>
  <c r="BZ234" i="3"/>
  <c r="D235" i="3"/>
  <c r="E235" i="3"/>
  <c r="F235" i="3"/>
  <c r="G235" i="3"/>
  <c r="H235" i="3"/>
  <c r="I235" i="3"/>
  <c r="J235" i="3"/>
  <c r="K235" i="3"/>
  <c r="L235" i="3"/>
  <c r="M235" i="3"/>
  <c r="N235" i="3"/>
  <c r="O235" i="3"/>
  <c r="P235" i="3"/>
  <c r="Q235" i="3"/>
  <c r="R235" i="3"/>
  <c r="S235" i="3"/>
  <c r="T235" i="3"/>
  <c r="U235" i="3"/>
  <c r="V235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AI235" i="3"/>
  <c r="AJ235" i="3"/>
  <c r="AK235" i="3"/>
  <c r="AL235" i="3"/>
  <c r="AM235" i="3"/>
  <c r="AN235" i="3"/>
  <c r="AO235" i="3"/>
  <c r="AP235" i="3"/>
  <c r="AQ235" i="3"/>
  <c r="AR235" i="3"/>
  <c r="AS235" i="3"/>
  <c r="AT235" i="3"/>
  <c r="AU235" i="3"/>
  <c r="AV235" i="3"/>
  <c r="AW235" i="3"/>
  <c r="AX235" i="3"/>
  <c r="AY235" i="3"/>
  <c r="AZ235" i="3"/>
  <c r="BA235" i="3"/>
  <c r="BB235" i="3"/>
  <c r="BC235" i="3"/>
  <c r="BD235" i="3"/>
  <c r="BE235" i="3"/>
  <c r="BF235" i="3"/>
  <c r="BG235" i="3"/>
  <c r="BH235" i="3"/>
  <c r="BI235" i="3"/>
  <c r="BJ235" i="3"/>
  <c r="BK235" i="3"/>
  <c r="BL235" i="3"/>
  <c r="BM235" i="3"/>
  <c r="BN235" i="3"/>
  <c r="BO235" i="3"/>
  <c r="BP235" i="3"/>
  <c r="BQ235" i="3"/>
  <c r="BR235" i="3"/>
  <c r="BS235" i="3"/>
  <c r="BT235" i="3"/>
  <c r="BU235" i="3"/>
  <c r="BV235" i="3"/>
  <c r="BW235" i="3"/>
  <c r="BX235" i="3"/>
  <c r="BY235" i="3"/>
  <c r="BZ235" i="3"/>
  <c r="D236" i="3"/>
  <c r="E236" i="3"/>
  <c r="F236" i="3"/>
  <c r="G236" i="3"/>
  <c r="H236" i="3"/>
  <c r="I236" i="3"/>
  <c r="J236" i="3"/>
  <c r="K236" i="3"/>
  <c r="L236" i="3"/>
  <c r="M236" i="3"/>
  <c r="N236" i="3"/>
  <c r="O236" i="3"/>
  <c r="P236" i="3"/>
  <c r="Q236" i="3"/>
  <c r="R236" i="3"/>
  <c r="S236" i="3"/>
  <c r="T236" i="3"/>
  <c r="U236" i="3"/>
  <c r="V236" i="3"/>
  <c r="W236" i="3"/>
  <c r="X236" i="3"/>
  <c r="Y236" i="3"/>
  <c r="Z236" i="3"/>
  <c r="AA236" i="3"/>
  <c r="AB236" i="3"/>
  <c r="AC236" i="3"/>
  <c r="AD236" i="3"/>
  <c r="AE236" i="3"/>
  <c r="AF236" i="3"/>
  <c r="AG236" i="3"/>
  <c r="AH236" i="3"/>
  <c r="AI236" i="3"/>
  <c r="AJ236" i="3"/>
  <c r="AK236" i="3"/>
  <c r="AL236" i="3"/>
  <c r="AM236" i="3"/>
  <c r="AN236" i="3"/>
  <c r="AO236" i="3"/>
  <c r="AP236" i="3"/>
  <c r="AQ236" i="3"/>
  <c r="AR236" i="3"/>
  <c r="AS236" i="3"/>
  <c r="AT236" i="3"/>
  <c r="AU236" i="3"/>
  <c r="AV236" i="3"/>
  <c r="AW236" i="3"/>
  <c r="AX236" i="3"/>
  <c r="AY236" i="3"/>
  <c r="AZ236" i="3"/>
  <c r="BA236" i="3"/>
  <c r="BB236" i="3"/>
  <c r="BC236" i="3"/>
  <c r="BD236" i="3"/>
  <c r="BE236" i="3"/>
  <c r="BF236" i="3"/>
  <c r="BG236" i="3"/>
  <c r="BH236" i="3"/>
  <c r="BI236" i="3"/>
  <c r="BJ236" i="3"/>
  <c r="BK236" i="3"/>
  <c r="BL236" i="3"/>
  <c r="BM236" i="3"/>
  <c r="BN236" i="3"/>
  <c r="BO236" i="3"/>
  <c r="BP236" i="3"/>
  <c r="BQ236" i="3"/>
  <c r="BR236" i="3"/>
  <c r="BS236" i="3"/>
  <c r="BT236" i="3"/>
  <c r="BU236" i="3"/>
  <c r="BV236" i="3"/>
  <c r="BW236" i="3"/>
  <c r="BX236" i="3"/>
  <c r="BY236" i="3"/>
  <c r="BZ236" i="3"/>
  <c r="D237" i="3"/>
  <c r="E237" i="3"/>
  <c r="F237" i="3"/>
  <c r="G237" i="3"/>
  <c r="H237" i="3"/>
  <c r="I237" i="3"/>
  <c r="J237" i="3"/>
  <c r="K237" i="3"/>
  <c r="L237" i="3"/>
  <c r="M237" i="3"/>
  <c r="N237" i="3"/>
  <c r="O237" i="3"/>
  <c r="P237" i="3"/>
  <c r="Q237" i="3"/>
  <c r="R237" i="3"/>
  <c r="S237" i="3"/>
  <c r="T237" i="3"/>
  <c r="U237" i="3"/>
  <c r="V237" i="3"/>
  <c r="W237" i="3"/>
  <c r="X237" i="3"/>
  <c r="Y237" i="3"/>
  <c r="Z237" i="3"/>
  <c r="AA237" i="3"/>
  <c r="AB237" i="3"/>
  <c r="AC237" i="3"/>
  <c r="AD237" i="3"/>
  <c r="AE237" i="3"/>
  <c r="AF237" i="3"/>
  <c r="AG237" i="3"/>
  <c r="AH237" i="3"/>
  <c r="AI237" i="3"/>
  <c r="AJ237" i="3"/>
  <c r="AK237" i="3"/>
  <c r="AL237" i="3"/>
  <c r="AM237" i="3"/>
  <c r="AN237" i="3"/>
  <c r="AO237" i="3"/>
  <c r="AP237" i="3"/>
  <c r="AQ237" i="3"/>
  <c r="AR237" i="3"/>
  <c r="AS237" i="3"/>
  <c r="AT237" i="3"/>
  <c r="AU237" i="3"/>
  <c r="AV237" i="3"/>
  <c r="AW237" i="3"/>
  <c r="AX237" i="3"/>
  <c r="AY237" i="3"/>
  <c r="AZ237" i="3"/>
  <c r="BA237" i="3"/>
  <c r="BB237" i="3"/>
  <c r="BC237" i="3"/>
  <c r="BD237" i="3"/>
  <c r="BE237" i="3"/>
  <c r="BF237" i="3"/>
  <c r="BG237" i="3"/>
  <c r="BH237" i="3"/>
  <c r="BI237" i="3"/>
  <c r="BJ237" i="3"/>
  <c r="BK237" i="3"/>
  <c r="BL237" i="3"/>
  <c r="BM237" i="3"/>
  <c r="BN237" i="3"/>
  <c r="BO237" i="3"/>
  <c r="BP237" i="3"/>
  <c r="BQ237" i="3"/>
  <c r="BR237" i="3"/>
  <c r="BS237" i="3"/>
  <c r="BT237" i="3"/>
  <c r="BU237" i="3"/>
  <c r="BV237" i="3"/>
  <c r="BW237" i="3"/>
  <c r="BX237" i="3"/>
  <c r="BY237" i="3"/>
  <c r="BZ237" i="3"/>
  <c r="D238" i="3"/>
  <c r="E238" i="3"/>
  <c r="F238" i="3"/>
  <c r="G238" i="3"/>
  <c r="H238" i="3"/>
  <c r="I238" i="3"/>
  <c r="J238" i="3"/>
  <c r="K238" i="3"/>
  <c r="L238" i="3"/>
  <c r="M238" i="3"/>
  <c r="N238" i="3"/>
  <c r="O238" i="3"/>
  <c r="P238" i="3"/>
  <c r="Q238" i="3"/>
  <c r="R238" i="3"/>
  <c r="S238" i="3"/>
  <c r="T238" i="3"/>
  <c r="U238" i="3"/>
  <c r="V238" i="3"/>
  <c r="W238" i="3"/>
  <c r="X238" i="3"/>
  <c r="Y238" i="3"/>
  <c r="Z238" i="3"/>
  <c r="AA238" i="3"/>
  <c r="AB238" i="3"/>
  <c r="AC238" i="3"/>
  <c r="AD238" i="3"/>
  <c r="AE238" i="3"/>
  <c r="AF238" i="3"/>
  <c r="AG238" i="3"/>
  <c r="AH238" i="3"/>
  <c r="AI238" i="3"/>
  <c r="AJ238" i="3"/>
  <c r="AK238" i="3"/>
  <c r="AL238" i="3"/>
  <c r="AM238" i="3"/>
  <c r="AN238" i="3"/>
  <c r="AO238" i="3"/>
  <c r="AP238" i="3"/>
  <c r="AQ238" i="3"/>
  <c r="AR238" i="3"/>
  <c r="AS238" i="3"/>
  <c r="AT238" i="3"/>
  <c r="AU238" i="3"/>
  <c r="AV238" i="3"/>
  <c r="AW238" i="3"/>
  <c r="AX238" i="3"/>
  <c r="AY238" i="3"/>
  <c r="AZ238" i="3"/>
  <c r="BA238" i="3"/>
  <c r="BB238" i="3"/>
  <c r="BC238" i="3"/>
  <c r="BD238" i="3"/>
  <c r="BE238" i="3"/>
  <c r="BF238" i="3"/>
  <c r="BG238" i="3"/>
  <c r="BH238" i="3"/>
  <c r="BI238" i="3"/>
  <c r="BJ238" i="3"/>
  <c r="BK238" i="3"/>
  <c r="BL238" i="3"/>
  <c r="BM238" i="3"/>
  <c r="BN238" i="3"/>
  <c r="BO238" i="3"/>
  <c r="BP238" i="3"/>
  <c r="BQ238" i="3"/>
  <c r="BR238" i="3"/>
  <c r="BS238" i="3"/>
  <c r="BT238" i="3"/>
  <c r="BU238" i="3"/>
  <c r="BV238" i="3"/>
  <c r="BW238" i="3"/>
  <c r="BX238" i="3"/>
  <c r="BY238" i="3"/>
  <c r="BZ238" i="3"/>
  <c r="D239" i="3"/>
  <c r="E239" i="3"/>
  <c r="F239" i="3"/>
  <c r="G239" i="3"/>
  <c r="H239" i="3"/>
  <c r="I239" i="3"/>
  <c r="J239" i="3"/>
  <c r="K239" i="3"/>
  <c r="L239" i="3"/>
  <c r="M239" i="3"/>
  <c r="N239" i="3"/>
  <c r="O239" i="3"/>
  <c r="P239" i="3"/>
  <c r="Q239" i="3"/>
  <c r="R239" i="3"/>
  <c r="S239" i="3"/>
  <c r="T239" i="3"/>
  <c r="U239" i="3"/>
  <c r="V239" i="3"/>
  <c r="W239" i="3"/>
  <c r="X239" i="3"/>
  <c r="Y239" i="3"/>
  <c r="Z239" i="3"/>
  <c r="AA239" i="3"/>
  <c r="AB239" i="3"/>
  <c r="AC239" i="3"/>
  <c r="AD239" i="3"/>
  <c r="AE239" i="3"/>
  <c r="AF239" i="3"/>
  <c r="AG239" i="3"/>
  <c r="AH239" i="3"/>
  <c r="AI239" i="3"/>
  <c r="AJ239" i="3"/>
  <c r="AK239" i="3"/>
  <c r="AL239" i="3"/>
  <c r="AM239" i="3"/>
  <c r="AN239" i="3"/>
  <c r="AO239" i="3"/>
  <c r="AP239" i="3"/>
  <c r="AQ239" i="3"/>
  <c r="AR239" i="3"/>
  <c r="AS239" i="3"/>
  <c r="AT239" i="3"/>
  <c r="AU239" i="3"/>
  <c r="AV239" i="3"/>
  <c r="AW239" i="3"/>
  <c r="AX239" i="3"/>
  <c r="AY239" i="3"/>
  <c r="AZ239" i="3"/>
  <c r="BA239" i="3"/>
  <c r="BB239" i="3"/>
  <c r="BC239" i="3"/>
  <c r="BD239" i="3"/>
  <c r="BE239" i="3"/>
  <c r="BF239" i="3"/>
  <c r="BG239" i="3"/>
  <c r="BH239" i="3"/>
  <c r="BI239" i="3"/>
  <c r="BJ239" i="3"/>
  <c r="BK239" i="3"/>
  <c r="BL239" i="3"/>
  <c r="BM239" i="3"/>
  <c r="BN239" i="3"/>
  <c r="BO239" i="3"/>
  <c r="BP239" i="3"/>
  <c r="BQ239" i="3"/>
  <c r="BR239" i="3"/>
  <c r="BS239" i="3"/>
  <c r="BT239" i="3"/>
  <c r="BU239" i="3"/>
  <c r="BV239" i="3"/>
  <c r="BW239" i="3"/>
  <c r="BX239" i="3"/>
  <c r="BY239" i="3"/>
  <c r="BZ239" i="3"/>
  <c r="D240" i="3"/>
  <c r="E240" i="3"/>
  <c r="F240" i="3"/>
  <c r="G240" i="3"/>
  <c r="H240" i="3"/>
  <c r="I240" i="3"/>
  <c r="J240" i="3"/>
  <c r="K240" i="3"/>
  <c r="L240" i="3"/>
  <c r="M240" i="3"/>
  <c r="N240" i="3"/>
  <c r="O240" i="3"/>
  <c r="P240" i="3"/>
  <c r="Q240" i="3"/>
  <c r="R240" i="3"/>
  <c r="S240" i="3"/>
  <c r="T240" i="3"/>
  <c r="U240" i="3"/>
  <c r="V240" i="3"/>
  <c r="W240" i="3"/>
  <c r="X240" i="3"/>
  <c r="Y240" i="3"/>
  <c r="Z240" i="3"/>
  <c r="AA240" i="3"/>
  <c r="AB240" i="3"/>
  <c r="AC240" i="3"/>
  <c r="AD240" i="3"/>
  <c r="AE240" i="3"/>
  <c r="AF240" i="3"/>
  <c r="AG240" i="3"/>
  <c r="AH240" i="3"/>
  <c r="AI240" i="3"/>
  <c r="AJ240" i="3"/>
  <c r="AK240" i="3"/>
  <c r="AL240" i="3"/>
  <c r="AM240" i="3"/>
  <c r="AN240" i="3"/>
  <c r="AO240" i="3"/>
  <c r="AP240" i="3"/>
  <c r="AQ240" i="3"/>
  <c r="AR240" i="3"/>
  <c r="AS240" i="3"/>
  <c r="AT240" i="3"/>
  <c r="AU240" i="3"/>
  <c r="AV240" i="3"/>
  <c r="AW240" i="3"/>
  <c r="AX240" i="3"/>
  <c r="AY240" i="3"/>
  <c r="AZ240" i="3"/>
  <c r="BA240" i="3"/>
  <c r="BB240" i="3"/>
  <c r="BC240" i="3"/>
  <c r="BD240" i="3"/>
  <c r="BE240" i="3"/>
  <c r="BF240" i="3"/>
  <c r="BG240" i="3"/>
  <c r="BH240" i="3"/>
  <c r="BI240" i="3"/>
  <c r="BJ240" i="3"/>
  <c r="BK240" i="3"/>
  <c r="BL240" i="3"/>
  <c r="BM240" i="3"/>
  <c r="BN240" i="3"/>
  <c r="BO240" i="3"/>
  <c r="BP240" i="3"/>
  <c r="BQ240" i="3"/>
  <c r="BR240" i="3"/>
  <c r="BS240" i="3"/>
  <c r="BT240" i="3"/>
  <c r="BU240" i="3"/>
  <c r="BV240" i="3"/>
  <c r="BW240" i="3"/>
  <c r="BX240" i="3"/>
  <c r="BY240" i="3"/>
  <c r="BZ240" i="3"/>
  <c r="D241" i="3"/>
  <c r="E241" i="3"/>
  <c r="F241" i="3"/>
  <c r="G241" i="3"/>
  <c r="H241" i="3"/>
  <c r="I241" i="3"/>
  <c r="J241" i="3"/>
  <c r="K241" i="3"/>
  <c r="L241" i="3"/>
  <c r="M241" i="3"/>
  <c r="N241" i="3"/>
  <c r="O241" i="3"/>
  <c r="P241" i="3"/>
  <c r="Q241" i="3"/>
  <c r="R241" i="3"/>
  <c r="S241" i="3"/>
  <c r="T241" i="3"/>
  <c r="U241" i="3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AI241" i="3"/>
  <c r="AJ241" i="3"/>
  <c r="AK241" i="3"/>
  <c r="AL241" i="3"/>
  <c r="AM241" i="3"/>
  <c r="AN241" i="3"/>
  <c r="AO241" i="3"/>
  <c r="AP241" i="3"/>
  <c r="AQ241" i="3"/>
  <c r="AR241" i="3"/>
  <c r="AS241" i="3"/>
  <c r="AT241" i="3"/>
  <c r="AU241" i="3"/>
  <c r="AV241" i="3"/>
  <c r="AW241" i="3"/>
  <c r="AX241" i="3"/>
  <c r="AY241" i="3"/>
  <c r="AZ241" i="3"/>
  <c r="BA241" i="3"/>
  <c r="BB241" i="3"/>
  <c r="BC241" i="3"/>
  <c r="BD241" i="3"/>
  <c r="BE241" i="3"/>
  <c r="BF241" i="3"/>
  <c r="BG241" i="3"/>
  <c r="BH241" i="3"/>
  <c r="BI241" i="3"/>
  <c r="BJ241" i="3"/>
  <c r="BK241" i="3"/>
  <c r="BL241" i="3"/>
  <c r="BM241" i="3"/>
  <c r="BN241" i="3"/>
  <c r="BO241" i="3"/>
  <c r="BP241" i="3"/>
  <c r="BQ241" i="3"/>
  <c r="BR241" i="3"/>
  <c r="BS241" i="3"/>
  <c r="BT241" i="3"/>
  <c r="BU241" i="3"/>
  <c r="BV241" i="3"/>
  <c r="BW241" i="3"/>
  <c r="BX241" i="3"/>
  <c r="BY241" i="3"/>
  <c r="BZ241" i="3"/>
  <c r="D242" i="3"/>
  <c r="E242" i="3"/>
  <c r="F242" i="3"/>
  <c r="G242" i="3"/>
  <c r="H242" i="3"/>
  <c r="I242" i="3"/>
  <c r="J242" i="3"/>
  <c r="K242" i="3"/>
  <c r="L242" i="3"/>
  <c r="M242" i="3"/>
  <c r="N242" i="3"/>
  <c r="O242" i="3"/>
  <c r="P242" i="3"/>
  <c r="Q242" i="3"/>
  <c r="R242" i="3"/>
  <c r="S242" i="3"/>
  <c r="T242" i="3"/>
  <c r="U242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AI242" i="3"/>
  <c r="AJ242" i="3"/>
  <c r="AK242" i="3"/>
  <c r="AL242" i="3"/>
  <c r="AM242" i="3"/>
  <c r="AN242" i="3"/>
  <c r="AO242" i="3"/>
  <c r="AP242" i="3"/>
  <c r="AQ242" i="3"/>
  <c r="AR242" i="3"/>
  <c r="AS242" i="3"/>
  <c r="AT242" i="3"/>
  <c r="AU242" i="3"/>
  <c r="AV242" i="3"/>
  <c r="AW242" i="3"/>
  <c r="AX242" i="3"/>
  <c r="AY242" i="3"/>
  <c r="AZ242" i="3"/>
  <c r="BA242" i="3"/>
  <c r="BB242" i="3"/>
  <c r="BC242" i="3"/>
  <c r="BD242" i="3"/>
  <c r="BE242" i="3"/>
  <c r="BF242" i="3"/>
  <c r="BG242" i="3"/>
  <c r="BH242" i="3"/>
  <c r="BI242" i="3"/>
  <c r="BJ242" i="3"/>
  <c r="BK242" i="3"/>
  <c r="BL242" i="3"/>
  <c r="BM242" i="3"/>
  <c r="BN242" i="3"/>
  <c r="BO242" i="3"/>
  <c r="BP242" i="3"/>
  <c r="BQ242" i="3"/>
  <c r="BR242" i="3"/>
  <c r="BS242" i="3"/>
  <c r="BT242" i="3"/>
  <c r="BU242" i="3"/>
  <c r="BV242" i="3"/>
  <c r="BW242" i="3"/>
  <c r="BX242" i="3"/>
  <c r="BY242" i="3"/>
  <c r="BZ242" i="3"/>
  <c r="D243" i="3"/>
  <c r="E243" i="3"/>
  <c r="F243" i="3"/>
  <c r="G243" i="3"/>
  <c r="H243" i="3"/>
  <c r="I243" i="3"/>
  <c r="J243" i="3"/>
  <c r="K243" i="3"/>
  <c r="L243" i="3"/>
  <c r="M243" i="3"/>
  <c r="N243" i="3"/>
  <c r="O243" i="3"/>
  <c r="P243" i="3"/>
  <c r="Q243" i="3"/>
  <c r="R243" i="3"/>
  <c r="S243" i="3"/>
  <c r="T243" i="3"/>
  <c r="U243" i="3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AI243" i="3"/>
  <c r="AJ243" i="3"/>
  <c r="AK243" i="3"/>
  <c r="AL243" i="3"/>
  <c r="AM243" i="3"/>
  <c r="AN243" i="3"/>
  <c r="AO243" i="3"/>
  <c r="AP243" i="3"/>
  <c r="AQ243" i="3"/>
  <c r="AR243" i="3"/>
  <c r="AS243" i="3"/>
  <c r="AT243" i="3"/>
  <c r="AU243" i="3"/>
  <c r="AV243" i="3"/>
  <c r="AW243" i="3"/>
  <c r="AX243" i="3"/>
  <c r="AY243" i="3"/>
  <c r="AZ243" i="3"/>
  <c r="BA243" i="3"/>
  <c r="BB243" i="3"/>
  <c r="BC243" i="3"/>
  <c r="BD243" i="3"/>
  <c r="BE243" i="3"/>
  <c r="BF243" i="3"/>
  <c r="BG243" i="3"/>
  <c r="BH243" i="3"/>
  <c r="BI243" i="3"/>
  <c r="BJ243" i="3"/>
  <c r="BK243" i="3"/>
  <c r="BL243" i="3"/>
  <c r="BM243" i="3"/>
  <c r="BN243" i="3"/>
  <c r="BO243" i="3"/>
  <c r="BP243" i="3"/>
  <c r="BQ243" i="3"/>
  <c r="BR243" i="3"/>
  <c r="BS243" i="3"/>
  <c r="BT243" i="3"/>
  <c r="BU243" i="3"/>
  <c r="BV243" i="3"/>
  <c r="BW243" i="3"/>
  <c r="BX243" i="3"/>
  <c r="BY243" i="3"/>
  <c r="BZ243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D85" i="3"/>
  <c r="D86" i="3" s="1"/>
  <c r="E85" i="3"/>
  <c r="E86" i="3" s="1"/>
  <c r="F85" i="3"/>
  <c r="F86" i="3" s="1"/>
  <c r="G85" i="3"/>
  <c r="G86" i="3" s="1"/>
  <c r="H85" i="3"/>
  <c r="H86" i="3" s="1"/>
  <c r="I85" i="3"/>
  <c r="I86" i="3" s="1"/>
  <c r="J85" i="3"/>
  <c r="J86" i="3" s="1"/>
  <c r="K85" i="3"/>
  <c r="K86" i="3" s="1"/>
  <c r="L85" i="3"/>
  <c r="L86" i="3" s="1"/>
  <c r="M85" i="3"/>
  <c r="M86" i="3" s="1"/>
  <c r="N85" i="3"/>
  <c r="N86" i="3" s="1"/>
  <c r="O85" i="3"/>
  <c r="O86" i="3" s="1"/>
  <c r="P85" i="3"/>
  <c r="P86" i="3" s="1"/>
  <c r="Q85" i="3"/>
  <c r="Q86" i="3" s="1"/>
  <c r="R85" i="3"/>
  <c r="R86" i="3" s="1"/>
  <c r="S85" i="3"/>
  <c r="S86" i="3" s="1"/>
  <c r="T85" i="3"/>
  <c r="T86" i="3" s="1"/>
  <c r="U85" i="3"/>
  <c r="U86" i="3" s="1"/>
  <c r="V85" i="3"/>
  <c r="V86" i="3" s="1"/>
  <c r="W85" i="3"/>
  <c r="W86" i="3" s="1"/>
  <c r="X85" i="3"/>
  <c r="X86" i="3" s="1"/>
  <c r="Y85" i="3"/>
  <c r="Y86" i="3" s="1"/>
  <c r="Z85" i="3"/>
  <c r="Z86" i="3" s="1"/>
  <c r="AA85" i="3"/>
  <c r="AA86" i="3" s="1"/>
  <c r="AB85" i="3"/>
  <c r="AB86" i="3" s="1"/>
  <c r="AC85" i="3"/>
  <c r="AC86" i="3" s="1"/>
  <c r="AD85" i="3"/>
  <c r="AD86" i="3" s="1"/>
  <c r="AE85" i="3"/>
  <c r="AE86" i="3" s="1"/>
  <c r="AF85" i="3"/>
  <c r="AF86" i="3" s="1"/>
  <c r="AG85" i="3"/>
  <c r="AG86" i="3" s="1"/>
  <c r="AH85" i="3"/>
  <c r="AH86" i="3" s="1"/>
  <c r="AI85" i="3"/>
  <c r="AI86" i="3" s="1"/>
  <c r="AJ85" i="3"/>
  <c r="AJ86" i="3" s="1"/>
  <c r="AK85" i="3"/>
  <c r="AL85" i="3"/>
  <c r="AL86" i="3" s="1"/>
  <c r="AM85" i="3"/>
  <c r="AM86" i="3" s="1"/>
  <c r="AN85" i="3"/>
  <c r="AN86" i="3" s="1"/>
  <c r="AO85" i="3"/>
  <c r="AO86" i="3" s="1"/>
  <c r="AP85" i="3"/>
  <c r="AP86" i="3" s="1"/>
  <c r="AQ85" i="3"/>
  <c r="AQ86" i="3" s="1"/>
  <c r="AR85" i="3"/>
  <c r="AR86" i="3" s="1"/>
  <c r="AS85" i="3"/>
  <c r="AS86" i="3" s="1"/>
  <c r="AT85" i="3"/>
  <c r="AT86" i="3" s="1"/>
  <c r="AU85" i="3"/>
  <c r="AU86" i="3" s="1"/>
  <c r="AV85" i="3"/>
  <c r="AV86" i="3" s="1"/>
  <c r="AW85" i="3"/>
  <c r="AW86" i="3" s="1"/>
  <c r="AX85" i="3"/>
  <c r="AX86" i="3" s="1"/>
  <c r="AY85" i="3"/>
  <c r="AY86" i="3" s="1"/>
  <c r="AZ85" i="3"/>
  <c r="AZ86" i="3" s="1"/>
  <c r="BA85" i="3"/>
  <c r="BA86" i="3" s="1"/>
  <c r="BB85" i="3"/>
  <c r="BB86" i="3" s="1"/>
  <c r="BC85" i="3"/>
  <c r="BC86" i="3" s="1"/>
  <c r="BD85" i="3"/>
  <c r="BD86" i="3" s="1"/>
  <c r="BE85" i="3"/>
  <c r="BE86" i="3" s="1"/>
  <c r="BF85" i="3"/>
  <c r="BF86" i="3" s="1"/>
  <c r="BG85" i="3"/>
  <c r="BG86" i="3" s="1"/>
  <c r="BH85" i="3"/>
  <c r="BH86" i="3" s="1"/>
  <c r="BI85" i="3"/>
  <c r="BI86" i="3" s="1"/>
  <c r="BJ85" i="3"/>
  <c r="BJ86" i="3" s="1"/>
  <c r="BK85" i="3"/>
  <c r="BK86" i="3" s="1"/>
  <c r="BL85" i="3"/>
  <c r="BL86" i="3" s="1"/>
  <c r="BM85" i="3"/>
  <c r="BM86" i="3" s="1"/>
  <c r="BN85" i="3"/>
  <c r="BN86" i="3" s="1"/>
  <c r="BO85" i="3"/>
  <c r="BO86" i="3" s="1"/>
  <c r="BP85" i="3"/>
  <c r="BP86" i="3" s="1"/>
  <c r="BQ85" i="3"/>
  <c r="BQ86" i="3" s="1"/>
  <c r="BR85" i="3"/>
  <c r="BR86" i="3" s="1"/>
  <c r="BS85" i="3"/>
  <c r="BS86" i="3" s="1"/>
  <c r="BT85" i="3"/>
  <c r="BT86" i="3" s="1"/>
  <c r="BU85" i="3"/>
  <c r="BU86" i="3" s="1"/>
  <c r="BV85" i="3"/>
  <c r="BV86" i="3" s="1"/>
  <c r="BW85" i="3"/>
  <c r="BW86" i="3" s="1"/>
  <c r="BX85" i="3"/>
  <c r="BX86" i="3" s="1"/>
  <c r="BY85" i="3"/>
  <c r="BY86" i="3" s="1"/>
  <c r="BZ85" i="3"/>
  <c r="BZ86" i="3" s="1"/>
  <c r="CB86" i="3"/>
  <c r="C85" i="3"/>
  <c r="C86" i="3" s="1"/>
  <c r="D167" i="3"/>
  <c r="F167" i="3"/>
  <c r="G167" i="3"/>
  <c r="H167" i="3"/>
  <c r="I167" i="3"/>
  <c r="J167" i="3"/>
  <c r="K167" i="3"/>
  <c r="L167" i="3"/>
  <c r="M167" i="3"/>
  <c r="N167" i="3"/>
  <c r="O167" i="3"/>
  <c r="P167" i="3"/>
  <c r="Q167" i="3"/>
  <c r="R167" i="3"/>
  <c r="S167" i="3"/>
  <c r="T167" i="3"/>
  <c r="U167" i="3"/>
  <c r="V167" i="3"/>
  <c r="W167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K167" i="3"/>
  <c r="AL167" i="3"/>
  <c r="AM167" i="3"/>
  <c r="AN167" i="3"/>
  <c r="AO167" i="3"/>
  <c r="AP167" i="3"/>
  <c r="AQ167" i="3"/>
  <c r="AR167" i="3"/>
  <c r="AS167" i="3"/>
  <c r="AT167" i="3"/>
  <c r="AU167" i="3"/>
  <c r="AV167" i="3"/>
  <c r="AW167" i="3"/>
  <c r="AX167" i="3"/>
  <c r="AY167" i="3"/>
  <c r="AZ167" i="3"/>
  <c r="BA167" i="3"/>
  <c r="BB167" i="3"/>
  <c r="BC167" i="3"/>
  <c r="BD167" i="3"/>
  <c r="BE167" i="3"/>
  <c r="BF167" i="3"/>
  <c r="BG167" i="3"/>
  <c r="BH167" i="3"/>
  <c r="BI167" i="3"/>
  <c r="BJ167" i="3"/>
  <c r="BK167" i="3"/>
  <c r="BL167" i="3"/>
  <c r="BM167" i="3"/>
  <c r="BN167" i="3"/>
  <c r="BO167" i="3"/>
  <c r="BP167" i="3"/>
  <c r="BQ167" i="3"/>
  <c r="BR167" i="3"/>
  <c r="BS167" i="3"/>
  <c r="BT167" i="3"/>
  <c r="BU167" i="3"/>
  <c r="BV167" i="3"/>
  <c r="BW167" i="3"/>
  <c r="BX167" i="3"/>
  <c r="BY167" i="3"/>
  <c r="BZ167" i="3"/>
  <c r="CB167" i="3"/>
  <c r="CD167" i="3"/>
  <c r="CE167" i="3"/>
  <c r="CF167" i="3"/>
  <c r="CG167" i="3"/>
  <c r="CH167" i="3"/>
  <c r="E167" i="3"/>
  <c r="C167" i="3"/>
  <c r="CI89" i="3"/>
  <c r="CJ89" i="3" s="1"/>
  <c r="CI90" i="3"/>
  <c r="CJ90" i="3" s="1"/>
  <c r="CI91" i="3"/>
  <c r="CJ91" i="3" s="1"/>
  <c r="CI92" i="3"/>
  <c r="CJ92" i="3" s="1"/>
  <c r="CI93" i="3"/>
  <c r="CJ93" i="3" s="1"/>
  <c r="CI94" i="3"/>
  <c r="CJ94" i="3" s="1"/>
  <c r="CI95" i="3"/>
  <c r="CJ95" i="3" s="1"/>
  <c r="CI96" i="3"/>
  <c r="CJ96" i="3" s="1"/>
  <c r="CI97" i="3"/>
  <c r="CJ97" i="3" s="1"/>
  <c r="CI98" i="3"/>
  <c r="CJ98" i="3" s="1"/>
  <c r="CI99" i="3"/>
  <c r="CJ99" i="3" s="1"/>
  <c r="CI100" i="3"/>
  <c r="CJ100" i="3" s="1"/>
  <c r="CI101" i="3"/>
  <c r="CJ101" i="3" s="1"/>
  <c r="CI102" i="3"/>
  <c r="CJ102" i="3" s="1"/>
  <c r="CI103" i="3"/>
  <c r="CJ103" i="3" s="1"/>
  <c r="CI104" i="3"/>
  <c r="CJ104" i="3" s="1"/>
  <c r="CI105" i="3"/>
  <c r="CJ105" i="3" s="1"/>
  <c r="CI106" i="3"/>
  <c r="CJ106" i="3" s="1"/>
  <c r="CI107" i="3"/>
  <c r="CJ107" i="3" s="1"/>
  <c r="CI108" i="3"/>
  <c r="CJ108" i="3" s="1"/>
  <c r="CI109" i="3"/>
  <c r="CJ109" i="3" s="1"/>
  <c r="CI110" i="3"/>
  <c r="CJ110" i="3" s="1"/>
  <c r="CI111" i="3"/>
  <c r="CJ111" i="3" s="1"/>
  <c r="CI112" i="3"/>
  <c r="CJ112" i="3" s="1"/>
  <c r="CI113" i="3"/>
  <c r="CJ113" i="3" s="1"/>
  <c r="CI114" i="3"/>
  <c r="CJ114" i="3" s="1"/>
  <c r="CI115" i="3"/>
  <c r="CJ115" i="3" s="1"/>
  <c r="CI116" i="3"/>
  <c r="CJ116" i="3" s="1"/>
  <c r="CI117" i="3"/>
  <c r="CJ117" i="3" s="1"/>
  <c r="CI118" i="3"/>
  <c r="CJ118" i="3" s="1"/>
  <c r="CI119" i="3"/>
  <c r="CJ119" i="3" s="1"/>
  <c r="CI120" i="3"/>
  <c r="CJ120" i="3" s="1"/>
  <c r="CI121" i="3"/>
  <c r="CJ121" i="3" s="1"/>
  <c r="CI122" i="3"/>
  <c r="CJ122" i="3" s="1"/>
  <c r="CI123" i="3"/>
  <c r="CJ123" i="3" s="1"/>
  <c r="CI124" i="3"/>
  <c r="CJ124" i="3" s="1"/>
  <c r="CI125" i="3"/>
  <c r="CJ125" i="3" s="1"/>
  <c r="CI126" i="3"/>
  <c r="CJ126" i="3" s="1"/>
  <c r="CI127" i="3"/>
  <c r="CJ127" i="3" s="1"/>
  <c r="CI128" i="3"/>
  <c r="CJ128" i="3" s="1"/>
  <c r="CI129" i="3"/>
  <c r="CJ129" i="3" s="1"/>
  <c r="CI130" i="3"/>
  <c r="CJ130" i="3" s="1"/>
  <c r="CI131" i="3"/>
  <c r="CJ131" i="3" s="1"/>
  <c r="CI132" i="3"/>
  <c r="CJ132" i="3" s="1"/>
  <c r="CI133" i="3"/>
  <c r="CJ133" i="3" s="1"/>
  <c r="CI134" i="3"/>
  <c r="CJ134" i="3" s="1"/>
  <c r="CI135" i="3"/>
  <c r="CJ135" i="3" s="1"/>
  <c r="CI136" i="3"/>
  <c r="CJ136" i="3" s="1"/>
  <c r="CI137" i="3"/>
  <c r="CJ137" i="3" s="1"/>
  <c r="CI138" i="3"/>
  <c r="CJ138" i="3" s="1"/>
  <c r="CI139" i="3"/>
  <c r="CJ139" i="3" s="1"/>
  <c r="CI140" i="3"/>
  <c r="CJ140" i="3" s="1"/>
  <c r="CI141" i="3"/>
  <c r="CJ141" i="3" s="1"/>
  <c r="CI142" i="3"/>
  <c r="CJ142" i="3" s="1"/>
  <c r="CI143" i="3"/>
  <c r="CJ143" i="3" s="1"/>
  <c r="CI144" i="3"/>
  <c r="CJ144" i="3" s="1"/>
  <c r="CI145" i="3"/>
  <c r="CJ145" i="3" s="1"/>
  <c r="CI146" i="3"/>
  <c r="CJ146" i="3" s="1"/>
  <c r="CI147" i="3"/>
  <c r="CJ147" i="3" s="1"/>
  <c r="CI148" i="3"/>
  <c r="CJ148" i="3" s="1"/>
  <c r="CI149" i="3"/>
  <c r="CJ149" i="3" s="1"/>
  <c r="CI150" i="3"/>
  <c r="CJ150" i="3" s="1"/>
  <c r="CI151" i="3"/>
  <c r="CJ151" i="3" s="1"/>
  <c r="CI152" i="3"/>
  <c r="CJ152" i="3" s="1"/>
  <c r="CI153" i="3"/>
  <c r="CJ153" i="3" s="1"/>
  <c r="CI154" i="3"/>
  <c r="CJ154" i="3" s="1"/>
  <c r="CI155" i="3"/>
  <c r="CJ155" i="3" s="1"/>
  <c r="CI156" i="3"/>
  <c r="CJ156" i="3" s="1"/>
  <c r="CI157" i="3"/>
  <c r="CJ157" i="3" s="1"/>
  <c r="CI158" i="3"/>
  <c r="CJ158" i="3" s="1"/>
  <c r="CI159" i="3"/>
  <c r="CJ159" i="3" s="1"/>
  <c r="CI160" i="3"/>
  <c r="CJ160" i="3" s="1"/>
  <c r="CI161" i="3"/>
  <c r="CJ161" i="3" s="1"/>
  <c r="CI162" i="3"/>
  <c r="CJ162" i="3" s="1"/>
  <c r="CI163" i="3"/>
  <c r="CJ163" i="3" s="1"/>
  <c r="CI165" i="3"/>
  <c r="CJ165" i="3" s="1"/>
  <c r="CI88" i="3"/>
  <c r="CJ88" i="3" s="1"/>
  <c r="AK86" i="3"/>
  <c r="CI3" i="3"/>
  <c r="CJ3" i="3" s="1"/>
  <c r="CI4" i="3"/>
  <c r="CJ4" i="3" s="1"/>
  <c r="CI5" i="3"/>
  <c r="CJ5" i="3" s="1"/>
  <c r="CI6" i="3"/>
  <c r="CJ6" i="3" s="1"/>
  <c r="CI7" i="3"/>
  <c r="CJ7" i="3" s="1"/>
  <c r="CI8" i="3"/>
  <c r="CJ8" i="3" s="1"/>
  <c r="CI9" i="3"/>
  <c r="CJ9" i="3" s="1"/>
  <c r="CI10" i="3"/>
  <c r="CJ10" i="3" s="1"/>
  <c r="CI11" i="3"/>
  <c r="CJ11" i="3" s="1"/>
  <c r="CI12" i="3"/>
  <c r="CJ12" i="3" s="1"/>
  <c r="CI13" i="3"/>
  <c r="CJ13" i="3" s="1"/>
  <c r="CI14" i="3"/>
  <c r="CJ14" i="3" s="1"/>
  <c r="CI15" i="3"/>
  <c r="CJ15" i="3" s="1"/>
  <c r="CI16" i="3"/>
  <c r="CJ16" i="3" s="1"/>
  <c r="CI17" i="3"/>
  <c r="CJ17" i="3" s="1"/>
  <c r="CI18" i="3"/>
  <c r="CJ18" i="3" s="1"/>
  <c r="CI19" i="3"/>
  <c r="CJ19" i="3" s="1"/>
  <c r="CI20" i="3"/>
  <c r="CJ20" i="3" s="1"/>
  <c r="CI21" i="3"/>
  <c r="CJ21" i="3" s="1"/>
  <c r="CI22" i="3"/>
  <c r="CJ22" i="3" s="1"/>
  <c r="CI23" i="3"/>
  <c r="CJ23" i="3" s="1"/>
  <c r="CI24" i="3"/>
  <c r="CJ24" i="3" s="1"/>
  <c r="CI25" i="3"/>
  <c r="CJ25" i="3" s="1"/>
  <c r="CI26" i="3"/>
  <c r="CJ26" i="3" s="1"/>
  <c r="CI27" i="3"/>
  <c r="CJ27" i="3" s="1"/>
  <c r="CI28" i="3"/>
  <c r="CJ28" i="3" s="1"/>
  <c r="CI29" i="3"/>
  <c r="CJ29" i="3" s="1"/>
  <c r="CI30" i="3"/>
  <c r="CJ30" i="3" s="1"/>
  <c r="CI31" i="3"/>
  <c r="CJ31" i="3" s="1"/>
  <c r="CI32" i="3"/>
  <c r="CJ32" i="3" s="1"/>
  <c r="CI33" i="3"/>
  <c r="CJ33" i="3" s="1"/>
  <c r="CI34" i="3"/>
  <c r="CJ34" i="3" s="1"/>
  <c r="CI35" i="3"/>
  <c r="CJ35" i="3" s="1"/>
  <c r="CI36" i="3"/>
  <c r="CJ36" i="3" s="1"/>
  <c r="CI37" i="3"/>
  <c r="CJ37" i="3" s="1"/>
  <c r="CI38" i="3"/>
  <c r="CJ38" i="3" s="1"/>
  <c r="CI39" i="3"/>
  <c r="CJ39" i="3" s="1"/>
  <c r="CI40" i="3"/>
  <c r="CJ40" i="3" s="1"/>
  <c r="CI41" i="3"/>
  <c r="CJ41" i="3" s="1"/>
  <c r="CI42" i="3"/>
  <c r="CJ42" i="3" s="1"/>
  <c r="CI43" i="3"/>
  <c r="CJ43" i="3" s="1"/>
  <c r="CI44" i="3"/>
  <c r="CJ44" i="3" s="1"/>
  <c r="CI45" i="3"/>
  <c r="CJ45" i="3" s="1"/>
  <c r="CI46" i="3"/>
  <c r="CJ46" i="3" s="1"/>
  <c r="CI47" i="3"/>
  <c r="CJ47" i="3" s="1"/>
  <c r="CI48" i="3"/>
  <c r="CJ48" i="3" s="1"/>
  <c r="CI49" i="3"/>
  <c r="CJ49" i="3" s="1"/>
  <c r="CI50" i="3"/>
  <c r="CJ50" i="3" s="1"/>
  <c r="CI51" i="3"/>
  <c r="CJ51" i="3" s="1"/>
  <c r="CI52" i="3"/>
  <c r="CJ52" i="3" s="1"/>
  <c r="CI53" i="3"/>
  <c r="CJ53" i="3" s="1"/>
  <c r="CI54" i="3"/>
  <c r="CJ54" i="3" s="1"/>
  <c r="CI55" i="3"/>
  <c r="CJ55" i="3" s="1"/>
  <c r="CI56" i="3"/>
  <c r="CJ56" i="3" s="1"/>
  <c r="CI57" i="3"/>
  <c r="CJ57" i="3" s="1"/>
  <c r="CI58" i="3"/>
  <c r="CJ58" i="3" s="1"/>
  <c r="CI59" i="3"/>
  <c r="CJ59" i="3" s="1"/>
  <c r="CI60" i="3"/>
  <c r="CJ60" i="3" s="1"/>
  <c r="CI61" i="3"/>
  <c r="CJ61" i="3" s="1"/>
  <c r="CI62" i="3"/>
  <c r="CJ62" i="3" s="1"/>
  <c r="CI63" i="3"/>
  <c r="CJ63" i="3" s="1"/>
  <c r="CI64" i="3"/>
  <c r="CJ64" i="3" s="1"/>
  <c r="CI65" i="3"/>
  <c r="CJ65" i="3" s="1"/>
  <c r="CI66" i="3"/>
  <c r="CJ66" i="3" s="1"/>
  <c r="CI67" i="3"/>
  <c r="CJ67" i="3" s="1"/>
  <c r="CI68" i="3"/>
  <c r="CJ68" i="3" s="1"/>
  <c r="CI69" i="3"/>
  <c r="CJ69" i="3" s="1"/>
  <c r="CI70" i="3"/>
  <c r="CJ70" i="3" s="1"/>
  <c r="CI71" i="3"/>
  <c r="CJ71" i="3" s="1"/>
  <c r="CI72" i="3"/>
  <c r="CJ72" i="3" s="1"/>
  <c r="CI73" i="3"/>
  <c r="CJ73" i="3" s="1"/>
  <c r="CI74" i="3"/>
  <c r="CJ74" i="3" s="1"/>
  <c r="CI75" i="3"/>
  <c r="CJ75" i="3" s="1"/>
  <c r="CI76" i="3"/>
  <c r="CJ76" i="3" s="1"/>
  <c r="CJ77" i="3"/>
  <c r="CI79" i="3"/>
  <c r="CJ79" i="3" s="1"/>
  <c r="CI80" i="3"/>
  <c r="CJ80" i="3" s="1"/>
  <c r="CI2" i="3"/>
  <c r="CJ2" i="3" s="1"/>
  <c r="BQ328" i="3" l="1"/>
  <c r="BE328" i="3"/>
  <c r="AS328" i="3"/>
  <c r="AG328" i="3"/>
  <c r="U328" i="3"/>
  <c r="I328" i="3"/>
  <c r="CD328" i="3"/>
  <c r="BP328" i="3"/>
  <c r="BD328" i="3"/>
  <c r="AR328" i="3"/>
  <c r="AF328" i="3"/>
  <c r="T328" i="3"/>
  <c r="H328" i="3"/>
  <c r="R328" i="3"/>
  <c r="BB328" i="3"/>
  <c r="BX328" i="3"/>
  <c r="BL328" i="3"/>
  <c r="AZ328" i="3"/>
  <c r="AN328" i="3"/>
  <c r="AB328" i="3"/>
  <c r="P328" i="3"/>
  <c r="D328" i="3"/>
  <c r="BN328" i="3"/>
  <c r="CF328" i="3"/>
  <c r="F328" i="3"/>
  <c r="AP328" i="3"/>
  <c r="BU328" i="3"/>
  <c r="BI328" i="3"/>
  <c r="AW328" i="3"/>
  <c r="AK328" i="3"/>
  <c r="Y328" i="3"/>
  <c r="M328" i="3"/>
  <c r="AD328" i="3"/>
  <c r="BZ328" i="3"/>
  <c r="BO328" i="3"/>
  <c r="BC328" i="3"/>
  <c r="AQ328" i="3"/>
  <c r="AE328" i="3"/>
  <c r="S328" i="3"/>
  <c r="G328" i="3"/>
  <c r="CG328" i="3"/>
  <c r="BY328" i="3"/>
  <c r="BM328" i="3"/>
  <c r="BA328" i="3"/>
  <c r="AO328" i="3"/>
  <c r="AC328" i="3"/>
  <c r="Q328" i="3"/>
  <c r="E328" i="3"/>
  <c r="CE328" i="3"/>
  <c r="BW328" i="3"/>
  <c r="BK328" i="3"/>
  <c r="AY328" i="3"/>
  <c r="AM328" i="3"/>
  <c r="AA328" i="3"/>
  <c r="O328" i="3"/>
  <c r="BV328" i="3"/>
  <c r="BJ328" i="3"/>
  <c r="AX328" i="3"/>
  <c r="AL328" i="3"/>
  <c r="Z328" i="3"/>
  <c r="N328" i="3"/>
  <c r="BT328" i="3"/>
  <c r="BH328" i="3"/>
  <c r="AV328" i="3"/>
  <c r="AJ328" i="3"/>
  <c r="X328" i="3"/>
  <c r="L328" i="3"/>
  <c r="BS328" i="3"/>
  <c r="BG328" i="3"/>
  <c r="AU328" i="3"/>
  <c r="AI328" i="3"/>
  <c r="W328" i="3"/>
  <c r="K328" i="3"/>
  <c r="BR328" i="3"/>
  <c r="BF328" i="3"/>
  <c r="AT328" i="3"/>
  <c r="AH328" i="3"/>
  <c r="V328" i="3"/>
  <c r="J328" i="3"/>
  <c r="C328" i="3"/>
  <c r="C8" i="5" l="1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BK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BK10" i="5"/>
  <c r="BL10" i="5"/>
  <c r="BM10" i="5"/>
  <c r="BN10" i="5"/>
  <c r="BO10" i="5"/>
  <c r="BP10" i="5"/>
  <c r="BQ10" i="5"/>
  <c r="BR10" i="5"/>
  <c r="BS10" i="5"/>
  <c r="BT10" i="5"/>
  <c r="BU10" i="5"/>
  <c r="BV10" i="5"/>
  <c r="BW10" i="5"/>
  <c r="BX10" i="5"/>
  <c r="BY10" i="5"/>
  <c r="BZ10" i="5"/>
  <c r="CA10" i="5"/>
  <c r="C13" i="5" a="1"/>
  <c r="C13" i="5"/>
  <c r="D13" i="5" a="1"/>
  <c r="D13" i="5"/>
  <c r="E13" i="5" a="1"/>
  <c r="E13" i="5"/>
  <c r="F13" i="5" a="1"/>
  <c r="F13" i="5"/>
  <c r="G13" i="5" a="1"/>
  <c r="G13" i="5"/>
  <c r="H13" i="5" a="1"/>
  <c r="H13" i="5"/>
  <c r="I13" i="5" a="1"/>
  <c r="I13" i="5"/>
  <c r="J13" i="5" a="1"/>
  <c r="J13" i="5"/>
  <c r="K13" i="5" a="1"/>
  <c r="K13" i="5"/>
  <c r="L13" i="5" a="1"/>
  <c r="L13" i="5"/>
  <c r="M13" i="5" a="1"/>
  <c r="M13" i="5"/>
  <c r="N13" i="5" a="1"/>
  <c r="N13" i="5"/>
  <c r="O13" i="5" a="1"/>
  <c r="O13" i="5"/>
  <c r="P13" i="5" a="1"/>
  <c r="P13" i="5"/>
  <c r="Q13" i="5" a="1"/>
  <c r="Q13" i="5"/>
  <c r="R13" i="5" a="1"/>
  <c r="R13" i="5"/>
  <c r="S13" i="5" a="1"/>
  <c r="S13" i="5"/>
  <c r="T13" i="5" a="1"/>
  <c r="T13" i="5"/>
  <c r="U13" i="5" a="1"/>
  <c r="U13" i="5"/>
  <c r="V13" i="5" a="1"/>
  <c r="V13" i="5"/>
  <c r="W13" i="5" a="1"/>
  <c r="W13" i="5"/>
  <c r="X13" i="5" a="1"/>
  <c r="X13" i="5"/>
  <c r="Y13" i="5" a="1"/>
  <c r="Y13" i="5"/>
  <c r="Z13" i="5" a="1"/>
  <c r="Z13" i="5"/>
  <c r="AA13" i="5" a="1"/>
  <c r="AA13" i="5"/>
  <c r="AB13" i="5" a="1"/>
  <c r="AB13" i="5"/>
  <c r="AC13" i="5" a="1"/>
  <c r="AC13" i="5"/>
  <c r="AD13" i="5" a="1"/>
  <c r="AD13" i="5"/>
  <c r="AE13" i="5" a="1"/>
  <c r="AE13" i="5"/>
  <c r="AF13" i="5" a="1"/>
  <c r="AF13" i="5"/>
  <c r="AG13" i="5" a="1"/>
  <c r="AG13" i="5"/>
  <c r="AH13" i="5" a="1"/>
  <c r="AH13" i="5"/>
  <c r="AI13" i="5" a="1"/>
  <c r="AI13" i="5"/>
  <c r="AJ13" i="5" a="1"/>
  <c r="AJ13" i="5"/>
  <c r="AK13" i="5" a="1"/>
  <c r="AK13" i="5"/>
  <c r="AL13" i="5" a="1"/>
  <c r="AL13" i="5"/>
  <c r="AM13" i="5" a="1"/>
  <c r="AM13" i="5"/>
  <c r="AN13" i="5" a="1"/>
  <c r="AN13" i="5"/>
  <c r="AO13" i="5" a="1"/>
  <c r="AO13" i="5"/>
  <c r="AP13" i="5" a="1"/>
  <c r="AP13" i="5"/>
  <c r="AQ13" i="5" a="1"/>
  <c r="AQ13" i="5"/>
  <c r="AR13" i="5" a="1"/>
  <c r="AR13" i="5"/>
  <c r="AS13" i="5" a="1"/>
  <c r="AS13" i="5"/>
  <c r="AT13" i="5" a="1"/>
  <c r="AT13" i="5"/>
  <c r="AU13" i="5" a="1"/>
  <c r="AU13" i="5"/>
  <c r="AV13" i="5" a="1"/>
  <c r="AV13" i="5"/>
  <c r="AW13" i="5" a="1"/>
  <c r="AW13" i="5"/>
  <c r="AX13" i="5" a="1"/>
  <c r="AX13" i="5"/>
  <c r="AY13" i="5" a="1"/>
  <c r="AY13" i="5"/>
  <c r="AZ13" i="5" a="1"/>
  <c r="AZ13" i="5"/>
  <c r="BA13" i="5" a="1"/>
  <c r="BA13" i="5"/>
  <c r="BB13" i="5" a="1"/>
  <c r="BB13" i="5"/>
  <c r="BC13" i="5" a="1"/>
  <c r="BC13" i="5"/>
  <c r="BD13" i="5" a="1"/>
  <c r="BD13" i="5"/>
  <c r="BE13" i="5" a="1"/>
  <c r="BE13" i="5"/>
  <c r="BF13" i="5" a="1"/>
  <c r="BF13" i="5"/>
  <c r="BG13" i="5" a="1"/>
  <c r="BG13" i="5"/>
  <c r="BH13" i="5" a="1"/>
  <c r="BH13" i="5"/>
  <c r="BI13" i="5" a="1"/>
  <c r="BI13" i="5"/>
  <c r="BJ13" i="5" a="1"/>
  <c r="BJ13" i="5"/>
  <c r="BK13" i="5" a="1"/>
  <c r="BK13" i="5"/>
  <c r="BL13" i="5" a="1"/>
  <c r="BL13" i="5"/>
  <c r="BM13" i="5" a="1"/>
  <c r="BM13" i="5"/>
  <c r="BN13" i="5" a="1"/>
  <c r="BN13" i="5"/>
  <c r="BO13" i="5" a="1"/>
  <c r="BO13" i="5"/>
  <c r="BP13" i="5" a="1"/>
  <c r="BP13" i="5"/>
  <c r="BQ13" i="5" a="1"/>
  <c r="BQ13" i="5"/>
  <c r="BR13" i="5" a="1"/>
  <c r="BR13" i="5"/>
  <c r="BS13" i="5" a="1"/>
  <c r="BS13" i="5"/>
  <c r="BT13" i="5" a="1"/>
  <c r="BT13" i="5"/>
  <c r="BU13" i="5" a="1"/>
  <c r="BU13" i="5"/>
  <c r="BV13" i="5" a="1"/>
  <c r="BV13" i="5"/>
  <c r="BW13" i="5" a="1"/>
  <c r="BW13" i="5"/>
  <c r="BX13" i="5" a="1"/>
  <c r="BX13" i="5"/>
  <c r="BY13" i="5" a="1"/>
  <c r="BY13" i="5"/>
  <c r="BZ13" i="5" a="1"/>
  <c r="BZ13" i="5"/>
  <c r="CA13" i="5" a="1"/>
  <c r="CA13" i="5"/>
  <c r="CB13" i="5"/>
  <c r="CC13" i="5"/>
  <c r="CD13" i="5"/>
  <c r="CE13" i="5"/>
  <c r="C14" i="5" a="1"/>
  <c r="C14" i="5"/>
  <c r="D14" i="5" a="1"/>
  <c r="D14" i="5"/>
  <c r="E14" i="5" a="1"/>
  <c r="E14" i="5"/>
  <c r="F14" i="5" a="1"/>
  <c r="F14" i="5"/>
  <c r="G14" i="5" a="1"/>
  <c r="G14" i="5"/>
  <c r="H14" i="5" a="1"/>
  <c r="H14" i="5"/>
  <c r="I14" i="5" a="1"/>
  <c r="I14" i="5"/>
  <c r="J14" i="5" a="1"/>
  <c r="J14" i="5"/>
  <c r="K14" i="5" a="1"/>
  <c r="K14" i="5"/>
  <c r="L14" i="5" a="1"/>
  <c r="L14" i="5"/>
  <c r="M14" i="5" a="1"/>
  <c r="M14" i="5"/>
  <c r="N14" i="5" a="1"/>
  <c r="N14" i="5"/>
  <c r="O14" i="5" a="1"/>
  <c r="O14" i="5"/>
  <c r="P14" i="5" a="1"/>
  <c r="P14" i="5"/>
  <c r="Q14" i="5" a="1"/>
  <c r="Q14" i="5"/>
  <c r="R14" i="5" a="1"/>
  <c r="R14" i="5"/>
  <c r="S14" i="5" a="1"/>
  <c r="S14" i="5"/>
  <c r="T14" i="5" a="1"/>
  <c r="T14" i="5"/>
  <c r="U14" i="5" a="1"/>
  <c r="U14" i="5"/>
  <c r="V14" i="5" a="1"/>
  <c r="V14" i="5"/>
  <c r="W14" i="5" a="1"/>
  <c r="W14" i="5"/>
  <c r="X14" i="5" a="1"/>
  <c r="X14" i="5"/>
  <c r="Y14" i="5" a="1"/>
  <c r="Y14" i="5"/>
  <c r="Z14" i="5" a="1"/>
  <c r="Z14" i="5"/>
  <c r="AA14" i="5" a="1"/>
  <c r="AA14" i="5"/>
  <c r="AB14" i="5" a="1"/>
  <c r="AB14" i="5"/>
  <c r="AC14" i="5" a="1"/>
  <c r="AC14" i="5"/>
  <c r="AD14" i="5" a="1"/>
  <c r="AD14" i="5"/>
  <c r="AE14" i="5" a="1"/>
  <c r="AE14" i="5"/>
  <c r="AF14" i="5" a="1"/>
  <c r="AF14" i="5"/>
  <c r="AG14" i="5" a="1"/>
  <c r="AG14" i="5"/>
  <c r="AH14" i="5" a="1"/>
  <c r="AH14" i="5"/>
  <c r="AI14" i="5" a="1"/>
  <c r="AI14" i="5"/>
  <c r="AJ14" i="5" a="1"/>
  <c r="AJ14" i="5"/>
  <c r="AK14" i="5" a="1"/>
  <c r="AK14" i="5"/>
  <c r="AL14" i="5" a="1"/>
  <c r="AL14" i="5"/>
  <c r="AM14" i="5" a="1"/>
  <c r="AM14" i="5"/>
  <c r="AN14" i="5" a="1"/>
  <c r="AN14" i="5"/>
  <c r="AO14" i="5" a="1"/>
  <c r="AO14" i="5"/>
  <c r="AP14" i="5" a="1"/>
  <c r="AP14" i="5"/>
  <c r="AQ14" i="5" a="1"/>
  <c r="AQ14" i="5"/>
  <c r="AR14" i="5" a="1"/>
  <c r="AR14" i="5"/>
  <c r="AS14" i="5" a="1"/>
  <c r="AS14" i="5"/>
  <c r="AT14" i="5" a="1"/>
  <c r="AT14" i="5"/>
  <c r="AU14" i="5" a="1"/>
  <c r="AU14" i="5"/>
  <c r="AV14" i="5" a="1"/>
  <c r="AV14" i="5"/>
  <c r="AW14" i="5" a="1"/>
  <c r="AW14" i="5"/>
  <c r="AX14" i="5" a="1"/>
  <c r="AX14" i="5"/>
  <c r="AY14" i="5" a="1"/>
  <c r="AY14" i="5"/>
  <c r="AZ14" i="5" a="1"/>
  <c r="AZ14" i="5"/>
  <c r="BA14" i="5" a="1"/>
  <c r="BA14" i="5"/>
  <c r="BB14" i="5" a="1"/>
  <c r="BB14" i="5"/>
  <c r="BC14" i="5" a="1"/>
  <c r="BC14" i="5"/>
  <c r="BD14" i="5" a="1"/>
  <c r="BD14" i="5"/>
  <c r="BE14" i="5" a="1"/>
  <c r="BE14" i="5"/>
  <c r="BF14" i="5" a="1"/>
  <c r="BF14" i="5"/>
  <c r="BG14" i="5" a="1"/>
  <c r="BG14" i="5"/>
  <c r="BH14" i="5" a="1"/>
  <c r="BH14" i="5"/>
  <c r="BI14" i="5" a="1"/>
  <c r="BI14" i="5"/>
  <c r="BJ14" i="5" a="1"/>
  <c r="BJ14" i="5"/>
  <c r="BK14" i="5" a="1"/>
  <c r="BK14" i="5"/>
  <c r="BL14" i="5" a="1"/>
  <c r="BL14" i="5"/>
  <c r="BM14" i="5" a="1"/>
  <c r="BM14" i="5"/>
  <c r="BN14" i="5" a="1"/>
  <c r="BN14" i="5"/>
  <c r="BO14" i="5" a="1"/>
  <c r="BO14" i="5"/>
  <c r="BP14" i="5" a="1"/>
  <c r="BP14" i="5"/>
  <c r="BQ14" i="5" a="1"/>
  <c r="BQ14" i="5"/>
  <c r="BR14" i="5" a="1"/>
  <c r="BR14" i="5"/>
  <c r="BS14" i="5" a="1"/>
  <c r="BS14" i="5"/>
  <c r="BT14" i="5" a="1"/>
  <c r="BT14" i="5"/>
  <c r="BU14" i="5" a="1"/>
  <c r="BU14" i="5"/>
  <c r="BV14" i="5" a="1"/>
  <c r="BV14" i="5"/>
  <c r="BW14" i="5" a="1"/>
  <c r="BW14" i="5"/>
  <c r="BX14" i="5" a="1"/>
  <c r="BX14" i="5"/>
  <c r="BY14" i="5" a="1"/>
  <c r="BY14" i="5"/>
  <c r="BZ14" i="5" a="1"/>
  <c r="BZ14" i="5"/>
  <c r="CA14" i="5" a="1"/>
  <c r="CA14" i="5"/>
  <c r="CB14" i="5"/>
  <c r="CC14" i="5"/>
  <c r="CD14" i="5"/>
  <c r="CE14" i="5"/>
  <c r="C15" i="5" a="1"/>
  <c r="C15" i="5"/>
  <c r="D15" i="5" a="1"/>
  <c r="D15" i="5"/>
  <c r="E15" i="5" a="1"/>
  <c r="E15" i="5"/>
  <c r="F15" i="5" a="1"/>
  <c r="F15" i="5"/>
  <c r="G15" i="5" a="1"/>
  <c r="G15" i="5"/>
  <c r="H15" i="5" a="1"/>
  <c r="H15" i="5"/>
  <c r="I15" i="5" a="1"/>
  <c r="I15" i="5"/>
  <c r="J15" i="5" a="1"/>
  <c r="J15" i="5"/>
  <c r="K15" i="5" a="1"/>
  <c r="K15" i="5"/>
  <c r="L15" i="5" a="1"/>
  <c r="L15" i="5"/>
  <c r="M15" i="5" a="1"/>
  <c r="M15" i="5"/>
  <c r="N15" i="5" a="1"/>
  <c r="N15" i="5"/>
  <c r="O15" i="5" a="1"/>
  <c r="O15" i="5"/>
  <c r="P15" i="5" a="1"/>
  <c r="P15" i="5"/>
  <c r="Q15" i="5" a="1"/>
  <c r="Q15" i="5"/>
  <c r="R15" i="5" a="1"/>
  <c r="R15" i="5"/>
  <c r="S15" i="5" a="1"/>
  <c r="S15" i="5"/>
  <c r="T15" i="5" a="1"/>
  <c r="T15" i="5"/>
  <c r="U15" i="5" a="1"/>
  <c r="U15" i="5"/>
  <c r="V15" i="5" a="1"/>
  <c r="V15" i="5"/>
  <c r="W15" i="5" a="1"/>
  <c r="W15" i="5"/>
  <c r="X15" i="5" a="1"/>
  <c r="X15" i="5"/>
  <c r="Y15" i="5" a="1"/>
  <c r="Y15" i="5"/>
  <c r="Z15" i="5" a="1"/>
  <c r="Z15" i="5"/>
  <c r="AA15" i="5" a="1"/>
  <c r="AA15" i="5"/>
  <c r="AB15" i="5" a="1"/>
  <c r="AB15" i="5"/>
  <c r="AC15" i="5" a="1"/>
  <c r="AC15" i="5"/>
  <c r="AD15" i="5" a="1"/>
  <c r="AD15" i="5"/>
  <c r="AE15" i="5" a="1"/>
  <c r="AE15" i="5"/>
  <c r="AF15" i="5" a="1"/>
  <c r="AF15" i="5"/>
  <c r="AG15" i="5" a="1"/>
  <c r="AG15" i="5"/>
  <c r="AH15" i="5" a="1"/>
  <c r="AH15" i="5"/>
  <c r="AI15" i="5" a="1"/>
  <c r="AI15" i="5"/>
  <c r="AJ15" i="5" a="1"/>
  <c r="AJ15" i="5"/>
  <c r="AK15" i="5" a="1"/>
  <c r="AK15" i="5"/>
  <c r="AL15" i="5" a="1"/>
  <c r="AL15" i="5"/>
  <c r="AM15" i="5" a="1"/>
  <c r="AM15" i="5"/>
  <c r="AN15" i="5" a="1"/>
  <c r="AN15" i="5"/>
  <c r="AO15" i="5" a="1"/>
  <c r="AO15" i="5"/>
  <c r="AP15" i="5" a="1"/>
  <c r="AP15" i="5"/>
  <c r="AQ15" i="5" a="1"/>
  <c r="AQ15" i="5"/>
  <c r="AR15" i="5" a="1"/>
  <c r="AR15" i="5"/>
  <c r="AS15" i="5" a="1"/>
  <c r="AS15" i="5"/>
  <c r="AT15" i="5" a="1"/>
  <c r="AT15" i="5"/>
  <c r="AU15" i="5" a="1"/>
  <c r="AU15" i="5"/>
  <c r="AV15" i="5" a="1"/>
  <c r="AV15" i="5"/>
  <c r="AW15" i="5" a="1"/>
  <c r="AW15" i="5"/>
  <c r="AX15" i="5" a="1"/>
  <c r="AX15" i="5"/>
  <c r="AY15" i="5" a="1"/>
  <c r="AY15" i="5"/>
  <c r="AZ15" i="5" a="1"/>
  <c r="AZ15" i="5"/>
  <c r="BA15" i="5" a="1"/>
  <c r="BA15" i="5"/>
  <c r="BB15" i="5" a="1"/>
  <c r="BB15" i="5"/>
  <c r="BC15" i="5" a="1"/>
  <c r="BC15" i="5"/>
  <c r="BD15" i="5" a="1"/>
  <c r="BD15" i="5"/>
  <c r="BE15" i="5" a="1"/>
  <c r="BE15" i="5"/>
  <c r="BF15" i="5" a="1"/>
  <c r="BF15" i="5"/>
  <c r="BG15" i="5" a="1"/>
  <c r="BG15" i="5"/>
  <c r="BH15" i="5" a="1"/>
  <c r="BH15" i="5"/>
  <c r="BI15" i="5" a="1"/>
  <c r="BI15" i="5"/>
  <c r="BJ15" i="5" a="1"/>
  <c r="BJ15" i="5"/>
  <c r="BK15" i="5" a="1"/>
  <c r="BK15" i="5"/>
  <c r="BL15" i="5" a="1"/>
  <c r="BL15" i="5"/>
  <c r="BM15" i="5" a="1"/>
  <c r="BM15" i="5"/>
  <c r="BN15" i="5" a="1"/>
  <c r="BN15" i="5"/>
  <c r="BO15" i="5" a="1"/>
  <c r="BO15" i="5"/>
  <c r="BP15" i="5" a="1"/>
  <c r="BP15" i="5"/>
  <c r="BQ15" i="5" a="1"/>
  <c r="BQ15" i="5"/>
  <c r="BR15" i="5" a="1"/>
  <c r="BR15" i="5"/>
  <c r="BS15" i="5" a="1"/>
  <c r="BS15" i="5"/>
  <c r="BT15" i="5" a="1"/>
  <c r="BT15" i="5"/>
  <c r="BU15" i="5" a="1"/>
  <c r="BU15" i="5"/>
  <c r="BV15" i="5" a="1"/>
  <c r="BV15" i="5"/>
  <c r="BW15" i="5" a="1"/>
  <c r="BW15" i="5"/>
  <c r="BX15" i="5" a="1"/>
  <c r="BX15" i="5"/>
  <c r="BY15" i="5" a="1"/>
  <c r="BY15" i="5"/>
  <c r="BZ15" i="5" a="1"/>
  <c r="BZ15" i="5"/>
  <c r="CA15" i="5" a="1"/>
  <c r="CA15" i="5"/>
  <c r="CB15" i="5"/>
  <c r="CC15" i="5"/>
  <c r="CD15" i="5"/>
  <c r="CE15" i="5"/>
  <c r="C16" i="5" a="1"/>
  <c r="C16" i="5"/>
  <c r="D16" i="5" a="1"/>
  <c r="D16" i="5"/>
  <c r="E16" i="5" a="1"/>
  <c r="E16" i="5"/>
  <c r="F16" i="5" a="1"/>
  <c r="F16" i="5"/>
  <c r="G16" i="5" a="1"/>
  <c r="G16" i="5"/>
  <c r="H16" i="5" a="1"/>
  <c r="H16" i="5"/>
  <c r="I16" i="5" a="1"/>
  <c r="I16" i="5"/>
  <c r="J16" i="5" a="1"/>
  <c r="J16" i="5"/>
  <c r="K16" i="5" a="1"/>
  <c r="K16" i="5"/>
  <c r="L16" i="5" a="1"/>
  <c r="L16" i="5"/>
  <c r="M16" i="5" a="1"/>
  <c r="M16" i="5"/>
  <c r="N16" i="5" a="1"/>
  <c r="N16" i="5"/>
  <c r="O16" i="5" a="1"/>
  <c r="O16" i="5"/>
  <c r="P16" i="5" a="1"/>
  <c r="P16" i="5"/>
  <c r="Q16" i="5" a="1"/>
  <c r="Q16" i="5"/>
  <c r="R16" i="5" a="1"/>
  <c r="R16" i="5"/>
  <c r="S16" i="5" a="1"/>
  <c r="S16" i="5"/>
  <c r="T16" i="5" a="1"/>
  <c r="T16" i="5"/>
  <c r="U16" i="5" a="1"/>
  <c r="U16" i="5"/>
  <c r="V16" i="5" a="1"/>
  <c r="V16" i="5"/>
  <c r="W16" i="5" a="1"/>
  <c r="W16" i="5"/>
  <c r="X16" i="5" a="1"/>
  <c r="X16" i="5"/>
  <c r="Y16" i="5" a="1"/>
  <c r="Y16" i="5"/>
  <c r="Z16" i="5" a="1"/>
  <c r="Z16" i="5"/>
  <c r="AA16" i="5" a="1"/>
  <c r="AA16" i="5"/>
  <c r="AB16" i="5" a="1"/>
  <c r="AB16" i="5"/>
  <c r="AC16" i="5" a="1"/>
  <c r="AC16" i="5"/>
  <c r="AD16" i="5" a="1"/>
  <c r="AD16" i="5"/>
  <c r="AE16" i="5" a="1"/>
  <c r="AE16" i="5"/>
  <c r="AF16" i="5" a="1"/>
  <c r="AF16" i="5"/>
  <c r="AG16" i="5" a="1"/>
  <c r="AG16" i="5"/>
  <c r="AH16" i="5" a="1"/>
  <c r="AH16" i="5"/>
  <c r="AI16" i="5" a="1"/>
  <c r="AI16" i="5"/>
  <c r="AJ16" i="5" a="1"/>
  <c r="AJ16" i="5"/>
  <c r="AK16" i="5" a="1"/>
  <c r="AK16" i="5"/>
  <c r="AL16" i="5" a="1"/>
  <c r="AL16" i="5"/>
  <c r="AM16" i="5" a="1"/>
  <c r="AM16" i="5"/>
  <c r="AN16" i="5" a="1"/>
  <c r="AN16" i="5"/>
  <c r="AO16" i="5" a="1"/>
  <c r="AO16" i="5"/>
  <c r="AP16" i="5" a="1"/>
  <c r="AP16" i="5"/>
  <c r="AQ16" i="5" a="1"/>
  <c r="AQ16" i="5"/>
  <c r="AR16" i="5" a="1"/>
  <c r="AR16" i="5"/>
  <c r="AS16" i="5" a="1"/>
  <c r="AS16" i="5"/>
  <c r="AT16" i="5" a="1"/>
  <c r="AT16" i="5"/>
  <c r="AU16" i="5" a="1"/>
  <c r="AU16" i="5"/>
  <c r="AV16" i="5" a="1"/>
  <c r="AV16" i="5"/>
  <c r="AW16" i="5" a="1"/>
  <c r="AW16" i="5"/>
  <c r="AX16" i="5" a="1"/>
  <c r="AX16" i="5"/>
  <c r="AY16" i="5" a="1"/>
  <c r="AY16" i="5"/>
  <c r="AZ16" i="5" a="1"/>
  <c r="AZ16" i="5"/>
  <c r="BA16" i="5" a="1"/>
  <c r="BA16" i="5"/>
  <c r="BB16" i="5" a="1"/>
  <c r="BB16" i="5"/>
  <c r="BC16" i="5" a="1"/>
  <c r="BC16" i="5"/>
  <c r="BD16" i="5" a="1"/>
  <c r="BD16" i="5"/>
  <c r="BE16" i="5" a="1"/>
  <c r="BE16" i="5"/>
  <c r="BF16" i="5" a="1"/>
  <c r="BF16" i="5"/>
  <c r="BG16" i="5" a="1"/>
  <c r="BG16" i="5"/>
  <c r="BH16" i="5" a="1"/>
  <c r="BH16" i="5"/>
  <c r="BI16" i="5" a="1"/>
  <c r="BI16" i="5"/>
  <c r="BJ16" i="5" a="1"/>
  <c r="BJ16" i="5"/>
  <c r="BK16" i="5" a="1"/>
  <c r="BK16" i="5"/>
  <c r="BL16" i="5" a="1"/>
  <c r="BL16" i="5"/>
  <c r="BM16" i="5" a="1"/>
  <c r="BM16" i="5"/>
  <c r="BN16" i="5" a="1"/>
  <c r="BN16" i="5"/>
  <c r="BO16" i="5" a="1"/>
  <c r="BO16" i="5"/>
  <c r="BP16" i="5" a="1"/>
  <c r="BP16" i="5"/>
  <c r="BQ16" i="5" a="1"/>
  <c r="BQ16" i="5"/>
  <c r="BR16" i="5" a="1"/>
  <c r="BR16" i="5"/>
  <c r="BS16" i="5" a="1"/>
  <c r="BS16" i="5"/>
  <c r="BT16" i="5" a="1"/>
  <c r="BT16" i="5"/>
  <c r="BU16" i="5" a="1"/>
  <c r="BU16" i="5"/>
  <c r="BV16" i="5" a="1"/>
  <c r="BV16" i="5"/>
  <c r="BW16" i="5" a="1"/>
  <c r="BW16" i="5"/>
  <c r="BX16" i="5" a="1"/>
  <c r="BX16" i="5"/>
  <c r="BY16" i="5" a="1"/>
  <c r="BY16" i="5"/>
  <c r="BZ16" i="5" a="1"/>
  <c r="BZ16" i="5"/>
  <c r="CA16" i="5" a="1"/>
  <c r="CA16" i="5"/>
  <c r="CB16" i="5"/>
  <c r="CC16" i="5"/>
  <c r="CD16" i="5"/>
  <c r="CE16" i="5"/>
  <c r="C17" i="5" a="1"/>
  <c r="C17" i="5"/>
  <c r="D17" i="5" a="1"/>
  <c r="D17" i="5"/>
  <c r="E17" i="5" a="1"/>
  <c r="E17" i="5"/>
  <c r="F17" i="5" a="1"/>
  <c r="F17" i="5"/>
  <c r="G17" i="5" a="1"/>
  <c r="G17" i="5"/>
  <c r="H17" i="5" a="1"/>
  <c r="H17" i="5"/>
  <c r="I17" i="5" a="1"/>
  <c r="I17" i="5"/>
  <c r="J17" i="5" a="1"/>
  <c r="J17" i="5"/>
  <c r="K17" i="5" a="1"/>
  <c r="K17" i="5"/>
  <c r="L17" i="5" a="1"/>
  <c r="L17" i="5"/>
  <c r="M17" i="5" a="1"/>
  <c r="M17" i="5"/>
  <c r="N17" i="5" a="1"/>
  <c r="N17" i="5"/>
  <c r="O17" i="5" a="1"/>
  <c r="O17" i="5"/>
  <c r="P17" i="5" a="1"/>
  <c r="P17" i="5"/>
  <c r="Q17" i="5" a="1"/>
  <c r="Q17" i="5"/>
  <c r="R17" i="5" a="1"/>
  <c r="R17" i="5"/>
  <c r="S17" i="5" a="1"/>
  <c r="S17" i="5"/>
  <c r="T17" i="5" a="1"/>
  <c r="T17" i="5"/>
  <c r="U17" i="5" a="1"/>
  <c r="U17" i="5"/>
  <c r="V17" i="5" a="1"/>
  <c r="V17" i="5"/>
  <c r="W17" i="5" a="1"/>
  <c r="W17" i="5"/>
  <c r="X17" i="5" a="1"/>
  <c r="X17" i="5"/>
  <c r="Y17" i="5" a="1"/>
  <c r="Y17" i="5"/>
  <c r="Z17" i="5" a="1"/>
  <c r="Z17" i="5"/>
  <c r="AA17" i="5" a="1"/>
  <c r="AA17" i="5"/>
  <c r="AB17" i="5" a="1"/>
  <c r="AB17" i="5"/>
  <c r="AC17" i="5" a="1"/>
  <c r="AC17" i="5"/>
  <c r="AD17" i="5" a="1"/>
  <c r="AD17" i="5"/>
  <c r="AE17" i="5" a="1"/>
  <c r="AE17" i="5"/>
  <c r="AF17" i="5" a="1"/>
  <c r="AF17" i="5"/>
  <c r="AG17" i="5" a="1"/>
  <c r="AG17" i="5"/>
  <c r="AH17" i="5" a="1"/>
  <c r="AH17" i="5"/>
  <c r="AI17" i="5" a="1"/>
  <c r="AI17" i="5"/>
  <c r="AJ17" i="5" a="1"/>
  <c r="AJ17" i="5"/>
  <c r="AK17" i="5" a="1"/>
  <c r="AK17" i="5"/>
  <c r="AL17" i="5" a="1"/>
  <c r="AL17" i="5"/>
  <c r="AM17" i="5" a="1"/>
  <c r="AM17" i="5"/>
  <c r="AN17" i="5" a="1"/>
  <c r="AN17" i="5"/>
  <c r="AO17" i="5" a="1"/>
  <c r="AO17" i="5"/>
  <c r="AP17" i="5" a="1"/>
  <c r="AP17" i="5"/>
  <c r="AQ17" i="5" a="1"/>
  <c r="AQ17" i="5"/>
  <c r="AR17" i="5" a="1"/>
  <c r="AR17" i="5"/>
  <c r="AS17" i="5" a="1"/>
  <c r="AS17" i="5"/>
  <c r="AT17" i="5" a="1"/>
  <c r="AT17" i="5"/>
  <c r="AU17" i="5" a="1"/>
  <c r="AU17" i="5"/>
  <c r="AV17" i="5" a="1"/>
  <c r="AV17" i="5"/>
  <c r="AW17" i="5" a="1"/>
  <c r="AW17" i="5"/>
  <c r="AX17" i="5" a="1"/>
  <c r="AX17" i="5"/>
  <c r="AY17" i="5" a="1"/>
  <c r="AY17" i="5"/>
  <c r="AZ17" i="5" a="1"/>
  <c r="AZ17" i="5"/>
  <c r="BA17" i="5" a="1"/>
  <c r="BA17" i="5"/>
  <c r="BB17" i="5" a="1"/>
  <c r="BB17" i="5"/>
  <c r="BC17" i="5" a="1"/>
  <c r="BC17" i="5"/>
  <c r="BD17" i="5" a="1"/>
  <c r="BD17" i="5"/>
  <c r="BE17" i="5" a="1"/>
  <c r="BE17" i="5"/>
  <c r="BF17" i="5" a="1"/>
  <c r="BF17" i="5"/>
  <c r="BG17" i="5" a="1"/>
  <c r="BG17" i="5"/>
  <c r="BH17" i="5" a="1"/>
  <c r="BH17" i="5"/>
  <c r="BI17" i="5" a="1"/>
  <c r="BI17" i="5"/>
  <c r="BJ17" i="5" a="1"/>
  <c r="BJ17" i="5"/>
  <c r="BK17" i="5" a="1"/>
  <c r="BK17" i="5"/>
  <c r="BL17" i="5" a="1"/>
  <c r="BL17" i="5"/>
  <c r="BM17" i="5" a="1"/>
  <c r="BM17" i="5"/>
  <c r="BN17" i="5" a="1"/>
  <c r="BN17" i="5"/>
  <c r="BO17" i="5" a="1"/>
  <c r="BO17" i="5"/>
  <c r="BP17" i="5" a="1"/>
  <c r="BP17" i="5"/>
  <c r="BQ17" i="5" a="1"/>
  <c r="BQ17" i="5"/>
  <c r="BR17" i="5" a="1"/>
  <c r="BR17" i="5"/>
  <c r="BS17" i="5" a="1"/>
  <c r="BS17" i="5"/>
  <c r="BT17" i="5" a="1"/>
  <c r="BT17" i="5"/>
  <c r="BU17" i="5" a="1"/>
  <c r="BU17" i="5"/>
  <c r="BV17" i="5" a="1"/>
  <c r="BV17" i="5"/>
  <c r="BW17" i="5" a="1"/>
  <c r="BW17" i="5"/>
  <c r="BX17" i="5" a="1"/>
  <c r="BX17" i="5"/>
  <c r="BY17" i="5" a="1"/>
  <c r="BY17" i="5"/>
  <c r="BZ17" i="5" a="1"/>
  <c r="BZ17" i="5"/>
  <c r="CA17" i="5" a="1"/>
  <c r="CA17" i="5"/>
  <c r="CB17" i="5"/>
  <c r="CC17" i="5"/>
  <c r="CD17" i="5"/>
  <c r="CE17" i="5"/>
  <c r="C18" i="5" a="1"/>
  <c r="C18" i="5"/>
  <c r="D18" i="5" a="1"/>
  <c r="D18" i="5"/>
  <c r="E18" i="5" a="1"/>
  <c r="E18" i="5"/>
  <c r="F18" i="5" a="1"/>
  <c r="F18" i="5"/>
  <c r="G18" i="5" a="1"/>
  <c r="G18" i="5"/>
  <c r="H18" i="5" a="1"/>
  <c r="H18" i="5"/>
  <c r="I18" i="5" a="1"/>
  <c r="I18" i="5"/>
  <c r="J18" i="5" a="1"/>
  <c r="J18" i="5"/>
  <c r="K18" i="5" a="1"/>
  <c r="K18" i="5"/>
  <c r="L18" i="5" a="1"/>
  <c r="L18" i="5"/>
  <c r="M18" i="5" a="1"/>
  <c r="M18" i="5"/>
  <c r="N18" i="5" a="1"/>
  <c r="N18" i="5"/>
  <c r="O18" i="5" a="1"/>
  <c r="O18" i="5"/>
  <c r="P18" i="5" a="1"/>
  <c r="P18" i="5"/>
  <c r="Q18" i="5" a="1"/>
  <c r="Q18" i="5"/>
  <c r="R18" i="5" a="1"/>
  <c r="R18" i="5"/>
  <c r="S18" i="5" a="1"/>
  <c r="S18" i="5"/>
  <c r="T18" i="5" a="1"/>
  <c r="T18" i="5"/>
  <c r="U18" i="5" a="1"/>
  <c r="U18" i="5"/>
  <c r="V18" i="5" a="1"/>
  <c r="V18" i="5"/>
  <c r="W18" i="5" a="1"/>
  <c r="W18" i="5"/>
  <c r="X18" i="5" a="1"/>
  <c r="X18" i="5"/>
  <c r="Y18" i="5" a="1"/>
  <c r="Y18" i="5"/>
  <c r="Z18" i="5" a="1"/>
  <c r="Z18" i="5"/>
  <c r="AA18" i="5" a="1"/>
  <c r="AA18" i="5"/>
  <c r="AB18" i="5" a="1"/>
  <c r="AB18" i="5"/>
  <c r="AC18" i="5" a="1"/>
  <c r="AC18" i="5"/>
  <c r="AD18" i="5" a="1"/>
  <c r="AD18" i="5"/>
  <c r="AE18" i="5" a="1"/>
  <c r="AE18" i="5"/>
  <c r="AF18" i="5" a="1"/>
  <c r="AF18" i="5"/>
  <c r="AG18" i="5" a="1"/>
  <c r="AG18" i="5"/>
  <c r="AH18" i="5" a="1"/>
  <c r="AH18" i="5"/>
  <c r="AI18" i="5" a="1"/>
  <c r="AI18" i="5"/>
  <c r="AJ18" i="5" a="1"/>
  <c r="AJ18" i="5"/>
  <c r="AK18" i="5" a="1"/>
  <c r="AK18" i="5"/>
  <c r="AL18" i="5" a="1"/>
  <c r="AL18" i="5"/>
  <c r="AM18" i="5" a="1"/>
  <c r="AM18" i="5"/>
  <c r="AN18" i="5" a="1"/>
  <c r="AN18" i="5"/>
  <c r="AO18" i="5" a="1"/>
  <c r="AO18" i="5"/>
  <c r="AP18" i="5" a="1"/>
  <c r="AP18" i="5"/>
  <c r="AQ18" i="5" a="1"/>
  <c r="AQ18" i="5"/>
  <c r="AR18" i="5" a="1"/>
  <c r="AR18" i="5"/>
  <c r="AS18" i="5" a="1"/>
  <c r="AS18" i="5"/>
  <c r="AT18" i="5" a="1"/>
  <c r="AT18" i="5"/>
  <c r="AU18" i="5" a="1"/>
  <c r="AU18" i="5"/>
  <c r="AV18" i="5" a="1"/>
  <c r="AV18" i="5"/>
  <c r="AW18" i="5" a="1"/>
  <c r="AW18" i="5"/>
  <c r="AX18" i="5" a="1"/>
  <c r="AX18" i="5"/>
  <c r="AY18" i="5" a="1"/>
  <c r="AY18" i="5"/>
  <c r="AZ18" i="5" a="1"/>
  <c r="AZ18" i="5"/>
  <c r="BA18" i="5" a="1"/>
  <c r="BA18" i="5"/>
  <c r="BB18" i="5" a="1"/>
  <c r="BB18" i="5"/>
  <c r="BC18" i="5" a="1"/>
  <c r="BC18" i="5"/>
  <c r="BD18" i="5" a="1"/>
  <c r="BD18" i="5"/>
  <c r="BE18" i="5" a="1"/>
  <c r="BE18" i="5"/>
  <c r="BF18" i="5" a="1"/>
  <c r="BF18" i="5"/>
  <c r="BG18" i="5" a="1"/>
  <c r="BG18" i="5"/>
  <c r="BH18" i="5" a="1"/>
  <c r="BH18" i="5"/>
  <c r="BI18" i="5" a="1"/>
  <c r="BI18" i="5"/>
  <c r="BJ18" i="5" a="1"/>
  <c r="BJ18" i="5"/>
  <c r="BK18" i="5" a="1"/>
  <c r="BK18" i="5"/>
  <c r="BL18" i="5" a="1"/>
  <c r="BL18" i="5"/>
  <c r="BM18" i="5" a="1"/>
  <c r="BM18" i="5"/>
  <c r="BN18" i="5" a="1"/>
  <c r="BN18" i="5"/>
  <c r="BO18" i="5" a="1"/>
  <c r="BO18" i="5"/>
  <c r="BP18" i="5" a="1"/>
  <c r="BP18" i="5"/>
  <c r="BQ18" i="5" a="1"/>
  <c r="BQ18" i="5"/>
  <c r="BR18" i="5" a="1"/>
  <c r="BR18" i="5"/>
  <c r="BS18" i="5" a="1"/>
  <c r="BS18" i="5"/>
  <c r="BT18" i="5" a="1"/>
  <c r="BT18" i="5"/>
  <c r="BU18" i="5" a="1"/>
  <c r="BU18" i="5"/>
  <c r="BV18" i="5" a="1"/>
  <c r="BV18" i="5"/>
  <c r="BW18" i="5" a="1"/>
  <c r="BW18" i="5"/>
  <c r="BX18" i="5" a="1"/>
  <c r="BX18" i="5"/>
  <c r="BY18" i="5" a="1"/>
  <c r="BY18" i="5"/>
  <c r="BZ18" i="5" a="1"/>
  <c r="BZ18" i="5"/>
  <c r="CA18" i="5" a="1"/>
  <c r="CA18" i="5"/>
  <c r="CB18" i="5"/>
  <c r="CC18" i="5"/>
  <c r="CD18" i="5"/>
  <c r="CE18" i="5"/>
  <c r="C19" i="5" a="1"/>
  <c r="C19" i="5"/>
  <c r="D19" i="5" a="1"/>
  <c r="D19" i="5"/>
  <c r="E19" i="5" a="1"/>
  <c r="E19" i="5"/>
  <c r="F19" i="5" a="1"/>
  <c r="F19" i="5"/>
  <c r="G19" i="5" a="1"/>
  <c r="G19" i="5"/>
  <c r="H19" i="5" a="1"/>
  <c r="H19" i="5"/>
  <c r="I19" i="5" a="1"/>
  <c r="I19" i="5"/>
  <c r="J19" i="5" a="1"/>
  <c r="J19" i="5"/>
  <c r="K19" i="5" a="1"/>
  <c r="K19" i="5"/>
  <c r="L19" i="5" a="1"/>
  <c r="L19" i="5"/>
  <c r="M19" i="5" a="1"/>
  <c r="M19" i="5"/>
  <c r="N19" i="5" a="1"/>
  <c r="N19" i="5"/>
  <c r="O19" i="5" a="1"/>
  <c r="O19" i="5"/>
  <c r="P19" i="5" a="1"/>
  <c r="P19" i="5"/>
  <c r="Q19" i="5" a="1"/>
  <c r="Q19" i="5"/>
  <c r="R19" i="5" a="1"/>
  <c r="R19" i="5"/>
  <c r="S19" i="5" a="1"/>
  <c r="S19" i="5"/>
  <c r="T19" i="5" a="1"/>
  <c r="T19" i="5"/>
  <c r="U19" i="5" a="1"/>
  <c r="U19" i="5"/>
  <c r="V19" i="5" a="1"/>
  <c r="V19" i="5"/>
  <c r="W19" i="5" a="1"/>
  <c r="W19" i="5"/>
  <c r="X19" i="5" a="1"/>
  <c r="X19" i="5"/>
  <c r="Y19" i="5" a="1"/>
  <c r="Y19" i="5"/>
  <c r="Z19" i="5" a="1"/>
  <c r="Z19" i="5"/>
  <c r="AA19" i="5" a="1"/>
  <c r="AA19" i="5"/>
  <c r="AB19" i="5" a="1"/>
  <c r="AB19" i="5"/>
  <c r="AC19" i="5" a="1"/>
  <c r="AC19" i="5"/>
  <c r="AD19" i="5" a="1"/>
  <c r="AD19" i="5"/>
  <c r="AE19" i="5" a="1"/>
  <c r="AE19" i="5"/>
  <c r="AF19" i="5" a="1"/>
  <c r="AF19" i="5"/>
  <c r="AG19" i="5" a="1"/>
  <c r="AG19" i="5"/>
  <c r="AH19" i="5" a="1"/>
  <c r="AH19" i="5"/>
  <c r="AI19" i="5" a="1"/>
  <c r="AI19" i="5"/>
  <c r="AJ19" i="5" a="1"/>
  <c r="AJ19" i="5"/>
  <c r="AK19" i="5" a="1"/>
  <c r="AK19" i="5"/>
  <c r="AL19" i="5" a="1"/>
  <c r="AL19" i="5"/>
  <c r="AM19" i="5" a="1"/>
  <c r="AM19" i="5"/>
  <c r="AN19" i="5" a="1"/>
  <c r="AN19" i="5"/>
  <c r="AO19" i="5" a="1"/>
  <c r="AO19" i="5"/>
  <c r="AP19" i="5" a="1"/>
  <c r="AP19" i="5"/>
  <c r="AQ19" i="5" a="1"/>
  <c r="AQ19" i="5"/>
  <c r="AR19" i="5" a="1"/>
  <c r="AR19" i="5"/>
  <c r="AS19" i="5" a="1"/>
  <c r="AS19" i="5"/>
  <c r="AT19" i="5" a="1"/>
  <c r="AT19" i="5"/>
  <c r="AU19" i="5" a="1"/>
  <c r="AU19" i="5"/>
  <c r="AV19" i="5" a="1"/>
  <c r="AV19" i="5"/>
  <c r="AW19" i="5" a="1"/>
  <c r="AW19" i="5"/>
  <c r="AX19" i="5" a="1"/>
  <c r="AX19" i="5"/>
  <c r="AY19" i="5" a="1"/>
  <c r="AY19" i="5"/>
  <c r="AZ19" i="5" a="1"/>
  <c r="AZ19" i="5"/>
  <c r="BA19" i="5" a="1"/>
  <c r="BA19" i="5"/>
  <c r="BB19" i="5" a="1"/>
  <c r="BB19" i="5"/>
  <c r="BC19" i="5" a="1"/>
  <c r="BC19" i="5"/>
  <c r="BD19" i="5" a="1"/>
  <c r="BD19" i="5"/>
  <c r="BE19" i="5" a="1"/>
  <c r="BE19" i="5"/>
  <c r="BF19" i="5" a="1"/>
  <c r="BF19" i="5"/>
  <c r="BG19" i="5" a="1"/>
  <c r="BG19" i="5"/>
  <c r="BH19" i="5" a="1"/>
  <c r="BH19" i="5"/>
  <c r="BI19" i="5" a="1"/>
  <c r="BI19" i="5"/>
  <c r="BJ19" i="5" a="1"/>
  <c r="BJ19" i="5"/>
  <c r="BK19" i="5" a="1"/>
  <c r="BK19" i="5"/>
  <c r="BL19" i="5" a="1"/>
  <c r="BL19" i="5"/>
  <c r="BM19" i="5" a="1"/>
  <c r="BM19" i="5"/>
  <c r="BN19" i="5" a="1"/>
  <c r="BN19" i="5"/>
  <c r="BO19" i="5" a="1"/>
  <c r="BO19" i="5"/>
  <c r="BP19" i="5" a="1"/>
  <c r="BP19" i="5"/>
  <c r="BQ19" i="5" a="1"/>
  <c r="BQ19" i="5"/>
  <c r="BR19" i="5" a="1"/>
  <c r="BR19" i="5"/>
  <c r="BS19" i="5" a="1"/>
  <c r="BS19" i="5"/>
  <c r="BT19" i="5" a="1"/>
  <c r="BT19" i="5"/>
  <c r="BU19" i="5" a="1"/>
  <c r="BU19" i="5"/>
  <c r="BV19" i="5" a="1"/>
  <c r="BV19" i="5"/>
  <c r="BW19" i="5" a="1"/>
  <c r="BW19" i="5"/>
  <c r="BX19" i="5" a="1"/>
  <c r="BX19" i="5"/>
  <c r="BY19" i="5" a="1"/>
  <c r="BY19" i="5"/>
  <c r="BZ19" i="5" a="1"/>
  <c r="BZ19" i="5"/>
  <c r="CA19" i="5" a="1"/>
  <c r="CA19" i="5"/>
  <c r="CB19" i="5"/>
  <c r="CC19" i="5"/>
  <c r="CD19" i="5"/>
  <c r="CE19" i="5"/>
  <c r="C20" i="5" a="1"/>
  <c r="C20" i="5"/>
  <c r="D20" i="5" a="1"/>
  <c r="D20" i="5"/>
  <c r="E20" i="5" a="1"/>
  <c r="E20" i="5"/>
  <c r="F20" i="5" a="1"/>
  <c r="F20" i="5"/>
  <c r="G20" i="5" a="1"/>
  <c r="G20" i="5"/>
  <c r="H20" i="5" a="1"/>
  <c r="H20" i="5"/>
  <c r="I20" i="5" a="1"/>
  <c r="I20" i="5"/>
  <c r="J20" i="5" a="1"/>
  <c r="J20" i="5"/>
  <c r="K20" i="5" a="1"/>
  <c r="K20" i="5"/>
  <c r="L20" i="5" a="1"/>
  <c r="L20" i="5"/>
  <c r="M20" i="5" a="1"/>
  <c r="M20" i="5"/>
  <c r="N20" i="5" a="1"/>
  <c r="N20" i="5"/>
  <c r="O20" i="5" a="1"/>
  <c r="O20" i="5"/>
  <c r="P20" i="5" a="1"/>
  <c r="P20" i="5"/>
  <c r="Q20" i="5" a="1"/>
  <c r="Q20" i="5"/>
  <c r="R20" i="5" a="1"/>
  <c r="R20" i="5"/>
  <c r="S20" i="5" a="1"/>
  <c r="S20" i="5"/>
  <c r="T20" i="5" a="1"/>
  <c r="T20" i="5"/>
  <c r="U20" i="5" a="1"/>
  <c r="U20" i="5"/>
  <c r="V20" i="5" a="1"/>
  <c r="V20" i="5"/>
  <c r="W20" i="5" a="1"/>
  <c r="W20" i="5"/>
  <c r="X20" i="5" a="1"/>
  <c r="X20" i="5"/>
  <c r="Y20" i="5" a="1"/>
  <c r="Y20" i="5"/>
  <c r="Z20" i="5" a="1"/>
  <c r="Z20" i="5"/>
  <c r="AA20" i="5" a="1"/>
  <c r="AA20" i="5"/>
  <c r="AB20" i="5" a="1"/>
  <c r="AB20" i="5"/>
  <c r="AC20" i="5" a="1"/>
  <c r="AC20" i="5"/>
  <c r="AD20" i="5" a="1"/>
  <c r="AD20" i="5"/>
  <c r="AE20" i="5" a="1"/>
  <c r="AE20" i="5"/>
  <c r="AF20" i="5" a="1"/>
  <c r="AF20" i="5"/>
  <c r="AG20" i="5" a="1"/>
  <c r="AG20" i="5"/>
  <c r="AH20" i="5" a="1"/>
  <c r="AH20" i="5"/>
  <c r="AI20" i="5" a="1"/>
  <c r="AI20" i="5"/>
  <c r="AJ20" i="5" a="1"/>
  <c r="AJ20" i="5"/>
  <c r="AK20" i="5" a="1"/>
  <c r="AK20" i="5"/>
  <c r="AL20" i="5" a="1"/>
  <c r="AL20" i="5"/>
  <c r="AM20" i="5" a="1"/>
  <c r="AM20" i="5"/>
  <c r="AN20" i="5" a="1"/>
  <c r="AN20" i="5"/>
  <c r="AO20" i="5" a="1"/>
  <c r="AO20" i="5"/>
  <c r="AP20" i="5" a="1"/>
  <c r="AP20" i="5"/>
  <c r="AQ20" i="5" a="1"/>
  <c r="AQ20" i="5"/>
  <c r="AR20" i="5" a="1"/>
  <c r="AR20" i="5"/>
  <c r="AS20" i="5" a="1"/>
  <c r="AS20" i="5"/>
  <c r="AT20" i="5" a="1"/>
  <c r="AT20" i="5"/>
  <c r="AU20" i="5" a="1"/>
  <c r="AU20" i="5"/>
  <c r="AV20" i="5" a="1"/>
  <c r="AV20" i="5"/>
  <c r="AW20" i="5" a="1"/>
  <c r="AW20" i="5"/>
  <c r="AX20" i="5" a="1"/>
  <c r="AX20" i="5"/>
  <c r="AY20" i="5" a="1"/>
  <c r="AY20" i="5"/>
  <c r="AZ20" i="5" a="1"/>
  <c r="AZ20" i="5"/>
  <c r="BA20" i="5" a="1"/>
  <c r="BA20" i="5"/>
  <c r="BB20" i="5" a="1"/>
  <c r="BB20" i="5"/>
  <c r="BC20" i="5" a="1"/>
  <c r="BC20" i="5"/>
  <c r="BD20" i="5" a="1"/>
  <c r="BD20" i="5"/>
  <c r="BE20" i="5" a="1"/>
  <c r="BE20" i="5"/>
  <c r="BF20" i="5" a="1"/>
  <c r="BF20" i="5"/>
  <c r="BG20" i="5" a="1"/>
  <c r="BG20" i="5"/>
  <c r="BH20" i="5" a="1"/>
  <c r="BH20" i="5"/>
  <c r="BI20" i="5" a="1"/>
  <c r="BI20" i="5"/>
  <c r="BJ20" i="5" a="1"/>
  <c r="BJ20" i="5"/>
  <c r="BK20" i="5" a="1"/>
  <c r="BK20" i="5"/>
  <c r="BL20" i="5" a="1"/>
  <c r="BL20" i="5"/>
  <c r="BM20" i="5" a="1"/>
  <c r="BM20" i="5"/>
  <c r="BN20" i="5" a="1"/>
  <c r="BN20" i="5"/>
  <c r="BO20" i="5" a="1"/>
  <c r="BO20" i="5"/>
  <c r="BP20" i="5" a="1"/>
  <c r="BP20" i="5"/>
  <c r="BQ20" i="5" a="1"/>
  <c r="BQ20" i="5"/>
  <c r="BR20" i="5" a="1"/>
  <c r="BR20" i="5"/>
  <c r="BS20" i="5" a="1"/>
  <c r="BS20" i="5"/>
  <c r="BT20" i="5" a="1"/>
  <c r="BT20" i="5"/>
  <c r="BU20" i="5" a="1"/>
  <c r="BU20" i="5"/>
  <c r="BV20" i="5" a="1"/>
  <c r="BV20" i="5"/>
  <c r="BW20" i="5" a="1"/>
  <c r="BW20" i="5"/>
  <c r="BX20" i="5" a="1"/>
  <c r="BX20" i="5"/>
  <c r="BY20" i="5" a="1"/>
  <c r="BY20" i="5"/>
  <c r="BZ20" i="5" a="1"/>
  <c r="BZ20" i="5"/>
  <c r="CA20" i="5" a="1"/>
  <c r="CA20" i="5"/>
  <c r="CB20" i="5"/>
  <c r="CC20" i="5"/>
  <c r="CD20" i="5"/>
  <c r="CE20" i="5"/>
  <c r="C21" i="5" a="1"/>
  <c r="C21" i="5"/>
  <c r="D21" i="5" a="1"/>
  <c r="D21" i="5"/>
  <c r="E21" i="5" a="1"/>
  <c r="E21" i="5"/>
  <c r="F21" i="5" a="1"/>
  <c r="F21" i="5"/>
  <c r="G21" i="5" a="1"/>
  <c r="G21" i="5"/>
  <c r="H21" i="5" a="1"/>
  <c r="H21" i="5"/>
  <c r="I21" i="5" a="1"/>
  <c r="I21" i="5"/>
  <c r="J21" i="5" a="1"/>
  <c r="J21" i="5"/>
  <c r="K21" i="5" a="1"/>
  <c r="K21" i="5"/>
  <c r="L21" i="5" a="1"/>
  <c r="L21" i="5"/>
  <c r="M21" i="5" a="1"/>
  <c r="M21" i="5"/>
  <c r="N21" i="5" a="1"/>
  <c r="N21" i="5"/>
  <c r="O21" i="5" a="1"/>
  <c r="O21" i="5"/>
  <c r="P21" i="5" a="1"/>
  <c r="P21" i="5"/>
  <c r="Q21" i="5" a="1"/>
  <c r="Q21" i="5"/>
  <c r="R21" i="5" a="1"/>
  <c r="R21" i="5"/>
  <c r="S21" i="5" a="1"/>
  <c r="S21" i="5"/>
  <c r="T21" i="5" a="1"/>
  <c r="T21" i="5"/>
  <c r="U21" i="5" a="1"/>
  <c r="U21" i="5"/>
  <c r="V21" i="5" a="1"/>
  <c r="V21" i="5"/>
  <c r="W21" i="5" a="1"/>
  <c r="W21" i="5"/>
  <c r="X21" i="5" a="1"/>
  <c r="X21" i="5"/>
  <c r="Y21" i="5" a="1"/>
  <c r="Y21" i="5"/>
  <c r="Z21" i="5" a="1"/>
  <c r="Z21" i="5"/>
  <c r="AA21" i="5" a="1"/>
  <c r="AA21" i="5"/>
  <c r="AB21" i="5" a="1"/>
  <c r="AB21" i="5"/>
  <c r="AC21" i="5" a="1"/>
  <c r="AC21" i="5"/>
  <c r="AD21" i="5" a="1"/>
  <c r="AD21" i="5"/>
  <c r="AE21" i="5" a="1"/>
  <c r="AE21" i="5"/>
  <c r="AF21" i="5" a="1"/>
  <c r="AF21" i="5"/>
  <c r="AG21" i="5" a="1"/>
  <c r="AG21" i="5"/>
  <c r="AH21" i="5" a="1"/>
  <c r="AH21" i="5"/>
  <c r="AI21" i="5" a="1"/>
  <c r="AI21" i="5"/>
  <c r="AJ21" i="5" a="1"/>
  <c r="AJ21" i="5"/>
  <c r="AK21" i="5" a="1"/>
  <c r="AK21" i="5"/>
  <c r="AL21" i="5" a="1"/>
  <c r="AL21" i="5"/>
  <c r="AM21" i="5" a="1"/>
  <c r="AM21" i="5"/>
  <c r="AN21" i="5" a="1"/>
  <c r="AN21" i="5"/>
  <c r="AO21" i="5" a="1"/>
  <c r="AO21" i="5"/>
  <c r="AP21" i="5" a="1"/>
  <c r="AP21" i="5"/>
  <c r="AQ21" i="5" a="1"/>
  <c r="AQ21" i="5"/>
  <c r="AR21" i="5" a="1"/>
  <c r="AR21" i="5"/>
  <c r="AS21" i="5" a="1"/>
  <c r="AS21" i="5"/>
  <c r="AT21" i="5" a="1"/>
  <c r="AT21" i="5"/>
  <c r="AU21" i="5" a="1"/>
  <c r="AU21" i="5"/>
  <c r="AV21" i="5" a="1"/>
  <c r="AV21" i="5"/>
  <c r="AW21" i="5" a="1"/>
  <c r="AW21" i="5"/>
  <c r="AX21" i="5" a="1"/>
  <c r="AX21" i="5"/>
  <c r="AY21" i="5" a="1"/>
  <c r="AY21" i="5"/>
  <c r="AZ21" i="5" a="1"/>
  <c r="AZ21" i="5"/>
  <c r="BA21" i="5" a="1"/>
  <c r="BA21" i="5"/>
  <c r="BB21" i="5" a="1"/>
  <c r="BB21" i="5"/>
  <c r="BC21" i="5" a="1"/>
  <c r="BC21" i="5"/>
  <c r="BD21" i="5" a="1"/>
  <c r="BD21" i="5"/>
  <c r="BE21" i="5" a="1"/>
  <c r="BE21" i="5"/>
  <c r="BF21" i="5" a="1"/>
  <c r="BF21" i="5"/>
  <c r="BG21" i="5" a="1"/>
  <c r="BG21" i="5"/>
  <c r="BH21" i="5" a="1"/>
  <c r="BH21" i="5"/>
  <c r="BI21" i="5" a="1"/>
  <c r="BI21" i="5"/>
  <c r="BJ21" i="5" a="1"/>
  <c r="BJ21" i="5"/>
  <c r="BK21" i="5" a="1"/>
  <c r="BK21" i="5"/>
  <c r="BL21" i="5" a="1"/>
  <c r="BL21" i="5"/>
  <c r="BM21" i="5" a="1"/>
  <c r="BM21" i="5"/>
  <c r="BN21" i="5" a="1"/>
  <c r="BN21" i="5"/>
  <c r="BO21" i="5" a="1"/>
  <c r="BO21" i="5"/>
  <c r="BP21" i="5" a="1"/>
  <c r="BP21" i="5"/>
  <c r="BQ21" i="5" a="1"/>
  <c r="BQ21" i="5"/>
  <c r="BR21" i="5" a="1"/>
  <c r="BR21" i="5"/>
  <c r="BS21" i="5" a="1"/>
  <c r="BS21" i="5"/>
  <c r="BT21" i="5" a="1"/>
  <c r="BT21" i="5"/>
  <c r="BU21" i="5" a="1"/>
  <c r="BU21" i="5"/>
  <c r="BV21" i="5" a="1"/>
  <c r="BV21" i="5"/>
  <c r="BW21" i="5" a="1"/>
  <c r="BW21" i="5"/>
  <c r="BX21" i="5" a="1"/>
  <c r="BX21" i="5"/>
  <c r="BY21" i="5" a="1"/>
  <c r="BY21" i="5"/>
  <c r="BZ21" i="5" a="1"/>
  <c r="BZ21" i="5"/>
  <c r="CA21" i="5" a="1"/>
  <c r="CA21" i="5"/>
  <c r="CB21" i="5"/>
  <c r="CC21" i="5"/>
  <c r="CD21" i="5"/>
  <c r="CE21" i="5"/>
  <c r="C22" i="5" a="1"/>
  <c r="C22" i="5"/>
  <c r="D22" i="5" a="1"/>
  <c r="D22" i="5"/>
  <c r="E22" i="5" a="1"/>
  <c r="E22" i="5"/>
  <c r="F22" i="5" a="1"/>
  <c r="F22" i="5"/>
  <c r="G22" i="5" a="1"/>
  <c r="G22" i="5"/>
  <c r="H22" i="5" a="1"/>
  <c r="H22" i="5"/>
  <c r="I22" i="5" a="1"/>
  <c r="I22" i="5"/>
  <c r="J22" i="5" a="1"/>
  <c r="J22" i="5"/>
  <c r="K22" i="5" a="1"/>
  <c r="K22" i="5"/>
  <c r="L22" i="5" a="1"/>
  <c r="L22" i="5"/>
  <c r="M22" i="5" a="1"/>
  <c r="M22" i="5"/>
  <c r="N22" i="5" a="1"/>
  <c r="N22" i="5"/>
  <c r="O22" i="5" a="1"/>
  <c r="O22" i="5"/>
  <c r="P22" i="5" a="1"/>
  <c r="P22" i="5"/>
  <c r="Q22" i="5" a="1"/>
  <c r="Q22" i="5"/>
  <c r="R22" i="5" a="1"/>
  <c r="R22" i="5"/>
  <c r="S22" i="5" a="1"/>
  <c r="S22" i="5"/>
  <c r="T22" i="5" a="1"/>
  <c r="T22" i="5"/>
  <c r="U22" i="5" a="1"/>
  <c r="U22" i="5"/>
  <c r="V22" i="5" a="1"/>
  <c r="V22" i="5"/>
  <c r="W22" i="5" a="1"/>
  <c r="W22" i="5"/>
  <c r="X22" i="5" a="1"/>
  <c r="X22" i="5"/>
  <c r="Y22" i="5" a="1"/>
  <c r="Y22" i="5"/>
  <c r="Z22" i="5" a="1"/>
  <c r="Z22" i="5"/>
  <c r="AA22" i="5" a="1"/>
  <c r="AA22" i="5"/>
  <c r="AB22" i="5" a="1"/>
  <c r="AB22" i="5"/>
  <c r="AC22" i="5" a="1"/>
  <c r="AC22" i="5"/>
  <c r="AD22" i="5" a="1"/>
  <c r="AD22" i="5"/>
  <c r="AE22" i="5" a="1"/>
  <c r="AE22" i="5"/>
  <c r="AF22" i="5" a="1"/>
  <c r="AF22" i="5"/>
  <c r="AG22" i="5" a="1"/>
  <c r="AG22" i="5"/>
  <c r="AH22" i="5" a="1"/>
  <c r="AH22" i="5"/>
  <c r="AI22" i="5" a="1"/>
  <c r="AI22" i="5"/>
  <c r="AJ22" i="5" a="1"/>
  <c r="AJ22" i="5"/>
  <c r="AK22" i="5" a="1"/>
  <c r="AK22" i="5"/>
  <c r="AL22" i="5" a="1"/>
  <c r="AL22" i="5"/>
  <c r="AM22" i="5" a="1"/>
  <c r="AM22" i="5"/>
  <c r="AN22" i="5" a="1"/>
  <c r="AN22" i="5"/>
  <c r="AO22" i="5" a="1"/>
  <c r="AO22" i="5"/>
  <c r="AP22" i="5" a="1"/>
  <c r="AP22" i="5"/>
  <c r="AQ22" i="5" a="1"/>
  <c r="AQ22" i="5"/>
  <c r="AR22" i="5" a="1"/>
  <c r="AR22" i="5"/>
  <c r="AS22" i="5" a="1"/>
  <c r="AS22" i="5"/>
  <c r="AT22" i="5" a="1"/>
  <c r="AT22" i="5"/>
  <c r="AU22" i="5" a="1"/>
  <c r="AU22" i="5"/>
  <c r="AV22" i="5" a="1"/>
  <c r="AV22" i="5"/>
  <c r="AW22" i="5" a="1"/>
  <c r="AW22" i="5"/>
  <c r="AX22" i="5" a="1"/>
  <c r="AX22" i="5"/>
  <c r="AY22" i="5" a="1"/>
  <c r="AY22" i="5"/>
  <c r="AZ22" i="5" a="1"/>
  <c r="AZ22" i="5"/>
  <c r="BA22" i="5" a="1"/>
  <c r="BA22" i="5"/>
  <c r="BB22" i="5" a="1"/>
  <c r="BB22" i="5"/>
  <c r="BC22" i="5" a="1"/>
  <c r="BC22" i="5"/>
  <c r="BD22" i="5" a="1"/>
  <c r="BD22" i="5"/>
  <c r="BE22" i="5" a="1"/>
  <c r="BE22" i="5"/>
  <c r="BF22" i="5" a="1"/>
  <c r="BF22" i="5"/>
  <c r="BG22" i="5" a="1"/>
  <c r="BG22" i="5"/>
  <c r="BH22" i="5" a="1"/>
  <c r="BH22" i="5"/>
  <c r="BI22" i="5" a="1"/>
  <c r="BI22" i="5"/>
  <c r="BJ22" i="5" a="1"/>
  <c r="BJ22" i="5"/>
  <c r="BK22" i="5" a="1"/>
  <c r="BK22" i="5"/>
  <c r="BL22" i="5" a="1"/>
  <c r="BL22" i="5"/>
  <c r="BM22" i="5" a="1"/>
  <c r="BM22" i="5"/>
  <c r="BN22" i="5" a="1"/>
  <c r="BN22" i="5"/>
  <c r="BO22" i="5" a="1"/>
  <c r="BO22" i="5"/>
  <c r="BP22" i="5" a="1"/>
  <c r="BP22" i="5"/>
  <c r="BQ22" i="5" a="1"/>
  <c r="BQ22" i="5"/>
  <c r="BR22" i="5" a="1"/>
  <c r="BR22" i="5"/>
  <c r="BS22" i="5" a="1"/>
  <c r="BS22" i="5"/>
  <c r="BT22" i="5" a="1"/>
  <c r="BT22" i="5"/>
  <c r="BU22" i="5" a="1"/>
  <c r="BU22" i="5"/>
  <c r="BV22" i="5" a="1"/>
  <c r="BV22" i="5"/>
  <c r="BW22" i="5" a="1"/>
  <c r="BW22" i="5"/>
  <c r="BX22" i="5" a="1"/>
  <c r="BX22" i="5"/>
  <c r="BY22" i="5" a="1"/>
  <c r="BY22" i="5"/>
  <c r="BZ22" i="5" a="1"/>
  <c r="BZ22" i="5"/>
  <c r="CA22" i="5" a="1"/>
  <c r="CA22" i="5"/>
  <c r="CB22" i="5"/>
  <c r="CC22" i="5"/>
  <c r="CD22" i="5"/>
  <c r="CE22" i="5"/>
  <c r="C23" i="5" a="1"/>
  <c r="C23" i="5"/>
  <c r="D23" i="5" a="1"/>
  <c r="D23" i="5"/>
  <c r="E23" i="5" a="1"/>
  <c r="E23" i="5"/>
  <c r="F23" i="5" a="1"/>
  <c r="F23" i="5"/>
  <c r="G23" i="5" a="1"/>
  <c r="G23" i="5"/>
  <c r="H23" i="5" a="1"/>
  <c r="H23" i="5"/>
  <c r="I23" i="5" a="1"/>
  <c r="I23" i="5"/>
  <c r="J23" i="5" a="1"/>
  <c r="J23" i="5"/>
  <c r="K23" i="5" a="1"/>
  <c r="K23" i="5"/>
  <c r="L23" i="5" a="1"/>
  <c r="L23" i="5"/>
  <c r="M23" i="5" a="1"/>
  <c r="M23" i="5"/>
  <c r="N23" i="5" a="1"/>
  <c r="N23" i="5"/>
  <c r="O23" i="5" a="1"/>
  <c r="O23" i="5"/>
  <c r="P23" i="5" a="1"/>
  <c r="P23" i="5"/>
  <c r="Q23" i="5" a="1"/>
  <c r="Q23" i="5"/>
  <c r="R23" i="5" a="1"/>
  <c r="R23" i="5"/>
  <c r="S23" i="5" a="1"/>
  <c r="S23" i="5"/>
  <c r="T23" i="5" a="1"/>
  <c r="T23" i="5"/>
  <c r="U23" i="5" a="1"/>
  <c r="U23" i="5"/>
  <c r="V23" i="5" a="1"/>
  <c r="V23" i="5"/>
  <c r="W23" i="5" a="1"/>
  <c r="W23" i="5"/>
  <c r="X23" i="5" a="1"/>
  <c r="X23" i="5"/>
  <c r="Y23" i="5" a="1"/>
  <c r="Y23" i="5"/>
  <c r="Z23" i="5" a="1"/>
  <c r="Z23" i="5"/>
  <c r="AA23" i="5" a="1"/>
  <c r="AA23" i="5"/>
  <c r="AB23" i="5" a="1"/>
  <c r="AB23" i="5"/>
  <c r="AC23" i="5" a="1"/>
  <c r="AC23" i="5"/>
  <c r="AD23" i="5" a="1"/>
  <c r="AD23" i="5"/>
  <c r="AE23" i="5" a="1"/>
  <c r="AE23" i="5"/>
  <c r="AF23" i="5" a="1"/>
  <c r="AF23" i="5"/>
  <c r="AG23" i="5" a="1"/>
  <c r="AG23" i="5"/>
  <c r="AH23" i="5" a="1"/>
  <c r="AH23" i="5"/>
  <c r="AI23" i="5" a="1"/>
  <c r="AI23" i="5"/>
  <c r="AJ23" i="5" a="1"/>
  <c r="AJ23" i="5"/>
  <c r="AK23" i="5" a="1"/>
  <c r="AK23" i="5"/>
  <c r="AL23" i="5" a="1"/>
  <c r="AL23" i="5"/>
  <c r="AM23" i="5" a="1"/>
  <c r="AM23" i="5"/>
  <c r="AN23" i="5" a="1"/>
  <c r="AN23" i="5"/>
  <c r="AO23" i="5" a="1"/>
  <c r="AO23" i="5"/>
  <c r="AP23" i="5" a="1"/>
  <c r="AP23" i="5"/>
  <c r="AQ23" i="5" a="1"/>
  <c r="AQ23" i="5"/>
  <c r="AR23" i="5" a="1"/>
  <c r="AR23" i="5"/>
  <c r="AS23" i="5" a="1"/>
  <c r="AS23" i="5"/>
  <c r="AT23" i="5" a="1"/>
  <c r="AT23" i="5"/>
  <c r="AU23" i="5" a="1"/>
  <c r="AU23" i="5"/>
  <c r="AV23" i="5" a="1"/>
  <c r="AV23" i="5"/>
  <c r="AW23" i="5" a="1"/>
  <c r="AW23" i="5"/>
  <c r="AX23" i="5" a="1"/>
  <c r="AX23" i="5"/>
  <c r="AY23" i="5" a="1"/>
  <c r="AY23" i="5"/>
  <c r="AZ23" i="5" a="1"/>
  <c r="AZ23" i="5"/>
  <c r="BA23" i="5" a="1"/>
  <c r="BA23" i="5"/>
  <c r="BB23" i="5" a="1"/>
  <c r="BB23" i="5"/>
  <c r="BC23" i="5" a="1"/>
  <c r="BC23" i="5"/>
  <c r="BD23" i="5" a="1"/>
  <c r="BD23" i="5"/>
  <c r="BE23" i="5" a="1"/>
  <c r="BE23" i="5"/>
  <c r="BF23" i="5" a="1"/>
  <c r="BF23" i="5"/>
  <c r="BG23" i="5" a="1"/>
  <c r="BG23" i="5"/>
  <c r="BH23" i="5" a="1"/>
  <c r="BH23" i="5"/>
  <c r="BI23" i="5" a="1"/>
  <c r="BI23" i="5"/>
  <c r="BJ23" i="5" a="1"/>
  <c r="BJ23" i="5"/>
  <c r="BK23" i="5" a="1"/>
  <c r="BK23" i="5"/>
  <c r="BL23" i="5" a="1"/>
  <c r="BL23" i="5"/>
  <c r="BM23" i="5" a="1"/>
  <c r="BM23" i="5"/>
  <c r="BN23" i="5" a="1"/>
  <c r="BN23" i="5"/>
  <c r="BO23" i="5" a="1"/>
  <c r="BO23" i="5"/>
  <c r="BP23" i="5" a="1"/>
  <c r="BP23" i="5"/>
  <c r="BQ23" i="5" a="1"/>
  <c r="BQ23" i="5"/>
  <c r="BR23" i="5" a="1"/>
  <c r="BR23" i="5"/>
  <c r="BS23" i="5" a="1"/>
  <c r="BS23" i="5"/>
  <c r="BT23" i="5" a="1"/>
  <c r="BT23" i="5"/>
  <c r="BU23" i="5" a="1"/>
  <c r="BU23" i="5"/>
  <c r="BV23" i="5" a="1"/>
  <c r="BV23" i="5"/>
  <c r="BW23" i="5" a="1"/>
  <c r="BW23" i="5"/>
  <c r="BX23" i="5" a="1"/>
  <c r="BX23" i="5"/>
  <c r="BY23" i="5" a="1"/>
  <c r="BY23" i="5"/>
  <c r="BZ23" i="5" a="1"/>
  <c r="BZ23" i="5"/>
  <c r="CA23" i="5" a="1"/>
  <c r="CA23" i="5"/>
  <c r="CB23" i="5"/>
  <c r="CC23" i="5"/>
  <c r="CD23" i="5"/>
  <c r="CE23" i="5"/>
  <c r="C24" i="5" a="1"/>
  <c r="C24" i="5"/>
  <c r="D24" i="5" a="1"/>
  <c r="D24" i="5"/>
  <c r="E24" i="5" a="1"/>
  <c r="E24" i="5"/>
  <c r="F24" i="5" a="1"/>
  <c r="F24" i="5"/>
  <c r="G24" i="5" a="1"/>
  <c r="G24" i="5"/>
  <c r="H24" i="5" a="1"/>
  <c r="H24" i="5"/>
  <c r="I24" i="5" a="1"/>
  <c r="I24" i="5"/>
  <c r="J24" i="5" a="1"/>
  <c r="J24" i="5"/>
  <c r="K24" i="5" a="1"/>
  <c r="K24" i="5"/>
  <c r="L24" i="5" a="1"/>
  <c r="L24" i="5"/>
  <c r="M24" i="5" a="1"/>
  <c r="M24" i="5"/>
  <c r="N24" i="5" a="1"/>
  <c r="N24" i="5"/>
  <c r="O24" i="5" a="1"/>
  <c r="O24" i="5"/>
  <c r="P24" i="5" a="1"/>
  <c r="P24" i="5"/>
  <c r="Q24" i="5" a="1"/>
  <c r="Q24" i="5"/>
  <c r="R24" i="5" a="1"/>
  <c r="R24" i="5"/>
  <c r="S24" i="5" a="1"/>
  <c r="S24" i="5"/>
  <c r="T24" i="5" a="1"/>
  <c r="T24" i="5"/>
  <c r="U24" i="5" a="1"/>
  <c r="U24" i="5"/>
  <c r="V24" i="5" a="1"/>
  <c r="V24" i="5"/>
  <c r="W24" i="5" a="1"/>
  <c r="W24" i="5"/>
  <c r="X24" i="5" a="1"/>
  <c r="X24" i="5"/>
  <c r="Y24" i="5" a="1"/>
  <c r="Y24" i="5"/>
  <c r="Z24" i="5" a="1"/>
  <c r="Z24" i="5"/>
  <c r="AA24" i="5" a="1"/>
  <c r="AA24" i="5"/>
  <c r="AB24" i="5" a="1"/>
  <c r="AB24" i="5"/>
  <c r="AC24" i="5" a="1"/>
  <c r="AC24" i="5"/>
  <c r="AD24" i="5" a="1"/>
  <c r="AD24" i="5"/>
  <c r="AE24" i="5" a="1"/>
  <c r="AE24" i="5"/>
  <c r="AF24" i="5" a="1"/>
  <c r="AF24" i="5"/>
  <c r="AG24" i="5" a="1"/>
  <c r="AG24" i="5"/>
  <c r="AH24" i="5" a="1"/>
  <c r="AH24" i="5"/>
  <c r="AI24" i="5" a="1"/>
  <c r="AI24" i="5"/>
  <c r="AJ24" i="5" a="1"/>
  <c r="AJ24" i="5"/>
  <c r="AK24" i="5" a="1"/>
  <c r="AK24" i="5"/>
  <c r="AL24" i="5" a="1"/>
  <c r="AL24" i="5"/>
  <c r="AM24" i="5" a="1"/>
  <c r="AM24" i="5"/>
  <c r="AN24" i="5" a="1"/>
  <c r="AN24" i="5"/>
  <c r="AO24" i="5" a="1"/>
  <c r="AO24" i="5"/>
  <c r="AP24" i="5" a="1"/>
  <c r="AP24" i="5"/>
  <c r="AQ24" i="5" a="1"/>
  <c r="AQ24" i="5"/>
  <c r="AR24" i="5" a="1"/>
  <c r="AR24" i="5"/>
  <c r="AS24" i="5" a="1"/>
  <c r="AS24" i="5"/>
  <c r="AT24" i="5" a="1"/>
  <c r="AT24" i="5"/>
  <c r="AU24" i="5" a="1"/>
  <c r="AU24" i="5"/>
  <c r="AV24" i="5" a="1"/>
  <c r="AV24" i="5"/>
  <c r="AW24" i="5" a="1"/>
  <c r="AW24" i="5"/>
  <c r="AX24" i="5" a="1"/>
  <c r="AX24" i="5"/>
  <c r="AY24" i="5" a="1"/>
  <c r="AY24" i="5"/>
  <c r="AZ24" i="5" a="1"/>
  <c r="AZ24" i="5"/>
  <c r="BA24" i="5" a="1"/>
  <c r="BA24" i="5"/>
  <c r="BB24" i="5" a="1"/>
  <c r="BB24" i="5"/>
  <c r="BC24" i="5" a="1"/>
  <c r="BC24" i="5"/>
  <c r="BD24" i="5" a="1"/>
  <c r="BD24" i="5"/>
  <c r="BE24" i="5" a="1"/>
  <c r="BE24" i="5"/>
  <c r="BF24" i="5" a="1"/>
  <c r="BF24" i="5"/>
  <c r="BG24" i="5" a="1"/>
  <c r="BG24" i="5"/>
  <c r="BH24" i="5" a="1"/>
  <c r="BH24" i="5"/>
  <c r="BI24" i="5" a="1"/>
  <c r="BI24" i="5"/>
  <c r="BJ24" i="5" a="1"/>
  <c r="BJ24" i="5"/>
  <c r="BK24" i="5" a="1"/>
  <c r="BK24" i="5"/>
  <c r="BL24" i="5" a="1"/>
  <c r="BL24" i="5"/>
  <c r="BM24" i="5" a="1"/>
  <c r="BM24" i="5"/>
  <c r="BN24" i="5" a="1"/>
  <c r="BN24" i="5"/>
  <c r="BO24" i="5" a="1"/>
  <c r="BO24" i="5"/>
  <c r="BP24" i="5" a="1"/>
  <c r="BP24" i="5"/>
  <c r="BQ24" i="5" a="1"/>
  <c r="BQ24" i="5"/>
  <c r="BR24" i="5" a="1"/>
  <c r="BR24" i="5"/>
  <c r="BS24" i="5" a="1"/>
  <c r="BS24" i="5"/>
  <c r="BT24" i="5" a="1"/>
  <c r="BT24" i="5"/>
  <c r="BU24" i="5" a="1"/>
  <c r="BU24" i="5"/>
  <c r="BV24" i="5" a="1"/>
  <c r="BV24" i="5"/>
  <c r="BW24" i="5" a="1"/>
  <c r="BW24" i="5"/>
  <c r="BX24" i="5" a="1"/>
  <c r="BX24" i="5"/>
  <c r="BY24" i="5" a="1"/>
  <c r="BY24" i="5"/>
  <c r="BZ24" i="5" a="1"/>
  <c r="BZ24" i="5"/>
  <c r="CA24" i="5" a="1"/>
  <c r="CA24" i="5"/>
  <c r="CB24" i="5"/>
  <c r="CC24" i="5"/>
  <c r="CD24" i="5"/>
  <c r="CE24" i="5"/>
  <c r="C25" i="5" a="1"/>
  <c r="C25" i="5"/>
  <c r="D25" i="5" a="1"/>
  <c r="D25" i="5"/>
  <c r="E25" i="5" a="1"/>
  <c r="E25" i="5"/>
  <c r="F25" i="5" a="1"/>
  <c r="F25" i="5"/>
  <c r="G25" i="5" a="1"/>
  <c r="G25" i="5"/>
  <c r="H25" i="5" a="1"/>
  <c r="H25" i="5"/>
  <c r="I25" i="5" a="1"/>
  <c r="I25" i="5"/>
  <c r="J25" i="5" a="1"/>
  <c r="J25" i="5"/>
  <c r="K25" i="5" a="1"/>
  <c r="K25" i="5"/>
  <c r="L25" i="5" a="1"/>
  <c r="L25" i="5"/>
  <c r="M25" i="5" a="1"/>
  <c r="M25" i="5"/>
  <c r="N25" i="5" a="1"/>
  <c r="N25" i="5"/>
  <c r="O25" i="5" a="1"/>
  <c r="O25" i="5"/>
  <c r="P25" i="5" a="1"/>
  <c r="P25" i="5"/>
  <c r="Q25" i="5" a="1"/>
  <c r="Q25" i="5"/>
  <c r="R25" i="5" a="1"/>
  <c r="R25" i="5"/>
  <c r="S25" i="5" a="1"/>
  <c r="S25" i="5"/>
  <c r="T25" i="5" a="1"/>
  <c r="T25" i="5"/>
  <c r="U25" i="5" a="1"/>
  <c r="U25" i="5"/>
  <c r="V25" i="5" a="1"/>
  <c r="V25" i="5"/>
  <c r="W25" i="5" a="1"/>
  <c r="W25" i="5"/>
  <c r="X25" i="5" a="1"/>
  <c r="X25" i="5"/>
  <c r="Y25" i="5" a="1"/>
  <c r="Y25" i="5"/>
  <c r="Z25" i="5" a="1"/>
  <c r="Z25" i="5"/>
  <c r="AA25" i="5" a="1"/>
  <c r="AA25" i="5"/>
  <c r="AB25" i="5" a="1"/>
  <c r="AB25" i="5"/>
  <c r="AC25" i="5" a="1"/>
  <c r="AC25" i="5"/>
  <c r="AD25" i="5" a="1"/>
  <c r="AD25" i="5"/>
  <c r="AE25" i="5" a="1"/>
  <c r="AE25" i="5"/>
  <c r="AF25" i="5" a="1"/>
  <c r="AF25" i="5"/>
  <c r="AG25" i="5" a="1"/>
  <c r="AG25" i="5"/>
  <c r="AH25" i="5" a="1"/>
  <c r="AH25" i="5"/>
  <c r="AI25" i="5" a="1"/>
  <c r="AI25" i="5"/>
  <c r="AJ25" i="5" a="1"/>
  <c r="AJ25" i="5"/>
  <c r="AK25" i="5" a="1"/>
  <c r="AK25" i="5"/>
  <c r="AL25" i="5" a="1"/>
  <c r="AL25" i="5"/>
  <c r="AM25" i="5" a="1"/>
  <c r="AM25" i="5"/>
  <c r="AN25" i="5" a="1"/>
  <c r="AN25" i="5"/>
  <c r="AO25" i="5" a="1"/>
  <c r="AO25" i="5"/>
  <c r="AP25" i="5" a="1"/>
  <c r="AP25" i="5"/>
  <c r="AQ25" i="5" a="1"/>
  <c r="AQ25" i="5"/>
  <c r="AR25" i="5" a="1"/>
  <c r="AR25" i="5"/>
  <c r="AS25" i="5" a="1"/>
  <c r="AS25" i="5"/>
  <c r="AT25" i="5" a="1"/>
  <c r="AT25" i="5"/>
  <c r="AU25" i="5" a="1"/>
  <c r="AU25" i="5"/>
  <c r="AV25" i="5" a="1"/>
  <c r="AV25" i="5"/>
  <c r="AW25" i="5" a="1"/>
  <c r="AW25" i="5"/>
  <c r="AX25" i="5" a="1"/>
  <c r="AX25" i="5"/>
  <c r="AY25" i="5" a="1"/>
  <c r="AY25" i="5"/>
  <c r="AZ25" i="5" a="1"/>
  <c r="AZ25" i="5"/>
  <c r="BA25" i="5" a="1"/>
  <c r="BA25" i="5"/>
  <c r="BB25" i="5" a="1"/>
  <c r="BB25" i="5"/>
  <c r="BC25" i="5" a="1"/>
  <c r="BC25" i="5"/>
  <c r="BD25" i="5" a="1"/>
  <c r="BD25" i="5"/>
  <c r="BE25" i="5" a="1"/>
  <c r="BE25" i="5"/>
  <c r="BF25" i="5" a="1"/>
  <c r="BF25" i="5"/>
  <c r="BG25" i="5" a="1"/>
  <c r="BG25" i="5"/>
  <c r="BH25" i="5" a="1"/>
  <c r="BH25" i="5"/>
  <c r="BI25" i="5" a="1"/>
  <c r="BI25" i="5"/>
  <c r="BJ25" i="5" a="1"/>
  <c r="BJ25" i="5"/>
  <c r="BK25" i="5" a="1"/>
  <c r="BK25" i="5"/>
  <c r="BL25" i="5" a="1"/>
  <c r="BL25" i="5"/>
  <c r="BM25" i="5" a="1"/>
  <c r="BM25" i="5"/>
  <c r="BN25" i="5" a="1"/>
  <c r="BN25" i="5"/>
  <c r="BO25" i="5" a="1"/>
  <c r="BO25" i="5"/>
  <c r="BP25" i="5" a="1"/>
  <c r="BP25" i="5"/>
  <c r="BQ25" i="5" a="1"/>
  <c r="BQ25" i="5"/>
  <c r="BR25" i="5" a="1"/>
  <c r="BR25" i="5"/>
  <c r="BS25" i="5" a="1"/>
  <c r="BS25" i="5"/>
  <c r="BT25" i="5" a="1"/>
  <c r="BT25" i="5"/>
  <c r="BU25" i="5" a="1"/>
  <c r="BU25" i="5"/>
  <c r="BV25" i="5" a="1"/>
  <c r="BV25" i="5"/>
  <c r="BW25" i="5" a="1"/>
  <c r="BW25" i="5"/>
  <c r="BX25" i="5" a="1"/>
  <c r="BX25" i="5"/>
  <c r="BY25" i="5" a="1"/>
  <c r="BY25" i="5"/>
  <c r="BZ25" i="5" a="1"/>
  <c r="BZ25" i="5"/>
  <c r="CA25" i="5" a="1"/>
  <c r="CA25" i="5"/>
  <c r="CB25" i="5"/>
  <c r="CC25" i="5"/>
  <c r="CD25" i="5"/>
  <c r="CE25" i="5"/>
  <c r="C26" i="5" a="1"/>
  <c r="C26" i="5"/>
  <c r="D26" i="5" a="1"/>
  <c r="D26" i="5"/>
  <c r="E26" i="5" a="1"/>
  <c r="E26" i="5"/>
  <c r="F26" i="5" a="1"/>
  <c r="F26" i="5"/>
  <c r="G26" i="5" a="1"/>
  <c r="G26" i="5"/>
  <c r="H26" i="5" a="1"/>
  <c r="H26" i="5"/>
  <c r="I26" i="5" a="1"/>
  <c r="I26" i="5"/>
  <c r="J26" i="5" a="1"/>
  <c r="J26" i="5"/>
  <c r="K26" i="5" a="1"/>
  <c r="K26" i="5"/>
  <c r="L26" i="5" a="1"/>
  <c r="L26" i="5"/>
  <c r="M26" i="5" a="1"/>
  <c r="M26" i="5"/>
  <c r="N26" i="5" a="1"/>
  <c r="N26" i="5"/>
  <c r="O26" i="5" a="1"/>
  <c r="O26" i="5"/>
  <c r="P26" i="5" a="1"/>
  <c r="P26" i="5"/>
  <c r="Q26" i="5" a="1"/>
  <c r="Q26" i="5"/>
  <c r="R26" i="5" a="1"/>
  <c r="R26" i="5"/>
  <c r="S26" i="5" a="1"/>
  <c r="S26" i="5"/>
  <c r="T26" i="5" a="1"/>
  <c r="T26" i="5"/>
  <c r="U26" i="5" a="1"/>
  <c r="U26" i="5"/>
  <c r="V26" i="5" a="1"/>
  <c r="V26" i="5"/>
  <c r="W26" i="5" a="1"/>
  <c r="W26" i="5"/>
  <c r="X26" i="5" a="1"/>
  <c r="X26" i="5"/>
  <c r="Y26" i="5" a="1"/>
  <c r="Y26" i="5"/>
  <c r="Z26" i="5" a="1"/>
  <c r="Z26" i="5"/>
  <c r="AA26" i="5" a="1"/>
  <c r="AA26" i="5"/>
  <c r="AB26" i="5" a="1"/>
  <c r="AB26" i="5"/>
  <c r="AC26" i="5" a="1"/>
  <c r="AC26" i="5"/>
  <c r="AD26" i="5" a="1"/>
  <c r="AD26" i="5"/>
  <c r="AE26" i="5" a="1"/>
  <c r="AE26" i="5"/>
  <c r="AF26" i="5" a="1"/>
  <c r="AF26" i="5"/>
  <c r="AG26" i="5" a="1"/>
  <c r="AG26" i="5"/>
  <c r="AH26" i="5" a="1"/>
  <c r="AH26" i="5"/>
  <c r="AI26" i="5" a="1"/>
  <c r="AI26" i="5"/>
  <c r="AJ26" i="5" a="1"/>
  <c r="AJ26" i="5"/>
  <c r="AK26" i="5" a="1"/>
  <c r="AK26" i="5"/>
  <c r="AL26" i="5" a="1"/>
  <c r="AL26" i="5"/>
  <c r="AM26" i="5" a="1"/>
  <c r="AM26" i="5"/>
  <c r="AN26" i="5" a="1"/>
  <c r="AN26" i="5"/>
  <c r="AO26" i="5" a="1"/>
  <c r="AO26" i="5"/>
  <c r="AP26" i="5" a="1"/>
  <c r="AP26" i="5"/>
  <c r="AQ26" i="5" a="1"/>
  <c r="AQ26" i="5"/>
  <c r="AR26" i="5" a="1"/>
  <c r="AR26" i="5"/>
  <c r="AS26" i="5" a="1"/>
  <c r="AS26" i="5"/>
  <c r="AT26" i="5" a="1"/>
  <c r="AT26" i="5"/>
  <c r="AU26" i="5" a="1"/>
  <c r="AU26" i="5"/>
  <c r="AV26" i="5" a="1"/>
  <c r="AV26" i="5"/>
  <c r="AW26" i="5" a="1"/>
  <c r="AW26" i="5"/>
  <c r="AX26" i="5" a="1"/>
  <c r="AX26" i="5"/>
  <c r="AY26" i="5" a="1"/>
  <c r="AY26" i="5"/>
  <c r="AZ26" i="5" a="1"/>
  <c r="AZ26" i="5"/>
  <c r="BA26" i="5" a="1"/>
  <c r="BA26" i="5"/>
  <c r="BB26" i="5" a="1"/>
  <c r="BB26" i="5"/>
  <c r="BC26" i="5" a="1"/>
  <c r="BC26" i="5"/>
  <c r="BD26" i="5" a="1"/>
  <c r="BD26" i="5"/>
  <c r="BE26" i="5" a="1"/>
  <c r="BE26" i="5"/>
  <c r="BF26" i="5" a="1"/>
  <c r="BF26" i="5"/>
  <c r="BG26" i="5" a="1"/>
  <c r="BG26" i="5"/>
  <c r="BH26" i="5" a="1"/>
  <c r="BH26" i="5"/>
  <c r="BI26" i="5" a="1"/>
  <c r="BI26" i="5"/>
  <c r="BJ26" i="5" a="1"/>
  <c r="BJ26" i="5"/>
  <c r="BK26" i="5" a="1"/>
  <c r="BK26" i="5"/>
  <c r="BL26" i="5" a="1"/>
  <c r="BL26" i="5"/>
  <c r="BM26" i="5" a="1"/>
  <c r="BM26" i="5"/>
  <c r="BN26" i="5" a="1"/>
  <c r="BN26" i="5"/>
  <c r="BO26" i="5" a="1"/>
  <c r="BO26" i="5"/>
  <c r="BP26" i="5" a="1"/>
  <c r="BP26" i="5"/>
  <c r="BQ26" i="5" a="1"/>
  <c r="BQ26" i="5"/>
  <c r="BR26" i="5" a="1"/>
  <c r="BR26" i="5"/>
  <c r="BS26" i="5" a="1"/>
  <c r="BS26" i="5"/>
  <c r="BT26" i="5" a="1"/>
  <c r="BT26" i="5"/>
  <c r="BU26" i="5" a="1"/>
  <c r="BU26" i="5"/>
  <c r="BV26" i="5" a="1"/>
  <c r="BV26" i="5"/>
  <c r="BW26" i="5" a="1"/>
  <c r="BW26" i="5"/>
  <c r="BX26" i="5" a="1"/>
  <c r="BX26" i="5"/>
  <c r="BY26" i="5" a="1"/>
  <c r="BY26" i="5"/>
  <c r="BZ26" i="5" a="1"/>
  <c r="BZ26" i="5"/>
  <c r="CA26" i="5" a="1"/>
  <c r="CA26" i="5"/>
  <c r="CB26" i="5"/>
  <c r="CC26" i="5"/>
  <c r="CD26" i="5"/>
  <c r="CE26" i="5"/>
  <c r="C27" i="5" a="1"/>
  <c r="C27" i="5"/>
  <c r="D27" i="5" a="1"/>
  <c r="D27" i="5"/>
  <c r="E27" i="5" a="1"/>
  <c r="E27" i="5"/>
  <c r="F27" i="5" a="1"/>
  <c r="F27" i="5"/>
  <c r="G27" i="5" a="1"/>
  <c r="G27" i="5"/>
  <c r="H27" i="5" a="1"/>
  <c r="H27" i="5"/>
  <c r="I27" i="5" a="1"/>
  <c r="I27" i="5"/>
  <c r="J27" i="5" a="1"/>
  <c r="J27" i="5"/>
  <c r="K27" i="5" a="1"/>
  <c r="K27" i="5"/>
  <c r="L27" i="5" a="1"/>
  <c r="L27" i="5"/>
  <c r="M27" i="5" a="1"/>
  <c r="M27" i="5"/>
  <c r="N27" i="5" a="1"/>
  <c r="N27" i="5"/>
  <c r="O27" i="5" a="1"/>
  <c r="O27" i="5"/>
  <c r="P27" i="5" a="1"/>
  <c r="P27" i="5"/>
  <c r="Q27" i="5" a="1"/>
  <c r="Q27" i="5"/>
  <c r="R27" i="5" a="1"/>
  <c r="R27" i="5"/>
  <c r="S27" i="5" a="1"/>
  <c r="S27" i="5"/>
  <c r="T27" i="5" a="1"/>
  <c r="T27" i="5"/>
  <c r="U27" i="5" a="1"/>
  <c r="U27" i="5"/>
  <c r="V27" i="5" a="1"/>
  <c r="V27" i="5"/>
  <c r="W27" i="5" a="1"/>
  <c r="W27" i="5"/>
  <c r="X27" i="5" a="1"/>
  <c r="X27" i="5"/>
  <c r="Y27" i="5" a="1"/>
  <c r="Y27" i="5"/>
  <c r="Z27" i="5" a="1"/>
  <c r="Z27" i="5"/>
  <c r="AA27" i="5" a="1"/>
  <c r="AA27" i="5"/>
  <c r="AB27" i="5" a="1"/>
  <c r="AB27" i="5"/>
  <c r="AC27" i="5" a="1"/>
  <c r="AC27" i="5"/>
  <c r="AD27" i="5" a="1"/>
  <c r="AD27" i="5"/>
  <c r="AE27" i="5" a="1"/>
  <c r="AE27" i="5"/>
  <c r="AF27" i="5" a="1"/>
  <c r="AF27" i="5"/>
  <c r="AG27" i="5" a="1"/>
  <c r="AG27" i="5"/>
  <c r="AH27" i="5" a="1"/>
  <c r="AH27" i="5"/>
  <c r="AI27" i="5" a="1"/>
  <c r="AI27" i="5"/>
  <c r="AJ27" i="5" a="1"/>
  <c r="AJ27" i="5"/>
  <c r="AK27" i="5" a="1"/>
  <c r="AK27" i="5"/>
  <c r="AL27" i="5" a="1"/>
  <c r="AL27" i="5"/>
  <c r="AM27" i="5" a="1"/>
  <c r="AM27" i="5"/>
  <c r="AN27" i="5" a="1"/>
  <c r="AN27" i="5"/>
  <c r="AO27" i="5" a="1"/>
  <c r="AO27" i="5"/>
  <c r="AP27" i="5" a="1"/>
  <c r="AP27" i="5"/>
  <c r="AQ27" i="5" a="1"/>
  <c r="AQ27" i="5"/>
  <c r="AR27" i="5" a="1"/>
  <c r="AR27" i="5"/>
  <c r="AS27" i="5" a="1"/>
  <c r="AS27" i="5"/>
  <c r="AT27" i="5" a="1"/>
  <c r="AT27" i="5"/>
  <c r="AU27" i="5" a="1"/>
  <c r="AU27" i="5"/>
  <c r="AV27" i="5" a="1"/>
  <c r="AV27" i="5"/>
  <c r="AW27" i="5" a="1"/>
  <c r="AW27" i="5"/>
  <c r="AX27" i="5" a="1"/>
  <c r="AX27" i="5"/>
  <c r="AY27" i="5" a="1"/>
  <c r="AY27" i="5"/>
  <c r="AZ27" i="5" a="1"/>
  <c r="AZ27" i="5"/>
  <c r="BA27" i="5" a="1"/>
  <c r="BA27" i="5"/>
  <c r="BB27" i="5" a="1"/>
  <c r="BB27" i="5"/>
  <c r="BC27" i="5" a="1"/>
  <c r="BC27" i="5"/>
  <c r="BD27" i="5" a="1"/>
  <c r="BD27" i="5"/>
  <c r="BE27" i="5" a="1"/>
  <c r="BE27" i="5"/>
  <c r="BF27" i="5" a="1"/>
  <c r="BF27" i="5"/>
  <c r="BG27" i="5" a="1"/>
  <c r="BG27" i="5"/>
  <c r="BH27" i="5" a="1"/>
  <c r="BH27" i="5"/>
  <c r="BI27" i="5" a="1"/>
  <c r="BI27" i="5"/>
  <c r="BJ27" i="5" a="1"/>
  <c r="BJ27" i="5"/>
  <c r="BK27" i="5" a="1"/>
  <c r="BK27" i="5"/>
  <c r="BL27" i="5" a="1"/>
  <c r="BL27" i="5"/>
  <c r="BM27" i="5" a="1"/>
  <c r="BM27" i="5"/>
  <c r="BN27" i="5" a="1"/>
  <c r="BN27" i="5"/>
  <c r="BO27" i="5" a="1"/>
  <c r="BO27" i="5"/>
  <c r="BP27" i="5" a="1"/>
  <c r="BP27" i="5"/>
  <c r="BQ27" i="5" a="1"/>
  <c r="BQ27" i="5"/>
  <c r="BR27" i="5" a="1"/>
  <c r="BR27" i="5"/>
  <c r="BS27" i="5" a="1"/>
  <c r="BS27" i="5"/>
  <c r="BT27" i="5" a="1"/>
  <c r="BT27" i="5"/>
  <c r="BU27" i="5" a="1"/>
  <c r="BU27" i="5"/>
  <c r="BV27" i="5" a="1"/>
  <c r="BV27" i="5"/>
  <c r="BW27" i="5" a="1"/>
  <c r="BW27" i="5"/>
  <c r="BX27" i="5" a="1"/>
  <c r="BX27" i="5"/>
  <c r="BY27" i="5" a="1"/>
  <c r="BY27" i="5"/>
  <c r="BZ27" i="5" a="1"/>
  <c r="BZ27" i="5"/>
  <c r="CA27" i="5" a="1"/>
  <c r="CA27" i="5"/>
  <c r="CB27" i="5"/>
  <c r="CC27" i="5"/>
  <c r="CD27" i="5"/>
  <c r="CE27" i="5"/>
  <c r="C28" i="5" a="1"/>
  <c r="C28" i="5"/>
  <c r="D28" i="5" a="1"/>
  <c r="D28" i="5"/>
  <c r="E28" i="5" a="1"/>
  <c r="E28" i="5"/>
  <c r="F28" i="5" a="1"/>
  <c r="F28" i="5"/>
  <c r="G28" i="5" a="1"/>
  <c r="G28" i="5"/>
  <c r="H28" i="5" a="1"/>
  <c r="H28" i="5"/>
  <c r="I28" i="5" a="1"/>
  <c r="I28" i="5"/>
  <c r="J28" i="5" a="1"/>
  <c r="J28" i="5"/>
  <c r="K28" i="5" a="1"/>
  <c r="K28" i="5"/>
  <c r="L28" i="5" a="1"/>
  <c r="L28" i="5"/>
  <c r="M28" i="5" a="1"/>
  <c r="M28" i="5"/>
  <c r="N28" i="5" a="1"/>
  <c r="N28" i="5"/>
  <c r="O28" i="5" a="1"/>
  <c r="O28" i="5"/>
  <c r="P28" i="5" a="1"/>
  <c r="P28" i="5"/>
  <c r="Q28" i="5" a="1"/>
  <c r="Q28" i="5"/>
  <c r="R28" i="5" a="1"/>
  <c r="R28" i="5"/>
  <c r="S28" i="5" a="1"/>
  <c r="S28" i="5"/>
  <c r="T28" i="5" a="1"/>
  <c r="T28" i="5"/>
  <c r="U28" i="5" a="1"/>
  <c r="U28" i="5"/>
  <c r="V28" i="5" a="1"/>
  <c r="V28" i="5"/>
  <c r="W28" i="5" a="1"/>
  <c r="W28" i="5"/>
  <c r="X28" i="5" a="1"/>
  <c r="X28" i="5"/>
  <c r="Y28" i="5" a="1"/>
  <c r="Y28" i="5"/>
  <c r="Z28" i="5" a="1"/>
  <c r="Z28" i="5"/>
  <c r="AA28" i="5" a="1"/>
  <c r="AA28" i="5"/>
  <c r="AB28" i="5" a="1"/>
  <c r="AB28" i="5"/>
  <c r="AC28" i="5" a="1"/>
  <c r="AC28" i="5"/>
  <c r="AD28" i="5" a="1"/>
  <c r="AD28" i="5"/>
  <c r="AE28" i="5" a="1"/>
  <c r="AE28" i="5"/>
  <c r="AF28" i="5" a="1"/>
  <c r="AF28" i="5"/>
  <c r="AG28" i="5" a="1"/>
  <c r="AG28" i="5"/>
  <c r="AH28" i="5" a="1"/>
  <c r="AH28" i="5"/>
  <c r="AI28" i="5" a="1"/>
  <c r="AI28" i="5"/>
  <c r="AJ28" i="5" a="1"/>
  <c r="AJ28" i="5"/>
  <c r="AK28" i="5" a="1"/>
  <c r="AK28" i="5"/>
  <c r="AL28" i="5" a="1"/>
  <c r="AL28" i="5"/>
  <c r="AM28" i="5" a="1"/>
  <c r="AM28" i="5"/>
  <c r="AN28" i="5" a="1"/>
  <c r="AN28" i="5"/>
  <c r="AO28" i="5" a="1"/>
  <c r="AO28" i="5"/>
  <c r="AP28" i="5" a="1"/>
  <c r="AP28" i="5"/>
  <c r="AQ28" i="5" a="1"/>
  <c r="AQ28" i="5"/>
  <c r="AR28" i="5" a="1"/>
  <c r="AR28" i="5"/>
  <c r="AS28" i="5" a="1"/>
  <c r="AS28" i="5"/>
  <c r="AT28" i="5" a="1"/>
  <c r="AT28" i="5"/>
  <c r="AU28" i="5" a="1"/>
  <c r="AU28" i="5"/>
  <c r="AV28" i="5" a="1"/>
  <c r="AV28" i="5"/>
  <c r="AW28" i="5" a="1"/>
  <c r="AW28" i="5"/>
  <c r="AX28" i="5" a="1"/>
  <c r="AX28" i="5"/>
  <c r="AY28" i="5" a="1"/>
  <c r="AY28" i="5"/>
  <c r="AZ28" i="5" a="1"/>
  <c r="AZ28" i="5"/>
  <c r="BA28" i="5" a="1"/>
  <c r="BA28" i="5"/>
  <c r="BB28" i="5" a="1"/>
  <c r="BB28" i="5"/>
  <c r="BC28" i="5" a="1"/>
  <c r="BC28" i="5"/>
  <c r="BD28" i="5" a="1"/>
  <c r="BD28" i="5"/>
  <c r="BE28" i="5" a="1"/>
  <c r="BE28" i="5"/>
  <c r="BF28" i="5" a="1"/>
  <c r="BF28" i="5"/>
  <c r="BG28" i="5" a="1"/>
  <c r="BG28" i="5"/>
  <c r="BH28" i="5" a="1"/>
  <c r="BH28" i="5"/>
  <c r="BI28" i="5" a="1"/>
  <c r="BI28" i="5"/>
  <c r="BJ28" i="5" a="1"/>
  <c r="BJ28" i="5"/>
  <c r="BK28" i="5" a="1"/>
  <c r="BK28" i="5"/>
  <c r="BL28" i="5" a="1"/>
  <c r="BL28" i="5"/>
  <c r="BM28" i="5" a="1"/>
  <c r="BM28" i="5"/>
  <c r="BN28" i="5" a="1"/>
  <c r="BN28" i="5"/>
  <c r="BO28" i="5" a="1"/>
  <c r="BO28" i="5"/>
  <c r="BP28" i="5" a="1"/>
  <c r="BP28" i="5"/>
  <c r="BQ28" i="5" a="1"/>
  <c r="BQ28" i="5"/>
  <c r="BR28" i="5" a="1"/>
  <c r="BR28" i="5"/>
  <c r="BS28" i="5" a="1"/>
  <c r="BS28" i="5"/>
  <c r="BT28" i="5" a="1"/>
  <c r="BT28" i="5"/>
  <c r="BU28" i="5" a="1"/>
  <c r="BU28" i="5"/>
  <c r="BV28" i="5" a="1"/>
  <c r="BV28" i="5"/>
  <c r="BW28" i="5" a="1"/>
  <c r="BW28" i="5"/>
  <c r="BX28" i="5" a="1"/>
  <c r="BX28" i="5"/>
  <c r="BY28" i="5" a="1"/>
  <c r="BY28" i="5"/>
  <c r="BZ28" i="5" a="1"/>
  <c r="BZ28" i="5"/>
  <c r="CA28" i="5" a="1"/>
  <c r="CA28" i="5"/>
  <c r="CB28" i="5"/>
  <c r="CC28" i="5"/>
  <c r="CD28" i="5"/>
  <c r="CE28" i="5"/>
  <c r="C29" i="5" a="1"/>
  <c r="C29" i="5"/>
  <c r="D29" i="5" a="1"/>
  <c r="D29" i="5"/>
  <c r="E29" i="5" a="1"/>
  <c r="E29" i="5"/>
  <c r="F29" i="5" a="1"/>
  <c r="F29" i="5"/>
  <c r="G29" i="5" a="1"/>
  <c r="G29" i="5"/>
  <c r="H29" i="5" a="1"/>
  <c r="H29" i="5"/>
  <c r="I29" i="5" a="1"/>
  <c r="I29" i="5"/>
  <c r="J29" i="5" a="1"/>
  <c r="J29" i="5"/>
  <c r="K29" i="5" a="1"/>
  <c r="K29" i="5"/>
  <c r="L29" i="5" a="1"/>
  <c r="L29" i="5"/>
  <c r="M29" i="5" a="1"/>
  <c r="M29" i="5"/>
  <c r="N29" i="5" a="1"/>
  <c r="N29" i="5"/>
  <c r="O29" i="5" a="1"/>
  <c r="O29" i="5"/>
  <c r="P29" i="5" a="1"/>
  <c r="P29" i="5"/>
  <c r="Q29" i="5" a="1"/>
  <c r="Q29" i="5"/>
  <c r="R29" i="5" a="1"/>
  <c r="R29" i="5"/>
  <c r="S29" i="5" a="1"/>
  <c r="S29" i="5"/>
  <c r="T29" i="5" a="1"/>
  <c r="T29" i="5"/>
  <c r="U29" i="5" a="1"/>
  <c r="U29" i="5"/>
  <c r="V29" i="5" a="1"/>
  <c r="V29" i="5"/>
  <c r="W29" i="5" a="1"/>
  <c r="W29" i="5"/>
  <c r="X29" i="5" a="1"/>
  <c r="X29" i="5"/>
  <c r="Y29" i="5" a="1"/>
  <c r="Y29" i="5"/>
  <c r="Z29" i="5" a="1"/>
  <c r="Z29" i="5"/>
  <c r="AA29" i="5" a="1"/>
  <c r="AA29" i="5"/>
  <c r="AB29" i="5" a="1"/>
  <c r="AB29" i="5"/>
  <c r="AC29" i="5" a="1"/>
  <c r="AC29" i="5"/>
  <c r="AD29" i="5" a="1"/>
  <c r="AD29" i="5"/>
  <c r="AE29" i="5" a="1"/>
  <c r="AE29" i="5"/>
  <c r="AF29" i="5" a="1"/>
  <c r="AF29" i="5"/>
  <c r="AG29" i="5" a="1"/>
  <c r="AG29" i="5"/>
  <c r="AH29" i="5" a="1"/>
  <c r="AH29" i="5"/>
  <c r="AI29" i="5" a="1"/>
  <c r="AI29" i="5"/>
  <c r="AJ29" i="5" a="1"/>
  <c r="AJ29" i="5"/>
  <c r="AK29" i="5" a="1"/>
  <c r="AK29" i="5"/>
  <c r="AL29" i="5" a="1"/>
  <c r="AL29" i="5"/>
  <c r="AM29" i="5" a="1"/>
  <c r="AM29" i="5"/>
  <c r="AN29" i="5" a="1"/>
  <c r="AN29" i="5"/>
  <c r="AO29" i="5" a="1"/>
  <c r="AO29" i="5"/>
  <c r="AP29" i="5" a="1"/>
  <c r="AP29" i="5"/>
  <c r="AQ29" i="5" a="1"/>
  <c r="AQ29" i="5"/>
  <c r="AR29" i="5" a="1"/>
  <c r="AR29" i="5"/>
  <c r="AS29" i="5" a="1"/>
  <c r="AS29" i="5"/>
  <c r="AT29" i="5" a="1"/>
  <c r="AT29" i="5"/>
  <c r="AU29" i="5" a="1"/>
  <c r="AU29" i="5"/>
  <c r="AV29" i="5" a="1"/>
  <c r="AV29" i="5"/>
  <c r="AW29" i="5" a="1"/>
  <c r="AW29" i="5"/>
  <c r="AX29" i="5" a="1"/>
  <c r="AX29" i="5"/>
  <c r="AY29" i="5" a="1"/>
  <c r="AY29" i="5"/>
  <c r="AZ29" i="5" a="1"/>
  <c r="AZ29" i="5"/>
  <c r="BA29" i="5" a="1"/>
  <c r="BA29" i="5"/>
  <c r="BB29" i="5" a="1"/>
  <c r="BB29" i="5"/>
  <c r="BC29" i="5" a="1"/>
  <c r="BC29" i="5"/>
  <c r="BD29" i="5" a="1"/>
  <c r="BD29" i="5"/>
  <c r="BE29" i="5" a="1"/>
  <c r="BE29" i="5"/>
  <c r="BF29" i="5" a="1"/>
  <c r="BF29" i="5"/>
  <c r="BG29" i="5" a="1"/>
  <c r="BG29" i="5"/>
  <c r="BH29" i="5" a="1"/>
  <c r="BH29" i="5"/>
  <c r="BI29" i="5" a="1"/>
  <c r="BI29" i="5"/>
  <c r="BJ29" i="5" a="1"/>
  <c r="BJ29" i="5"/>
  <c r="BK29" i="5" a="1"/>
  <c r="BK29" i="5"/>
  <c r="BL29" i="5" a="1"/>
  <c r="BL29" i="5"/>
  <c r="BM29" i="5" a="1"/>
  <c r="BM29" i="5"/>
  <c r="BN29" i="5" a="1"/>
  <c r="BN29" i="5"/>
  <c r="BO29" i="5" a="1"/>
  <c r="BO29" i="5"/>
  <c r="BP29" i="5" a="1"/>
  <c r="BP29" i="5"/>
  <c r="BQ29" i="5" a="1"/>
  <c r="BQ29" i="5"/>
  <c r="BR29" i="5" a="1"/>
  <c r="BR29" i="5"/>
  <c r="BS29" i="5" a="1"/>
  <c r="BS29" i="5"/>
  <c r="BT29" i="5" a="1"/>
  <c r="BT29" i="5"/>
  <c r="BU29" i="5" a="1"/>
  <c r="BU29" i="5"/>
  <c r="BV29" i="5" a="1"/>
  <c r="BV29" i="5"/>
  <c r="BW29" i="5" a="1"/>
  <c r="BW29" i="5"/>
  <c r="BX29" i="5" a="1"/>
  <c r="BX29" i="5"/>
  <c r="BY29" i="5" a="1"/>
  <c r="BY29" i="5"/>
  <c r="BZ29" i="5" a="1"/>
  <c r="BZ29" i="5"/>
  <c r="CA29" i="5" a="1"/>
  <c r="CA29" i="5"/>
  <c r="CB29" i="5"/>
  <c r="CC29" i="5"/>
  <c r="CD29" i="5"/>
  <c r="CE29" i="5"/>
  <c r="C30" i="5" a="1"/>
  <c r="C30" i="5"/>
  <c r="D30" i="5" a="1"/>
  <c r="D30" i="5"/>
  <c r="E30" i="5" a="1"/>
  <c r="E30" i="5"/>
  <c r="F30" i="5" a="1"/>
  <c r="F30" i="5"/>
  <c r="G30" i="5" a="1"/>
  <c r="G30" i="5"/>
  <c r="H30" i="5" a="1"/>
  <c r="H30" i="5"/>
  <c r="I30" i="5" a="1"/>
  <c r="I30" i="5"/>
  <c r="J30" i="5" a="1"/>
  <c r="J30" i="5"/>
  <c r="K30" i="5" a="1"/>
  <c r="K30" i="5"/>
  <c r="L30" i="5" a="1"/>
  <c r="L30" i="5"/>
  <c r="M30" i="5" a="1"/>
  <c r="M30" i="5"/>
  <c r="N30" i="5" a="1"/>
  <c r="N30" i="5"/>
  <c r="O30" i="5" a="1"/>
  <c r="O30" i="5"/>
  <c r="P30" i="5" a="1"/>
  <c r="P30" i="5"/>
  <c r="Q30" i="5" a="1"/>
  <c r="Q30" i="5"/>
  <c r="R30" i="5" a="1"/>
  <c r="R30" i="5"/>
  <c r="S30" i="5" a="1"/>
  <c r="S30" i="5"/>
  <c r="T30" i="5" a="1"/>
  <c r="T30" i="5"/>
  <c r="U30" i="5" a="1"/>
  <c r="U30" i="5"/>
  <c r="V30" i="5" a="1"/>
  <c r="V30" i="5"/>
  <c r="W30" i="5" a="1"/>
  <c r="W30" i="5"/>
  <c r="X30" i="5" a="1"/>
  <c r="X30" i="5"/>
  <c r="Y30" i="5" a="1"/>
  <c r="Y30" i="5"/>
  <c r="Z30" i="5" a="1"/>
  <c r="Z30" i="5"/>
  <c r="AA30" i="5" a="1"/>
  <c r="AA30" i="5"/>
  <c r="AB30" i="5" a="1"/>
  <c r="AB30" i="5"/>
  <c r="AC30" i="5" a="1"/>
  <c r="AC30" i="5"/>
  <c r="AD30" i="5" a="1"/>
  <c r="AD30" i="5"/>
  <c r="AE30" i="5" a="1"/>
  <c r="AE30" i="5"/>
  <c r="AF30" i="5" a="1"/>
  <c r="AF30" i="5"/>
  <c r="AG30" i="5" a="1"/>
  <c r="AG30" i="5"/>
  <c r="AH30" i="5" a="1"/>
  <c r="AH30" i="5"/>
  <c r="AI30" i="5" a="1"/>
  <c r="AI30" i="5"/>
  <c r="AJ30" i="5" a="1"/>
  <c r="AJ30" i="5"/>
  <c r="AK30" i="5" a="1"/>
  <c r="AK30" i="5"/>
  <c r="AL30" i="5" a="1"/>
  <c r="AL30" i="5"/>
  <c r="AM30" i="5" a="1"/>
  <c r="AM30" i="5"/>
  <c r="AN30" i="5" a="1"/>
  <c r="AN30" i="5"/>
  <c r="AO30" i="5" a="1"/>
  <c r="AO30" i="5"/>
  <c r="AP30" i="5" a="1"/>
  <c r="AP30" i="5"/>
  <c r="AQ30" i="5" a="1"/>
  <c r="AQ30" i="5"/>
  <c r="AR30" i="5" a="1"/>
  <c r="AR30" i="5"/>
  <c r="AS30" i="5" a="1"/>
  <c r="AS30" i="5"/>
  <c r="AT30" i="5" a="1"/>
  <c r="AT30" i="5"/>
  <c r="AU30" i="5" a="1"/>
  <c r="AU30" i="5"/>
  <c r="AV30" i="5" a="1"/>
  <c r="AV30" i="5"/>
  <c r="AW30" i="5" a="1"/>
  <c r="AW30" i="5"/>
  <c r="AX30" i="5" a="1"/>
  <c r="AX30" i="5"/>
  <c r="AY30" i="5" a="1"/>
  <c r="AY30" i="5"/>
  <c r="AZ30" i="5" a="1"/>
  <c r="AZ30" i="5"/>
  <c r="BA30" i="5" a="1"/>
  <c r="BA30" i="5"/>
  <c r="BB30" i="5" a="1"/>
  <c r="BB30" i="5"/>
  <c r="BC30" i="5" a="1"/>
  <c r="BC30" i="5"/>
  <c r="BD30" i="5" a="1"/>
  <c r="BD30" i="5"/>
  <c r="BE30" i="5" a="1"/>
  <c r="BE30" i="5"/>
  <c r="BF30" i="5" a="1"/>
  <c r="BF30" i="5"/>
  <c r="BG30" i="5" a="1"/>
  <c r="BG30" i="5"/>
  <c r="BH30" i="5" a="1"/>
  <c r="BH30" i="5"/>
  <c r="BI30" i="5" a="1"/>
  <c r="BI30" i="5"/>
  <c r="BJ30" i="5" a="1"/>
  <c r="BJ30" i="5"/>
  <c r="BK30" i="5" a="1"/>
  <c r="BK30" i="5"/>
  <c r="BL30" i="5" a="1"/>
  <c r="BL30" i="5"/>
  <c r="BM30" i="5" a="1"/>
  <c r="BM30" i="5"/>
  <c r="BN30" i="5" a="1"/>
  <c r="BN30" i="5"/>
  <c r="BO30" i="5" a="1"/>
  <c r="BO30" i="5"/>
  <c r="BP30" i="5" a="1"/>
  <c r="BP30" i="5"/>
  <c r="BQ30" i="5" a="1"/>
  <c r="BQ30" i="5"/>
  <c r="BR30" i="5" a="1"/>
  <c r="BR30" i="5"/>
  <c r="BS30" i="5" a="1"/>
  <c r="BS30" i="5"/>
  <c r="BT30" i="5" a="1"/>
  <c r="BT30" i="5"/>
  <c r="BU30" i="5" a="1"/>
  <c r="BU30" i="5"/>
  <c r="BV30" i="5" a="1"/>
  <c r="BV30" i="5"/>
  <c r="BW30" i="5" a="1"/>
  <c r="BW30" i="5"/>
  <c r="BX30" i="5" a="1"/>
  <c r="BX30" i="5"/>
  <c r="BY30" i="5" a="1"/>
  <c r="BY30" i="5"/>
  <c r="BZ30" i="5" a="1"/>
  <c r="BZ30" i="5"/>
  <c r="CA30" i="5" a="1"/>
  <c r="CA30" i="5"/>
  <c r="CB30" i="5"/>
  <c r="CC30" i="5"/>
  <c r="CD30" i="5"/>
  <c r="CE30" i="5"/>
  <c r="C31" i="5" a="1"/>
  <c r="C31" i="5"/>
  <c r="D31" i="5" a="1"/>
  <c r="D31" i="5"/>
  <c r="E31" i="5" a="1"/>
  <c r="E31" i="5"/>
  <c r="F31" i="5" a="1"/>
  <c r="F31" i="5"/>
  <c r="G31" i="5" a="1"/>
  <c r="G31" i="5"/>
  <c r="H31" i="5" a="1"/>
  <c r="H31" i="5"/>
  <c r="I31" i="5" a="1"/>
  <c r="I31" i="5"/>
  <c r="J31" i="5" a="1"/>
  <c r="J31" i="5"/>
  <c r="K31" i="5" a="1"/>
  <c r="K31" i="5"/>
  <c r="L31" i="5" a="1"/>
  <c r="L31" i="5"/>
  <c r="M31" i="5" a="1"/>
  <c r="M31" i="5"/>
  <c r="N31" i="5" a="1"/>
  <c r="N31" i="5"/>
  <c r="O31" i="5" a="1"/>
  <c r="O31" i="5"/>
  <c r="P31" i="5" a="1"/>
  <c r="P31" i="5"/>
  <c r="Q31" i="5" a="1"/>
  <c r="Q31" i="5"/>
  <c r="R31" i="5" a="1"/>
  <c r="R31" i="5"/>
  <c r="S31" i="5" a="1"/>
  <c r="S31" i="5"/>
  <c r="T31" i="5" a="1"/>
  <c r="T31" i="5"/>
  <c r="U31" i="5" a="1"/>
  <c r="U31" i="5"/>
  <c r="V31" i="5" a="1"/>
  <c r="V31" i="5"/>
  <c r="W31" i="5" a="1"/>
  <c r="W31" i="5"/>
  <c r="X31" i="5" a="1"/>
  <c r="X31" i="5"/>
  <c r="Y31" i="5" a="1"/>
  <c r="Y31" i="5"/>
  <c r="Z31" i="5" a="1"/>
  <c r="Z31" i="5"/>
  <c r="AA31" i="5" a="1"/>
  <c r="AA31" i="5"/>
  <c r="AB31" i="5" a="1"/>
  <c r="AB31" i="5"/>
  <c r="AC31" i="5" a="1"/>
  <c r="AC31" i="5"/>
  <c r="AD31" i="5" a="1"/>
  <c r="AD31" i="5"/>
  <c r="AE31" i="5" a="1"/>
  <c r="AE31" i="5"/>
  <c r="AF31" i="5" a="1"/>
  <c r="AF31" i="5"/>
  <c r="AG31" i="5" a="1"/>
  <c r="AG31" i="5"/>
  <c r="AH31" i="5" a="1"/>
  <c r="AH31" i="5"/>
  <c r="AI31" i="5" a="1"/>
  <c r="AI31" i="5"/>
  <c r="AJ31" i="5" a="1"/>
  <c r="AJ31" i="5"/>
  <c r="AK31" i="5" a="1"/>
  <c r="AK31" i="5"/>
  <c r="AL31" i="5" a="1"/>
  <c r="AL31" i="5"/>
  <c r="AM31" i="5" a="1"/>
  <c r="AM31" i="5"/>
  <c r="AN31" i="5" a="1"/>
  <c r="AN31" i="5"/>
  <c r="AO31" i="5" a="1"/>
  <c r="AO31" i="5"/>
  <c r="AP31" i="5" a="1"/>
  <c r="AP31" i="5"/>
  <c r="AQ31" i="5" a="1"/>
  <c r="AQ31" i="5"/>
  <c r="AR31" i="5" a="1"/>
  <c r="AR31" i="5"/>
  <c r="AS31" i="5" a="1"/>
  <c r="AS31" i="5"/>
  <c r="AT31" i="5" a="1"/>
  <c r="AT31" i="5"/>
  <c r="AU31" i="5" a="1"/>
  <c r="AU31" i="5"/>
  <c r="AV31" i="5" a="1"/>
  <c r="AV31" i="5"/>
  <c r="AW31" i="5" a="1"/>
  <c r="AW31" i="5"/>
  <c r="AX31" i="5" a="1"/>
  <c r="AX31" i="5"/>
  <c r="AY31" i="5" a="1"/>
  <c r="AY31" i="5"/>
  <c r="AZ31" i="5" a="1"/>
  <c r="AZ31" i="5"/>
  <c r="BA31" i="5" a="1"/>
  <c r="BA31" i="5"/>
  <c r="BB31" i="5" a="1"/>
  <c r="BB31" i="5"/>
  <c r="BC31" i="5" a="1"/>
  <c r="BC31" i="5"/>
  <c r="BD31" i="5" a="1"/>
  <c r="BD31" i="5"/>
  <c r="BE31" i="5" a="1"/>
  <c r="BE31" i="5"/>
  <c r="BF31" i="5" a="1"/>
  <c r="BF31" i="5"/>
  <c r="BG31" i="5" a="1"/>
  <c r="BG31" i="5"/>
  <c r="BH31" i="5" a="1"/>
  <c r="BH31" i="5"/>
  <c r="BI31" i="5" a="1"/>
  <c r="BI31" i="5"/>
  <c r="BJ31" i="5" a="1"/>
  <c r="BJ31" i="5"/>
  <c r="BK31" i="5" a="1"/>
  <c r="BK31" i="5"/>
  <c r="BL31" i="5" a="1"/>
  <c r="BL31" i="5"/>
  <c r="BM31" i="5" a="1"/>
  <c r="BM31" i="5"/>
  <c r="BN31" i="5" a="1"/>
  <c r="BN31" i="5"/>
  <c r="BO31" i="5" a="1"/>
  <c r="BO31" i="5"/>
  <c r="BP31" i="5" a="1"/>
  <c r="BP31" i="5"/>
  <c r="BQ31" i="5" a="1"/>
  <c r="BQ31" i="5"/>
  <c r="BR31" i="5" a="1"/>
  <c r="BR31" i="5"/>
  <c r="BS31" i="5" a="1"/>
  <c r="BS31" i="5"/>
  <c r="BT31" i="5" a="1"/>
  <c r="BT31" i="5"/>
  <c r="BU31" i="5" a="1"/>
  <c r="BU31" i="5"/>
  <c r="BV31" i="5" a="1"/>
  <c r="BV31" i="5"/>
  <c r="BW31" i="5" a="1"/>
  <c r="BW31" i="5"/>
  <c r="BX31" i="5" a="1"/>
  <c r="BX31" i="5"/>
  <c r="BY31" i="5" a="1"/>
  <c r="BY31" i="5"/>
  <c r="BZ31" i="5" a="1"/>
  <c r="BZ31" i="5"/>
  <c r="CA31" i="5" a="1"/>
  <c r="CA31" i="5"/>
  <c r="CB31" i="5"/>
  <c r="CC31" i="5"/>
  <c r="CD31" i="5"/>
  <c r="CE31" i="5"/>
  <c r="C32" i="5" a="1"/>
  <c r="C32" i="5"/>
  <c r="D32" i="5" a="1"/>
  <c r="D32" i="5"/>
  <c r="E32" i="5" a="1"/>
  <c r="E32" i="5"/>
  <c r="F32" i="5" a="1"/>
  <c r="F32" i="5"/>
  <c r="G32" i="5" a="1"/>
  <c r="G32" i="5"/>
  <c r="H32" i="5" a="1"/>
  <c r="H32" i="5"/>
  <c r="I32" i="5" a="1"/>
  <c r="I32" i="5"/>
  <c r="J32" i="5" a="1"/>
  <c r="J32" i="5"/>
  <c r="K32" i="5" a="1"/>
  <c r="K32" i="5"/>
  <c r="L32" i="5" a="1"/>
  <c r="L32" i="5"/>
  <c r="M32" i="5" a="1"/>
  <c r="M32" i="5"/>
  <c r="N32" i="5" a="1"/>
  <c r="N32" i="5"/>
  <c r="O32" i="5" a="1"/>
  <c r="O32" i="5"/>
  <c r="P32" i="5" a="1"/>
  <c r="P32" i="5"/>
  <c r="Q32" i="5" a="1"/>
  <c r="Q32" i="5"/>
  <c r="R32" i="5" a="1"/>
  <c r="R32" i="5"/>
  <c r="S32" i="5" a="1"/>
  <c r="S32" i="5"/>
  <c r="T32" i="5" a="1"/>
  <c r="T32" i="5"/>
  <c r="U32" i="5" a="1"/>
  <c r="U32" i="5"/>
  <c r="V32" i="5" a="1"/>
  <c r="V32" i="5"/>
  <c r="W32" i="5" a="1"/>
  <c r="W32" i="5"/>
  <c r="X32" i="5" a="1"/>
  <c r="X32" i="5"/>
  <c r="Y32" i="5" a="1"/>
  <c r="Y32" i="5"/>
  <c r="Z32" i="5" a="1"/>
  <c r="Z32" i="5"/>
  <c r="AA32" i="5" a="1"/>
  <c r="AA32" i="5"/>
  <c r="AB32" i="5" a="1"/>
  <c r="AB32" i="5"/>
  <c r="AC32" i="5" a="1"/>
  <c r="AC32" i="5"/>
  <c r="AD32" i="5" a="1"/>
  <c r="AD32" i="5"/>
  <c r="AE32" i="5" a="1"/>
  <c r="AE32" i="5"/>
  <c r="AF32" i="5" a="1"/>
  <c r="AF32" i="5"/>
  <c r="AG32" i="5" a="1"/>
  <c r="AG32" i="5"/>
  <c r="AH32" i="5" a="1"/>
  <c r="AH32" i="5"/>
  <c r="AI32" i="5" a="1"/>
  <c r="AI32" i="5"/>
  <c r="AJ32" i="5" a="1"/>
  <c r="AJ32" i="5"/>
  <c r="AK32" i="5" a="1"/>
  <c r="AK32" i="5"/>
  <c r="AL32" i="5" a="1"/>
  <c r="AL32" i="5"/>
  <c r="AM32" i="5" a="1"/>
  <c r="AM32" i="5"/>
  <c r="AN32" i="5" a="1"/>
  <c r="AN32" i="5"/>
  <c r="AO32" i="5" a="1"/>
  <c r="AO32" i="5"/>
  <c r="AP32" i="5" a="1"/>
  <c r="AP32" i="5"/>
  <c r="AQ32" i="5" a="1"/>
  <c r="AQ32" i="5"/>
  <c r="AR32" i="5" a="1"/>
  <c r="AR32" i="5"/>
  <c r="AS32" i="5" a="1"/>
  <c r="AS32" i="5"/>
  <c r="AT32" i="5" a="1"/>
  <c r="AT32" i="5"/>
  <c r="AU32" i="5" a="1"/>
  <c r="AU32" i="5"/>
  <c r="AV32" i="5" a="1"/>
  <c r="AV32" i="5"/>
  <c r="AW32" i="5" a="1"/>
  <c r="AW32" i="5"/>
  <c r="AX32" i="5" a="1"/>
  <c r="AX32" i="5"/>
  <c r="AY32" i="5" a="1"/>
  <c r="AY32" i="5"/>
  <c r="AZ32" i="5" a="1"/>
  <c r="AZ32" i="5"/>
  <c r="BA32" i="5" a="1"/>
  <c r="BA32" i="5"/>
  <c r="BB32" i="5" a="1"/>
  <c r="BB32" i="5"/>
  <c r="BC32" i="5" a="1"/>
  <c r="BC32" i="5"/>
  <c r="BD32" i="5" a="1"/>
  <c r="BD32" i="5"/>
  <c r="BE32" i="5" a="1"/>
  <c r="BE32" i="5"/>
  <c r="BF32" i="5" a="1"/>
  <c r="BF32" i="5"/>
  <c r="BG32" i="5" a="1"/>
  <c r="BG32" i="5"/>
  <c r="BH32" i="5" a="1"/>
  <c r="BH32" i="5"/>
  <c r="BI32" i="5" a="1"/>
  <c r="BI32" i="5"/>
  <c r="BJ32" i="5" a="1"/>
  <c r="BJ32" i="5"/>
  <c r="BK32" i="5" a="1"/>
  <c r="BK32" i="5"/>
  <c r="BL32" i="5" a="1"/>
  <c r="BL32" i="5"/>
  <c r="BM32" i="5" a="1"/>
  <c r="BM32" i="5"/>
  <c r="BN32" i="5" a="1"/>
  <c r="BN32" i="5"/>
  <c r="BO32" i="5" a="1"/>
  <c r="BO32" i="5"/>
  <c r="BP32" i="5" a="1"/>
  <c r="BP32" i="5"/>
  <c r="BQ32" i="5" a="1"/>
  <c r="BQ32" i="5"/>
  <c r="BR32" i="5" a="1"/>
  <c r="BR32" i="5"/>
  <c r="BS32" i="5" a="1"/>
  <c r="BS32" i="5"/>
  <c r="BT32" i="5" a="1"/>
  <c r="BT32" i="5"/>
  <c r="BU32" i="5" a="1"/>
  <c r="BU32" i="5"/>
  <c r="BV32" i="5" a="1"/>
  <c r="BV32" i="5"/>
  <c r="BW32" i="5" a="1"/>
  <c r="BW32" i="5"/>
  <c r="BX32" i="5" a="1"/>
  <c r="BX32" i="5"/>
  <c r="BY32" i="5" a="1"/>
  <c r="BY32" i="5"/>
  <c r="BZ32" i="5" a="1"/>
  <c r="BZ32" i="5"/>
  <c r="CA32" i="5" a="1"/>
  <c r="CA32" i="5"/>
  <c r="CB32" i="5"/>
  <c r="CC32" i="5"/>
  <c r="CD32" i="5"/>
  <c r="CE32" i="5"/>
  <c r="C33" i="5" a="1"/>
  <c r="C33" i="5"/>
  <c r="D33" i="5" a="1"/>
  <c r="D33" i="5"/>
  <c r="E33" i="5" a="1"/>
  <c r="E33" i="5"/>
  <c r="F33" i="5" a="1"/>
  <c r="F33" i="5"/>
  <c r="G33" i="5" a="1"/>
  <c r="G33" i="5"/>
  <c r="H33" i="5" a="1"/>
  <c r="H33" i="5"/>
  <c r="I33" i="5" a="1"/>
  <c r="I33" i="5"/>
  <c r="J33" i="5" a="1"/>
  <c r="J33" i="5"/>
  <c r="K33" i="5" a="1"/>
  <c r="K33" i="5"/>
  <c r="L33" i="5" a="1"/>
  <c r="L33" i="5"/>
  <c r="M33" i="5" a="1"/>
  <c r="M33" i="5"/>
  <c r="N33" i="5" a="1"/>
  <c r="N33" i="5"/>
  <c r="O33" i="5" a="1"/>
  <c r="O33" i="5"/>
  <c r="P33" i="5" a="1"/>
  <c r="P33" i="5"/>
  <c r="Q33" i="5" a="1"/>
  <c r="Q33" i="5"/>
  <c r="R33" i="5" a="1"/>
  <c r="R33" i="5"/>
  <c r="S33" i="5" a="1"/>
  <c r="S33" i="5"/>
  <c r="T33" i="5" a="1"/>
  <c r="T33" i="5"/>
  <c r="U33" i="5" a="1"/>
  <c r="U33" i="5"/>
  <c r="V33" i="5" a="1"/>
  <c r="V33" i="5"/>
  <c r="W33" i="5" a="1"/>
  <c r="W33" i="5"/>
  <c r="X33" i="5" a="1"/>
  <c r="X33" i="5"/>
  <c r="Y33" i="5" a="1"/>
  <c r="Y33" i="5"/>
  <c r="Z33" i="5" a="1"/>
  <c r="Z33" i="5"/>
  <c r="AA33" i="5" a="1"/>
  <c r="AA33" i="5"/>
  <c r="AB33" i="5" a="1"/>
  <c r="AB33" i="5"/>
  <c r="AC33" i="5" a="1"/>
  <c r="AC33" i="5"/>
  <c r="AD33" i="5" a="1"/>
  <c r="AD33" i="5"/>
  <c r="AE33" i="5" a="1"/>
  <c r="AE33" i="5"/>
  <c r="AF33" i="5" a="1"/>
  <c r="AF33" i="5"/>
  <c r="AG33" i="5" a="1"/>
  <c r="AG33" i="5"/>
  <c r="AH33" i="5" a="1"/>
  <c r="AH33" i="5"/>
  <c r="AI33" i="5" a="1"/>
  <c r="AI33" i="5"/>
  <c r="AJ33" i="5" a="1"/>
  <c r="AJ33" i="5"/>
  <c r="AK33" i="5" a="1"/>
  <c r="AK33" i="5"/>
  <c r="AL33" i="5" a="1"/>
  <c r="AL33" i="5"/>
  <c r="AM33" i="5" a="1"/>
  <c r="AM33" i="5"/>
  <c r="AN33" i="5" a="1"/>
  <c r="AN33" i="5"/>
  <c r="AO33" i="5" a="1"/>
  <c r="AO33" i="5"/>
  <c r="AP33" i="5" a="1"/>
  <c r="AP33" i="5"/>
  <c r="AQ33" i="5" a="1"/>
  <c r="AQ33" i="5"/>
  <c r="AR33" i="5" a="1"/>
  <c r="AR33" i="5"/>
  <c r="AS33" i="5" a="1"/>
  <c r="AS33" i="5"/>
  <c r="AT33" i="5" a="1"/>
  <c r="AT33" i="5"/>
  <c r="AU33" i="5" a="1"/>
  <c r="AU33" i="5"/>
  <c r="AV33" i="5" a="1"/>
  <c r="AV33" i="5"/>
  <c r="AW33" i="5" a="1"/>
  <c r="AW33" i="5"/>
  <c r="AX33" i="5" a="1"/>
  <c r="AX33" i="5"/>
  <c r="AY33" i="5" a="1"/>
  <c r="AY33" i="5"/>
  <c r="AZ33" i="5" a="1"/>
  <c r="AZ33" i="5"/>
  <c r="BA33" i="5" a="1"/>
  <c r="BA33" i="5"/>
  <c r="BB33" i="5" a="1"/>
  <c r="BB33" i="5"/>
  <c r="BC33" i="5" a="1"/>
  <c r="BC33" i="5"/>
  <c r="BD33" i="5" a="1"/>
  <c r="BD33" i="5"/>
  <c r="BE33" i="5" a="1"/>
  <c r="BE33" i="5"/>
  <c r="BF33" i="5" a="1"/>
  <c r="BF33" i="5"/>
  <c r="BG33" i="5" a="1"/>
  <c r="BG33" i="5"/>
  <c r="BH33" i="5" a="1"/>
  <c r="BH33" i="5"/>
  <c r="BI33" i="5" a="1"/>
  <c r="BI33" i="5"/>
  <c r="BJ33" i="5" a="1"/>
  <c r="BJ33" i="5"/>
  <c r="BK33" i="5" a="1"/>
  <c r="BK33" i="5"/>
  <c r="BL33" i="5" a="1"/>
  <c r="BL33" i="5"/>
  <c r="BM33" i="5" a="1"/>
  <c r="BM33" i="5"/>
  <c r="BN33" i="5" a="1"/>
  <c r="BN33" i="5"/>
  <c r="BO33" i="5" a="1"/>
  <c r="BO33" i="5"/>
  <c r="BP33" i="5" a="1"/>
  <c r="BP33" i="5"/>
  <c r="BQ33" i="5" a="1"/>
  <c r="BQ33" i="5"/>
  <c r="BR33" i="5" a="1"/>
  <c r="BR33" i="5"/>
  <c r="BS33" i="5" a="1"/>
  <c r="BS33" i="5"/>
  <c r="BT33" i="5" a="1"/>
  <c r="BT33" i="5"/>
  <c r="BU33" i="5" a="1"/>
  <c r="BU33" i="5"/>
  <c r="BV33" i="5" a="1"/>
  <c r="BV33" i="5"/>
  <c r="BW33" i="5" a="1"/>
  <c r="BW33" i="5"/>
  <c r="BX33" i="5" a="1"/>
  <c r="BX33" i="5"/>
  <c r="BY33" i="5" a="1"/>
  <c r="BY33" i="5"/>
  <c r="BZ33" i="5" a="1"/>
  <c r="BZ33" i="5"/>
  <c r="CA33" i="5" a="1"/>
  <c r="CA33" i="5"/>
  <c r="CB33" i="5"/>
  <c r="CC33" i="5"/>
  <c r="CD33" i="5"/>
  <c r="CE33" i="5"/>
  <c r="C34" i="5" a="1"/>
  <c r="C34" i="5"/>
  <c r="D34" i="5" a="1"/>
  <c r="D34" i="5"/>
  <c r="E34" i="5" a="1"/>
  <c r="E34" i="5"/>
  <c r="F34" i="5" a="1"/>
  <c r="F34" i="5"/>
  <c r="G34" i="5" a="1"/>
  <c r="G34" i="5"/>
  <c r="H34" i="5" a="1"/>
  <c r="H34" i="5"/>
  <c r="I34" i="5" a="1"/>
  <c r="I34" i="5"/>
  <c r="J34" i="5" a="1"/>
  <c r="J34" i="5"/>
  <c r="K34" i="5" a="1"/>
  <c r="K34" i="5"/>
  <c r="L34" i="5" a="1"/>
  <c r="L34" i="5"/>
  <c r="M34" i="5" a="1"/>
  <c r="M34" i="5"/>
  <c r="N34" i="5" a="1"/>
  <c r="N34" i="5"/>
  <c r="O34" i="5" a="1"/>
  <c r="O34" i="5"/>
  <c r="P34" i="5" a="1"/>
  <c r="P34" i="5"/>
  <c r="Q34" i="5" a="1"/>
  <c r="Q34" i="5"/>
  <c r="R34" i="5" a="1"/>
  <c r="R34" i="5"/>
  <c r="S34" i="5" a="1"/>
  <c r="S34" i="5"/>
  <c r="T34" i="5" a="1"/>
  <c r="T34" i="5"/>
  <c r="U34" i="5" a="1"/>
  <c r="U34" i="5"/>
  <c r="V34" i="5" a="1"/>
  <c r="V34" i="5"/>
  <c r="W34" i="5" a="1"/>
  <c r="W34" i="5"/>
  <c r="X34" i="5" a="1"/>
  <c r="X34" i="5"/>
  <c r="Y34" i="5" a="1"/>
  <c r="Y34" i="5"/>
  <c r="Z34" i="5" a="1"/>
  <c r="Z34" i="5"/>
  <c r="AA34" i="5" a="1"/>
  <c r="AA34" i="5"/>
  <c r="AB34" i="5" a="1"/>
  <c r="AB34" i="5"/>
  <c r="AC34" i="5" a="1"/>
  <c r="AC34" i="5"/>
  <c r="AD34" i="5" a="1"/>
  <c r="AD34" i="5"/>
  <c r="AE34" i="5" a="1"/>
  <c r="AE34" i="5"/>
  <c r="AF34" i="5" a="1"/>
  <c r="AF34" i="5"/>
  <c r="AG34" i="5" a="1"/>
  <c r="AG34" i="5"/>
  <c r="AH34" i="5" a="1"/>
  <c r="AH34" i="5"/>
  <c r="AI34" i="5" a="1"/>
  <c r="AI34" i="5"/>
  <c r="AJ34" i="5" a="1"/>
  <c r="AJ34" i="5"/>
  <c r="AK34" i="5" a="1"/>
  <c r="AK34" i="5"/>
  <c r="AL34" i="5" a="1"/>
  <c r="AL34" i="5"/>
  <c r="AM34" i="5" a="1"/>
  <c r="AM34" i="5"/>
  <c r="AN34" i="5" a="1"/>
  <c r="AN34" i="5"/>
  <c r="AO34" i="5" a="1"/>
  <c r="AO34" i="5"/>
  <c r="AP34" i="5" a="1"/>
  <c r="AP34" i="5"/>
  <c r="AQ34" i="5" a="1"/>
  <c r="AQ34" i="5"/>
  <c r="AR34" i="5" a="1"/>
  <c r="AR34" i="5"/>
  <c r="AS34" i="5" a="1"/>
  <c r="AS34" i="5"/>
  <c r="AT34" i="5" a="1"/>
  <c r="AT34" i="5"/>
  <c r="AU34" i="5" a="1"/>
  <c r="AU34" i="5"/>
  <c r="AV34" i="5" a="1"/>
  <c r="AV34" i="5"/>
  <c r="AW34" i="5" a="1"/>
  <c r="AW34" i="5"/>
  <c r="AX34" i="5" a="1"/>
  <c r="AX34" i="5"/>
  <c r="AY34" i="5" a="1"/>
  <c r="AY34" i="5"/>
  <c r="AZ34" i="5" a="1"/>
  <c r="AZ34" i="5"/>
  <c r="BA34" i="5" a="1"/>
  <c r="BA34" i="5"/>
  <c r="BB34" i="5" a="1"/>
  <c r="BB34" i="5"/>
  <c r="BC34" i="5" a="1"/>
  <c r="BC34" i="5"/>
  <c r="BD34" i="5" a="1"/>
  <c r="BD34" i="5"/>
  <c r="BE34" i="5" a="1"/>
  <c r="BE34" i="5"/>
  <c r="BF34" i="5" a="1"/>
  <c r="BF34" i="5"/>
  <c r="BG34" i="5" a="1"/>
  <c r="BG34" i="5"/>
  <c r="BH34" i="5" a="1"/>
  <c r="BH34" i="5"/>
  <c r="BI34" i="5" a="1"/>
  <c r="BI34" i="5"/>
  <c r="BJ34" i="5" a="1"/>
  <c r="BJ34" i="5"/>
  <c r="BK34" i="5" a="1"/>
  <c r="BK34" i="5"/>
  <c r="BL34" i="5" a="1"/>
  <c r="BL34" i="5"/>
  <c r="BM34" i="5" a="1"/>
  <c r="BM34" i="5"/>
  <c r="BN34" i="5" a="1"/>
  <c r="BN34" i="5"/>
  <c r="BO34" i="5" a="1"/>
  <c r="BO34" i="5"/>
  <c r="BP34" i="5" a="1"/>
  <c r="BP34" i="5"/>
  <c r="BQ34" i="5" a="1"/>
  <c r="BQ34" i="5"/>
  <c r="BR34" i="5" a="1"/>
  <c r="BR34" i="5"/>
  <c r="BS34" i="5" a="1"/>
  <c r="BS34" i="5"/>
  <c r="BT34" i="5" a="1"/>
  <c r="BT34" i="5"/>
  <c r="BU34" i="5" a="1"/>
  <c r="BU34" i="5"/>
  <c r="BV34" i="5" a="1"/>
  <c r="BV34" i="5"/>
  <c r="BW34" i="5" a="1"/>
  <c r="BW34" i="5"/>
  <c r="BX34" i="5" a="1"/>
  <c r="BX34" i="5"/>
  <c r="BY34" i="5" a="1"/>
  <c r="BY34" i="5"/>
  <c r="BZ34" i="5" a="1"/>
  <c r="BZ34" i="5"/>
  <c r="CA34" i="5" a="1"/>
  <c r="CA34" i="5"/>
  <c r="CB34" i="5"/>
  <c r="CC34" i="5"/>
  <c r="CD34" i="5"/>
  <c r="CE34" i="5"/>
  <c r="C35" i="5" a="1"/>
  <c r="C35" i="5"/>
  <c r="D35" i="5" a="1"/>
  <c r="D35" i="5"/>
  <c r="E35" i="5" a="1"/>
  <c r="E35" i="5"/>
  <c r="F35" i="5" a="1"/>
  <c r="F35" i="5"/>
  <c r="G35" i="5" a="1"/>
  <c r="G35" i="5"/>
  <c r="H35" i="5" a="1"/>
  <c r="H35" i="5"/>
  <c r="I35" i="5" a="1"/>
  <c r="I35" i="5"/>
  <c r="J35" i="5" a="1"/>
  <c r="J35" i="5"/>
  <c r="K35" i="5" a="1"/>
  <c r="K35" i="5"/>
  <c r="L35" i="5" a="1"/>
  <c r="L35" i="5"/>
  <c r="M35" i="5" a="1"/>
  <c r="M35" i="5"/>
  <c r="N35" i="5" a="1"/>
  <c r="N35" i="5"/>
  <c r="O35" i="5" a="1"/>
  <c r="O35" i="5"/>
  <c r="P35" i="5" a="1"/>
  <c r="P35" i="5"/>
  <c r="Q35" i="5" a="1"/>
  <c r="Q35" i="5"/>
  <c r="R35" i="5" a="1"/>
  <c r="R35" i="5"/>
  <c r="S35" i="5" a="1"/>
  <c r="S35" i="5"/>
  <c r="T35" i="5" a="1"/>
  <c r="T35" i="5"/>
  <c r="U35" i="5" a="1"/>
  <c r="U35" i="5"/>
  <c r="V35" i="5" a="1"/>
  <c r="V35" i="5"/>
  <c r="W35" i="5" a="1"/>
  <c r="W35" i="5"/>
  <c r="X35" i="5" a="1"/>
  <c r="X35" i="5"/>
  <c r="Y35" i="5" a="1"/>
  <c r="Y35" i="5"/>
  <c r="Z35" i="5" a="1"/>
  <c r="Z35" i="5"/>
  <c r="AA35" i="5" a="1"/>
  <c r="AA35" i="5"/>
  <c r="AB35" i="5" a="1"/>
  <c r="AB35" i="5"/>
  <c r="AC35" i="5" a="1"/>
  <c r="AC35" i="5"/>
  <c r="AD35" i="5" a="1"/>
  <c r="AD35" i="5"/>
  <c r="AE35" i="5" a="1"/>
  <c r="AE35" i="5"/>
  <c r="AF35" i="5" a="1"/>
  <c r="AF35" i="5"/>
  <c r="AG35" i="5" a="1"/>
  <c r="AG35" i="5"/>
  <c r="AH35" i="5" a="1"/>
  <c r="AH35" i="5"/>
  <c r="AI35" i="5" a="1"/>
  <c r="AI35" i="5"/>
  <c r="AJ35" i="5" a="1"/>
  <c r="AJ35" i="5"/>
  <c r="AK35" i="5" a="1"/>
  <c r="AK35" i="5"/>
  <c r="AL35" i="5" a="1"/>
  <c r="AL35" i="5"/>
  <c r="AM35" i="5" a="1"/>
  <c r="AM35" i="5"/>
  <c r="AN35" i="5" a="1"/>
  <c r="AN35" i="5"/>
  <c r="AO35" i="5" a="1"/>
  <c r="AO35" i="5"/>
  <c r="AP35" i="5" a="1"/>
  <c r="AP35" i="5"/>
  <c r="AQ35" i="5" a="1"/>
  <c r="AQ35" i="5"/>
  <c r="AR35" i="5" a="1"/>
  <c r="AR35" i="5"/>
  <c r="AS35" i="5" a="1"/>
  <c r="AS35" i="5"/>
  <c r="AT35" i="5" a="1"/>
  <c r="AT35" i="5"/>
  <c r="AU35" i="5" a="1"/>
  <c r="AU35" i="5"/>
  <c r="AV35" i="5" a="1"/>
  <c r="AV35" i="5"/>
  <c r="AW35" i="5" a="1"/>
  <c r="AW35" i="5"/>
  <c r="AX35" i="5" a="1"/>
  <c r="AX35" i="5"/>
  <c r="AY35" i="5" a="1"/>
  <c r="AY35" i="5"/>
  <c r="AZ35" i="5" a="1"/>
  <c r="AZ35" i="5"/>
  <c r="BA35" i="5" a="1"/>
  <c r="BA35" i="5"/>
  <c r="BB35" i="5" a="1"/>
  <c r="BB35" i="5"/>
  <c r="BC35" i="5" a="1"/>
  <c r="BC35" i="5"/>
  <c r="BD35" i="5" a="1"/>
  <c r="BD35" i="5"/>
  <c r="BE35" i="5" a="1"/>
  <c r="BE35" i="5"/>
  <c r="BF35" i="5" a="1"/>
  <c r="BF35" i="5"/>
  <c r="BG35" i="5" a="1"/>
  <c r="BG35" i="5"/>
  <c r="BH35" i="5" a="1"/>
  <c r="BH35" i="5"/>
  <c r="BI35" i="5" a="1"/>
  <c r="BI35" i="5"/>
  <c r="BJ35" i="5" a="1"/>
  <c r="BJ35" i="5"/>
  <c r="BK35" i="5" a="1"/>
  <c r="BK35" i="5"/>
  <c r="BL35" i="5" a="1"/>
  <c r="BL35" i="5"/>
  <c r="BM35" i="5" a="1"/>
  <c r="BM35" i="5"/>
  <c r="BN35" i="5" a="1"/>
  <c r="BN35" i="5"/>
  <c r="BO35" i="5" a="1"/>
  <c r="BO35" i="5"/>
  <c r="BP35" i="5" a="1"/>
  <c r="BP35" i="5"/>
  <c r="BQ35" i="5" a="1"/>
  <c r="BQ35" i="5"/>
  <c r="BR35" i="5" a="1"/>
  <c r="BR35" i="5"/>
  <c r="BS35" i="5" a="1"/>
  <c r="BS35" i="5"/>
  <c r="BT35" i="5" a="1"/>
  <c r="BT35" i="5"/>
  <c r="BU35" i="5" a="1"/>
  <c r="BU35" i="5"/>
  <c r="BV35" i="5" a="1"/>
  <c r="BV35" i="5"/>
  <c r="BW35" i="5" a="1"/>
  <c r="BW35" i="5"/>
  <c r="BX35" i="5" a="1"/>
  <c r="BX35" i="5"/>
  <c r="BY35" i="5" a="1"/>
  <c r="BY35" i="5"/>
  <c r="BZ35" i="5" a="1"/>
  <c r="BZ35" i="5"/>
  <c r="CA35" i="5" a="1"/>
  <c r="CA35" i="5"/>
  <c r="CB35" i="5"/>
  <c r="CC35" i="5"/>
  <c r="CD35" i="5"/>
  <c r="CE35" i="5"/>
  <c r="C36" i="5" a="1"/>
  <c r="C36" i="5"/>
  <c r="D36" i="5" a="1"/>
  <c r="D36" i="5"/>
  <c r="E36" i="5" a="1"/>
  <c r="E36" i="5"/>
  <c r="F36" i="5" a="1"/>
  <c r="F36" i="5"/>
  <c r="G36" i="5" a="1"/>
  <c r="G36" i="5"/>
  <c r="H36" i="5" a="1"/>
  <c r="H36" i="5"/>
  <c r="I36" i="5" a="1"/>
  <c r="I36" i="5"/>
  <c r="J36" i="5" a="1"/>
  <c r="J36" i="5"/>
  <c r="K36" i="5" a="1"/>
  <c r="K36" i="5"/>
  <c r="L36" i="5" a="1"/>
  <c r="L36" i="5"/>
  <c r="M36" i="5" a="1"/>
  <c r="M36" i="5"/>
  <c r="N36" i="5" a="1"/>
  <c r="N36" i="5"/>
  <c r="O36" i="5" a="1"/>
  <c r="O36" i="5"/>
  <c r="P36" i="5" a="1"/>
  <c r="P36" i="5"/>
  <c r="Q36" i="5" a="1"/>
  <c r="Q36" i="5"/>
  <c r="R36" i="5" a="1"/>
  <c r="R36" i="5"/>
  <c r="S36" i="5" a="1"/>
  <c r="S36" i="5"/>
  <c r="T36" i="5" a="1"/>
  <c r="T36" i="5"/>
  <c r="U36" i="5" a="1"/>
  <c r="U36" i="5"/>
  <c r="V36" i="5" a="1"/>
  <c r="V36" i="5"/>
  <c r="W36" i="5" a="1"/>
  <c r="W36" i="5"/>
  <c r="X36" i="5" a="1"/>
  <c r="X36" i="5"/>
  <c r="Y36" i="5" a="1"/>
  <c r="Y36" i="5"/>
  <c r="Z36" i="5" a="1"/>
  <c r="Z36" i="5"/>
  <c r="AA36" i="5" a="1"/>
  <c r="AA36" i="5"/>
  <c r="AB36" i="5" a="1"/>
  <c r="AB36" i="5"/>
  <c r="AC36" i="5" a="1"/>
  <c r="AC36" i="5"/>
  <c r="AD36" i="5" a="1"/>
  <c r="AD36" i="5"/>
  <c r="AE36" i="5" a="1"/>
  <c r="AE36" i="5"/>
  <c r="AF36" i="5" a="1"/>
  <c r="AF36" i="5"/>
  <c r="AG36" i="5" a="1"/>
  <c r="AG36" i="5"/>
  <c r="AH36" i="5" a="1"/>
  <c r="AH36" i="5"/>
  <c r="AI36" i="5" a="1"/>
  <c r="AI36" i="5"/>
  <c r="AJ36" i="5" a="1"/>
  <c r="AJ36" i="5"/>
  <c r="AK36" i="5" a="1"/>
  <c r="AK36" i="5"/>
  <c r="AL36" i="5" a="1"/>
  <c r="AL36" i="5"/>
  <c r="AM36" i="5" a="1"/>
  <c r="AM36" i="5"/>
  <c r="AN36" i="5" a="1"/>
  <c r="AN36" i="5"/>
  <c r="AO36" i="5" a="1"/>
  <c r="AO36" i="5"/>
  <c r="AP36" i="5" a="1"/>
  <c r="AP36" i="5"/>
  <c r="AQ36" i="5" a="1"/>
  <c r="AQ36" i="5"/>
  <c r="AR36" i="5" a="1"/>
  <c r="AR36" i="5"/>
  <c r="AS36" i="5" a="1"/>
  <c r="AS36" i="5"/>
  <c r="AT36" i="5" a="1"/>
  <c r="AT36" i="5"/>
  <c r="AU36" i="5" a="1"/>
  <c r="AU36" i="5"/>
  <c r="AV36" i="5" a="1"/>
  <c r="AV36" i="5"/>
  <c r="AW36" i="5" a="1"/>
  <c r="AW36" i="5"/>
  <c r="AX36" i="5" a="1"/>
  <c r="AX36" i="5"/>
  <c r="AY36" i="5" a="1"/>
  <c r="AY36" i="5"/>
  <c r="AZ36" i="5" a="1"/>
  <c r="AZ36" i="5"/>
  <c r="BA36" i="5" a="1"/>
  <c r="BA36" i="5"/>
  <c r="BB36" i="5" a="1"/>
  <c r="BB36" i="5"/>
  <c r="BC36" i="5" a="1"/>
  <c r="BC36" i="5"/>
  <c r="BD36" i="5" a="1"/>
  <c r="BD36" i="5"/>
  <c r="BE36" i="5" a="1"/>
  <c r="BE36" i="5"/>
  <c r="BF36" i="5" a="1"/>
  <c r="BF36" i="5"/>
  <c r="BG36" i="5" a="1"/>
  <c r="BG36" i="5"/>
  <c r="BH36" i="5" a="1"/>
  <c r="BH36" i="5"/>
  <c r="BI36" i="5" a="1"/>
  <c r="BI36" i="5"/>
  <c r="BJ36" i="5" a="1"/>
  <c r="BJ36" i="5"/>
  <c r="BK36" i="5" a="1"/>
  <c r="BK36" i="5"/>
  <c r="BL36" i="5" a="1"/>
  <c r="BL36" i="5"/>
  <c r="BM36" i="5" a="1"/>
  <c r="BM36" i="5"/>
  <c r="BN36" i="5" a="1"/>
  <c r="BN36" i="5"/>
  <c r="BO36" i="5" a="1"/>
  <c r="BO36" i="5"/>
  <c r="BP36" i="5" a="1"/>
  <c r="BP36" i="5"/>
  <c r="BQ36" i="5" a="1"/>
  <c r="BQ36" i="5"/>
  <c r="BR36" i="5" a="1"/>
  <c r="BR36" i="5"/>
  <c r="BS36" i="5" a="1"/>
  <c r="BS36" i="5"/>
  <c r="BT36" i="5" a="1"/>
  <c r="BT36" i="5"/>
  <c r="BU36" i="5" a="1"/>
  <c r="BU36" i="5"/>
  <c r="BV36" i="5" a="1"/>
  <c r="BV36" i="5"/>
  <c r="BW36" i="5" a="1"/>
  <c r="BW36" i="5"/>
  <c r="BX36" i="5" a="1"/>
  <c r="BX36" i="5"/>
  <c r="BY36" i="5" a="1"/>
  <c r="BY36" i="5"/>
  <c r="BZ36" i="5" a="1"/>
  <c r="BZ36" i="5"/>
  <c r="CA36" i="5" a="1"/>
  <c r="CA36" i="5"/>
  <c r="CB36" i="5"/>
  <c r="CC36" i="5"/>
  <c r="CD36" i="5"/>
  <c r="CE36" i="5"/>
  <c r="C37" i="5" a="1"/>
  <c r="C37" i="5"/>
  <c r="D37" i="5" a="1"/>
  <c r="D37" i="5"/>
  <c r="E37" i="5" a="1"/>
  <c r="E37" i="5"/>
  <c r="F37" i="5" a="1"/>
  <c r="F37" i="5"/>
  <c r="G37" i="5" a="1"/>
  <c r="G37" i="5"/>
  <c r="H37" i="5" a="1"/>
  <c r="H37" i="5"/>
  <c r="I37" i="5" a="1"/>
  <c r="I37" i="5"/>
  <c r="J37" i="5" a="1"/>
  <c r="J37" i="5"/>
  <c r="K37" i="5" a="1"/>
  <c r="K37" i="5"/>
  <c r="L37" i="5" a="1"/>
  <c r="L37" i="5"/>
  <c r="M37" i="5" a="1"/>
  <c r="M37" i="5"/>
  <c r="N37" i="5" a="1"/>
  <c r="N37" i="5"/>
  <c r="O37" i="5" a="1"/>
  <c r="O37" i="5"/>
  <c r="P37" i="5" a="1"/>
  <c r="P37" i="5"/>
  <c r="Q37" i="5" a="1"/>
  <c r="Q37" i="5"/>
  <c r="R37" i="5" a="1"/>
  <c r="R37" i="5"/>
  <c r="S37" i="5" a="1"/>
  <c r="S37" i="5"/>
  <c r="T37" i="5" a="1"/>
  <c r="T37" i="5"/>
  <c r="U37" i="5" a="1"/>
  <c r="U37" i="5"/>
  <c r="V37" i="5" a="1"/>
  <c r="V37" i="5"/>
  <c r="W37" i="5" a="1"/>
  <c r="W37" i="5"/>
  <c r="X37" i="5" a="1"/>
  <c r="X37" i="5"/>
  <c r="Y37" i="5" a="1"/>
  <c r="Y37" i="5"/>
  <c r="Z37" i="5" a="1"/>
  <c r="Z37" i="5"/>
  <c r="AA37" i="5" a="1"/>
  <c r="AA37" i="5"/>
  <c r="AB37" i="5" a="1"/>
  <c r="AB37" i="5"/>
  <c r="AC37" i="5" a="1"/>
  <c r="AC37" i="5"/>
  <c r="AD37" i="5" a="1"/>
  <c r="AD37" i="5"/>
  <c r="AE37" i="5" a="1"/>
  <c r="AE37" i="5"/>
  <c r="AF37" i="5" a="1"/>
  <c r="AF37" i="5"/>
  <c r="AG37" i="5" a="1"/>
  <c r="AG37" i="5"/>
  <c r="AH37" i="5" a="1"/>
  <c r="AH37" i="5"/>
  <c r="AI37" i="5" a="1"/>
  <c r="AI37" i="5"/>
  <c r="AJ37" i="5" a="1"/>
  <c r="AJ37" i="5"/>
  <c r="AK37" i="5" a="1"/>
  <c r="AK37" i="5"/>
  <c r="AL37" i="5" a="1"/>
  <c r="AL37" i="5"/>
  <c r="AM37" i="5" a="1"/>
  <c r="AM37" i="5"/>
  <c r="AN37" i="5" a="1"/>
  <c r="AN37" i="5"/>
  <c r="AO37" i="5" a="1"/>
  <c r="AO37" i="5"/>
  <c r="AP37" i="5" a="1"/>
  <c r="AP37" i="5"/>
  <c r="AQ37" i="5" a="1"/>
  <c r="AQ37" i="5"/>
  <c r="AR37" i="5" a="1"/>
  <c r="AR37" i="5"/>
  <c r="AS37" i="5" a="1"/>
  <c r="AS37" i="5"/>
  <c r="AT37" i="5" a="1"/>
  <c r="AT37" i="5"/>
  <c r="AU37" i="5" a="1"/>
  <c r="AU37" i="5"/>
  <c r="AV37" i="5" a="1"/>
  <c r="AV37" i="5"/>
  <c r="AW37" i="5" a="1"/>
  <c r="AW37" i="5"/>
  <c r="AX37" i="5" a="1"/>
  <c r="AX37" i="5"/>
  <c r="AY37" i="5" a="1"/>
  <c r="AY37" i="5"/>
  <c r="AZ37" i="5" a="1"/>
  <c r="AZ37" i="5"/>
  <c r="BA37" i="5" a="1"/>
  <c r="BA37" i="5"/>
  <c r="BB37" i="5" a="1"/>
  <c r="BB37" i="5"/>
  <c r="BC37" i="5" a="1"/>
  <c r="BC37" i="5"/>
  <c r="BD37" i="5" a="1"/>
  <c r="BD37" i="5"/>
  <c r="BE37" i="5" a="1"/>
  <c r="BE37" i="5"/>
  <c r="BF37" i="5" a="1"/>
  <c r="BF37" i="5"/>
  <c r="BG37" i="5" a="1"/>
  <c r="BG37" i="5"/>
  <c r="BH37" i="5" a="1"/>
  <c r="BH37" i="5"/>
  <c r="BI37" i="5" a="1"/>
  <c r="BI37" i="5"/>
  <c r="BJ37" i="5" a="1"/>
  <c r="BJ37" i="5"/>
  <c r="BK37" i="5" a="1"/>
  <c r="BK37" i="5"/>
  <c r="BL37" i="5" a="1"/>
  <c r="BL37" i="5"/>
  <c r="BM37" i="5" a="1"/>
  <c r="BM37" i="5"/>
  <c r="BN37" i="5" a="1"/>
  <c r="BN37" i="5"/>
  <c r="BO37" i="5" a="1"/>
  <c r="BO37" i="5"/>
  <c r="BP37" i="5" a="1"/>
  <c r="BP37" i="5"/>
  <c r="BQ37" i="5" a="1"/>
  <c r="BQ37" i="5"/>
  <c r="BR37" i="5" a="1"/>
  <c r="BR37" i="5"/>
  <c r="BS37" i="5" a="1"/>
  <c r="BS37" i="5"/>
  <c r="BT37" i="5" a="1"/>
  <c r="BT37" i="5"/>
  <c r="BU37" i="5" a="1"/>
  <c r="BU37" i="5"/>
  <c r="BV37" i="5" a="1"/>
  <c r="BV37" i="5"/>
  <c r="BW37" i="5" a="1"/>
  <c r="BW37" i="5"/>
  <c r="BX37" i="5" a="1"/>
  <c r="BX37" i="5"/>
  <c r="BY37" i="5" a="1"/>
  <c r="BY37" i="5"/>
  <c r="BZ37" i="5" a="1"/>
  <c r="BZ37" i="5"/>
  <c r="CA37" i="5" a="1"/>
  <c r="CA37" i="5"/>
  <c r="CB37" i="5"/>
  <c r="CC37" i="5"/>
  <c r="CD37" i="5"/>
  <c r="CE37" i="5"/>
  <c r="C38" i="5" a="1"/>
  <c r="C38" i="5"/>
  <c r="D38" i="5" a="1"/>
  <c r="D38" i="5"/>
  <c r="E38" i="5" a="1"/>
  <c r="E38" i="5"/>
  <c r="F38" i="5" a="1"/>
  <c r="F38" i="5"/>
  <c r="G38" i="5" a="1"/>
  <c r="G38" i="5"/>
  <c r="H38" i="5" a="1"/>
  <c r="H38" i="5"/>
  <c r="I38" i="5" a="1"/>
  <c r="I38" i="5"/>
  <c r="J38" i="5" a="1"/>
  <c r="J38" i="5"/>
  <c r="K38" i="5" a="1"/>
  <c r="K38" i="5"/>
  <c r="L38" i="5" a="1"/>
  <c r="L38" i="5"/>
  <c r="M38" i="5" a="1"/>
  <c r="M38" i="5"/>
  <c r="N38" i="5" a="1"/>
  <c r="N38" i="5"/>
  <c r="O38" i="5" a="1"/>
  <c r="O38" i="5"/>
  <c r="P38" i="5" a="1"/>
  <c r="P38" i="5"/>
  <c r="Q38" i="5" a="1"/>
  <c r="Q38" i="5"/>
  <c r="R38" i="5" a="1"/>
  <c r="R38" i="5"/>
  <c r="S38" i="5" a="1"/>
  <c r="S38" i="5"/>
  <c r="T38" i="5" a="1"/>
  <c r="T38" i="5"/>
  <c r="U38" i="5" a="1"/>
  <c r="U38" i="5"/>
  <c r="V38" i="5" a="1"/>
  <c r="V38" i="5"/>
  <c r="W38" i="5" a="1"/>
  <c r="W38" i="5"/>
  <c r="X38" i="5" a="1"/>
  <c r="X38" i="5"/>
  <c r="Y38" i="5" a="1"/>
  <c r="Y38" i="5"/>
  <c r="Z38" i="5" a="1"/>
  <c r="Z38" i="5"/>
  <c r="AA38" i="5" a="1"/>
  <c r="AA38" i="5"/>
  <c r="AB38" i="5" a="1"/>
  <c r="AB38" i="5"/>
  <c r="AC38" i="5" a="1"/>
  <c r="AC38" i="5"/>
  <c r="AD38" i="5" a="1"/>
  <c r="AD38" i="5"/>
  <c r="AE38" i="5" a="1"/>
  <c r="AE38" i="5"/>
  <c r="AF38" i="5" a="1"/>
  <c r="AF38" i="5"/>
  <c r="AG38" i="5" a="1"/>
  <c r="AG38" i="5"/>
  <c r="AH38" i="5" a="1"/>
  <c r="AH38" i="5"/>
  <c r="AI38" i="5" a="1"/>
  <c r="AI38" i="5"/>
  <c r="AJ38" i="5" a="1"/>
  <c r="AJ38" i="5"/>
  <c r="AK38" i="5" a="1"/>
  <c r="AK38" i="5"/>
  <c r="AL38" i="5" a="1"/>
  <c r="AL38" i="5"/>
  <c r="AM38" i="5" a="1"/>
  <c r="AM38" i="5"/>
  <c r="AN38" i="5" a="1"/>
  <c r="AN38" i="5"/>
  <c r="AO38" i="5" a="1"/>
  <c r="AO38" i="5"/>
  <c r="AP38" i="5" a="1"/>
  <c r="AP38" i="5"/>
  <c r="AQ38" i="5" a="1"/>
  <c r="AQ38" i="5"/>
  <c r="AR38" i="5" a="1"/>
  <c r="AR38" i="5"/>
  <c r="AS38" i="5" a="1"/>
  <c r="AS38" i="5"/>
  <c r="AT38" i="5" a="1"/>
  <c r="AT38" i="5"/>
  <c r="AU38" i="5" a="1"/>
  <c r="AU38" i="5"/>
  <c r="AV38" i="5" a="1"/>
  <c r="AV38" i="5"/>
  <c r="AW38" i="5" a="1"/>
  <c r="AW38" i="5"/>
  <c r="AX38" i="5" a="1"/>
  <c r="AX38" i="5"/>
  <c r="AY38" i="5" a="1"/>
  <c r="AY38" i="5"/>
  <c r="AZ38" i="5" a="1"/>
  <c r="AZ38" i="5"/>
  <c r="BA38" i="5" a="1"/>
  <c r="BA38" i="5"/>
  <c r="BB38" i="5" a="1"/>
  <c r="BB38" i="5"/>
  <c r="BC38" i="5" a="1"/>
  <c r="BC38" i="5"/>
  <c r="BD38" i="5" a="1"/>
  <c r="BD38" i="5"/>
  <c r="BE38" i="5" a="1"/>
  <c r="BE38" i="5"/>
  <c r="BF38" i="5" a="1"/>
  <c r="BF38" i="5"/>
  <c r="BG38" i="5" a="1"/>
  <c r="BG38" i="5"/>
  <c r="BH38" i="5" a="1"/>
  <c r="BH38" i="5"/>
  <c r="BI38" i="5" a="1"/>
  <c r="BI38" i="5"/>
  <c r="BJ38" i="5" a="1"/>
  <c r="BJ38" i="5"/>
  <c r="BK38" i="5" a="1"/>
  <c r="BK38" i="5"/>
  <c r="BL38" i="5" a="1"/>
  <c r="BL38" i="5"/>
  <c r="BM38" i="5" a="1"/>
  <c r="BM38" i="5"/>
  <c r="BN38" i="5" a="1"/>
  <c r="BN38" i="5"/>
  <c r="BO38" i="5" a="1"/>
  <c r="BO38" i="5"/>
  <c r="BP38" i="5" a="1"/>
  <c r="BP38" i="5"/>
  <c r="BQ38" i="5" a="1"/>
  <c r="BQ38" i="5"/>
  <c r="BR38" i="5" a="1"/>
  <c r="BR38" i="5"/>
  <c r="BS38" i="5" a="1"/>
  <c r="BS38" i="5"/>
  <c r="BT38" i="5" a="1"/>
  <c r="BT38" i="5"/>
  <c r="BU38" i="5" a="1"/>
  <c r="BU38" i="5"/>
  <c r="BV38" i="5" a="1"/>
  <c r="BV38" i="5"/>
  <c r="BW38" i="5" a="1"/>
  <c r="BW38" i="5"/>
  <c r="BX38" i="5" a="1"/>
  <c r="BX38" i="5"/>
  <c r="BY38" i="5" a="1"/>
  <c r="BY38" i="5"/>
  <c r="BZ38" i="5" a="1"/>
  <c r="BZ38" i="5"/>
  <c r="CA38" i="5" a="1"/>
  <c r="CA38" i="5"/>
  <c r="CB38" i="5"/>
  <c r="CC38" i="5"/>
  <c r="CD38" i="5"/>
  <c r="CE38" i="5"/>
  <c r="C39" i="5" a="1"/>
  <c r="C39" i="5"/>
  <c r="D39" i="5" a="1"/>
  <c r="D39" i="5"/>
  <c r="E39" i="5" a="1"/>
  <c r="E39" i="5"/>
  <c r="F39" i="5" a="1"/>
  <c r="F39" i="5"/>
  <c r="G39" i="5" a="1"/>
  <c r="G39" i="5"/>
  <c r="H39" i="5" a="1"/>
  <c r="H39" i="5"/>
  <c r="I39" i="5" a="1"/>
  <c r="I39" i="5"/>
  <c r="J39" i="5" a="1"/>
  <c r="J39" i="5"/>
  <c r="K39" i="5" a="1"/>
  <c r="K39" i="5"/>
  <c r="L39" i="5" a="1"/>
  <c r="L39" i="5"/>
  <c r="M39" i="5" a="1"/>
  <c r="M39" i="5"/>
  <c r="N39" i="5" a="1"/>
  <c r="N39" i="5"/>
  <c r="O39" i="5" a="1"/>
  <c r="O39" i="5"/>
  <c r="P39" i="5" a="1"/>
  <c r="P39" i="5"/>
  <c r="Q39" i="5" a="1"/>
  <c r="Q39" i="5"/>
  <c r="R39" i="5" a="1"/>
  <c r="R39" i="5"/>
  <c r="S39" i="5" a="1"/>
  <c r="S39" i="5"/>
  <c r="T39" i="5" a="1"/>
  <c r="T39" i="5"/>
  <c r="U39" i="5" a="1"/>
  <c r="U39" i="5"/>
  <c r="V39" i="5" a="1"/>
  <c r="V39" i="5"/>
  <c r="W39" i="5" a="1"/>
  <c r="W39" i="5"/>
  <c r="X39" i="5" a="1"/>
  <c r="X39" i="5"/>
  <c r="Y39" i="5" a="1"/>
  <c r="Y39" i="5"/>
  <c r="Z39" i="5" a="1"/>
  <c r="Z39" i="5"/>
  <c r="AA39" i="5" a="1"/>
  <c r="AA39" i="5"/>
  <c r="AB39" i="5" a="1"/>
  <c r="AB39" i="5"/>
  <c r="AC39" i="5" a="1"/>
  <c r="AC39" i="5"/>
  <c r="AD39" i="5" a="1"/>
  <c r="AD39" i="5"/>
  <c r="AE39" i="5" a="1"/>
  <c r="AE39" i="5"/>
  <c r="AF39" i="5" a="1"/>
  <c r="AF39" i="5"/>
  <c r="AG39" i="5" a="1"/>
  <c r="AG39" i="5"/>
  <c r="AH39" i="5" a="1"/>
  <c r="AH39" i="5"/>
  <c r="AI39" i="5" a="1"/>
  <c r="AI39" i="5"/>
  <c r="AJ39" i="5" a="1"/>
  <c r="AJ39" i="5"/>
  <c r="AK39" i="5" a="1"/>
  <c r="AK39" i="5"/>
  <c r="AL39" i="5" a="1"/>
  <c r="AL39" i="5"/>
  <c r="AM39" i="5" a="1"/>
  <c r="AM39" i="5"/>
  <c r="AN39" i="5" a="1"/>
  <c r="AN39" i="5"/>
  <c r="AO39" i="5" a="1"/>
  <c r="AO39" i="5"/>
  <c r="AP39" i="5" a="1"/>
  <c r="AP39" i="5"/>
  <c r="AQ39" i="5" a="1"/>
  <c r="AQ39" i="5"/>
  <c r="AR39" i="5" a="1"/>
  <c r="AR39" i="5"/>
  <c r="AS39" i="5" a="1"/>
  <c r="AS39" i="5"/>
  <c r="AT39" i="5" a="1"/>
  <c r="AT39" i="5"/>
  <c r="AU39" i="5" a="1"/>
  <c r="AU39" i="5"/>
  <c r="AV39" i="5" a="1"/>
  <c r="AV39" i="5"/>
  <c r="AW39" i="5" a="1"/>
  <c r="AW39" i="5"/>
  <c r="AX39" i="5" a="1"/>
  <c r="AX39" i="5"/>
  <c r="AY39" i="5" a="1"/>
  <c r="AY39" i="5"/>
  <c r="AZ39" i="5" a="1"/>
  <c r="AZ39" i="5"/>
  <c r="BA39" i="5" a="1"/>
  <c r="BA39" i="5"/>
  <c r="BB39" i="5" a="1"/>
  <c r="BB39" i="5"/>
  <c r="BC39" i="5" a="1"/>
  <c r="BC39" i="5"/>
  <c r="BD39" i="5" a="1"/>
  <c r="BD39" i="5"/>
  <c r="BE39" i="5" a="1"/>
  <c r="BE39" i="5"/>
  <c r="BF39" i="5" a="1"/>
  <c r="BF39" i="5"/>
  <c r="BG39" i="5" a="1"/>
  <c r="BG39" i="5"/>
  <c r="BH39" i="5" a="1"/>
  <c r="BH39" i="5"/>
  <c r="BI39" i="5" a="1"/>
  <c r="BI39" i="5"/>
  <c r="BJ39" i="5" a="1"/>
  <c r="BJ39" i="5"/>
  <c r="BK39" i="5" a="1"/>
  <c r="BK39" i="5"/>
  <c r="BL39" i="5" a="1"/>
  <c r="BL39" i="5"/>
  <c r="BM39" i="5" a="1"/>
  <c r="BM39" i="5"/>
  <c r="BN39" i="5" a="1"/>
  <c r="BN39" i="5"/>
  <c r="BO39" i="5" a="1"/>
  <c r="BO39" i="5"/>
  <c r="BP39" i="5" a="1"/>
  <c r="BP39" i="5"/>
  <c r="BQ39" i="5" a="1"/>
  <c r="BQ39" i="5"/>
  <c r="BR39" i="5" a="1"/>
  <c r="BR39" i="5"/>
  <c r="BS39" i="5" a="1"/>
  <c r="BS39" i="5"/>
  <c r="BT39" i="5" a="1"/>
  <c r="BT39" i="5"/>
  <c r="BU39" i="5" a="1"/>
  <c r="BU39" i="5"/>
  <c r="BV39" i="5" a="1"/>
  <c r="BV39" i="5"/>
  <c r="BW39" i="5" a="1"/>
  <c r="BW39" i="5"/>
  <c r="BX39" i="5" a="1"/>
  <c r="BX39" i="5"/>
  <c r="BY39" i="5" a="1"/>
  <c r="BY39" i="5"/>
  <c r="BZ39" i="5" a="1"/>
  <c r="BZ39" i="5"/>
  <c r="CA39" i="5" a="1"/>
  <c r="CA39" i="5"/>
  <c r="CB39" i="5"/>
  <c r="CC39" i="5"/>
  <c r="CD39" i="5"/>
  <c r="CE39" i="5"/>
  <c r="C40" i="5" a="1"/>
  <c r="C40" i="5"/>
  <c r="D40" i="5" a="1"/>
  <c r="D40" i="5"/>
  <c r="E40" i="5" a="1"/>
  <c r="E40" i="5"/>
  <c r="F40" i="5" a="1"/>
  <c r="F40" i="5"/>
  <c r="G40" i="5" a="1"/>
  <c r="G40" i="5"/>
  <c r="H40" i="5" a="1"/>
  <c r="H40" i="5"/>
  <c r="I40" i="5" a="1"/>
  <c r="I40" i="5"/>
  <c r="J40" i="5" a="1"/>
  <c r="J40" i="5"/>
  <c r="K40" i="5" a="1"/>
  <c r="K40" i="5"/>
  <c r="L40" i="5" a="1"/>
  <c r="L40" i="5"/>
  <c r="M40" i="5" a="1"/>
  <c r="M40" i="5"/>
  <c r="N40" i="5" a="1"/>
  <c r="N40" i="5"/>
  <c r="O40" i="5" a="1"/>
  <c r="O40" i="5"/>
  <c r="P40" i="5" a="1"/>
  <c r="P40" i="5"/>
  <c r="Q40" i="5" a="1"/>
  <c r="Q40" i="5"/>
  <c r="R40" i="5" a="1"/>
  <c r="R40" i="5"/>
  <c r="S40" i="5" a="1"/>
  <c r="S40" i="5"/>
  <c r="T40" i="5" a="1"/>
  <c r="T40" i="5"/>
  <c r="U40" i="5" a="1"/>
  <c r="U40" i="5"/>
  <c r="V40" i="5" a="1"/>
  <c r="V40" i="5"/>
  <c r="W40" i="5" a="1"/>
  <c r="W40" i="5"/>
  <c r="X40" i="5" a="1"/>
  <c r="X40" i="5"/>
  <c r="Y40" i="5" a="1"/>
  <c r="Y40" i="5"/>
  <c r="Z40" i="5" a="1"/>
  <c r="Z40" i="5"/>
  <c r="AA40" i="5" a="1"/>
  <c r="AA40" i="5"/>
  <c r="AB40" i="5" a="1"/>
  <c r="AB40" i="5"/>
  <c r="AC40" i="5" a="1"/>
  <c r="AC40" i="5"/>
  <c r="AD40" i="5" a="1"/>
  <c r="AD40" i="5"/>
  <c r="AE40" i="5" a="1"/>
  <c r="AE40" i="5"/>
  <c r="AF40" i="5" a="1"/>
  <c r="AF40" i="5"/>
  <c r="AG40" i="5" a="1"/>
  <c r="AG40" i="5"/>
  <c r="AH40" i="5" a="1"/>
  <c r="AH40" i="5"/>
  <c r="AI40" i="5" a="1"/>
  <c r="AI40" i="5"/>
  <c r="AJ40" i="5" a="1"/>
  <c r="AJ40" i="5"/>
  <c r="AK40" i="5" a="1"/>
  <c r="AK40" i="5"/>
  <c r="AL40" i="5" a="1"/>
  <c r="AL40" i="5"/>
  <c r="AM40" i="5" a="1"/>
  <c r="AM40" i="5"/>
  <c r="AN40" i="5" a="1"/>
  <c r="AN40" i="5"/>
  <c r="AO40" i="5" a="1"/>
  <c r="AO40" i="5"/>
  <c r="AP40" i="5" a="1"/>
  <c r="AP40" i="5"/>
  <c r="AQ40" i="5" a="1"/>
  <c r="AQ40" i="5"/>
  <c r="AR40" i="5" a="1"/>
  <c r="AR40" i="5"/>
  <c r="AS40" i="5" a="1"/>
  <c r="AS40" i="5"/>
  <c r="AT40" i="5" a="1"/>
  <c r="AT40" i="5"/>
  <c r="AU40" i="5" a="1"/>
  <c r="AU40" i="5"/>
  <c r="AV40" i="5" a="1"/>
  <c r="AV40" i="5"/>
  <c r="AW40" i="5" a="1"/>
  <c r="AW40" i="5"/>
  <c r="AX40" i="5" a="1"/>
  <c r="AX40" i="5"/>
  <c r="AY40" i="5" a="1"/>
  <c r="AY40" i="5"/>
  <c r="AZ40" i="5" a="1"/>
  <c r="AZ40" i="5"/>
  <c r="BA40" i="5" a="1"/>
  <c r="BA40" i="5"/>
  <c r="BB40" i="5" a="1"/>
  <c r="BB40" i="5"/>
  <c r="BC40" i="5" a="1"/>
  <c r="BC40" i="5"/>
  <c r="BD40" i="5" a="1"/>
  <c r="BD40" i="5"/>
  <c r="BE40" i="5" a="1"/>
  <c r="BE40" i="5"/>
  <c r="BF40" i="5" a="1"/>
  <c r="BF40" i="5"/>
  <c r="BG40" i="5" a="1"/>
  <c r="BG40" i="5"/>
  <c r="BH40" i="5" a="1"/>
  <c r="BH40" i="5"/>
  <c r="BI40" i="5" a="1"/>
  <c r="BI40" i="5"/>
  <c r="BJ40" i="5" a="1"/>
  <c r="BJ40" i="5"/>
  <c r="BK40" i="5" a="1"/>
  <c r="BK40" i="5"/>
  <c r="BL40" i="5" a="1"/>
  <c r="BL40" i="5"/>
  <c r="BM40" i="5" a="1"/>
  <c r="BM40" i="5"/>
  <c r="BN40" i="5" a="1"/>
  <c r="BN40" i="5"/>
  <c r="BO40" i="5" a="1"/>
  <c r="BO40" i="5"/>
  <c r="BP40" i="5" a="1"/>
  <c r="BP40" i="5"/>
  <c r="BQ40" i="5" a="1"/>
  <c r="BQ40" i="5"/>
  <c r="BR40" i="5" a="1"/>
  <c r="BR40" i="5"/>
  <c r="BS40" i="5" a="1"/>
  <c r="BS40" i="5"/>
  <c r="BT40" i="5" a="1"/>
  <c r="BT40" i="5"/>
  <c r="BU40" i="5" a="1"/>
  <c r="BU40" i="5"/>
  <c r="BV40" i="5" a="1"/>
  <c r="BV40" i="5"/>
  <c r="BW40" i="5" a="1"/>
  <c r="BW40" i="5"/>
  <c r="BX40" i="5" a="1"/>
  <c r="BX40" i="5"/>
  <c r="BY40" i="5" a="1"/>
  <c r="BY40" i="5"/>
  <c r="BZ40" i="5" a="1"/>
  <c r="BZ40" i="5"/>
  <c r="CA40" i="5" a="1"/>
  <c r="CA40" i="5"/>
  <c r="CB40" i="5"/>
  <c r="CC40" i="5"/>
  <c r="CD40" i="5"/>
  <c r="CE40" i="5"/>
  <c r="C41" i="5" a="1"/>
  <c r="C41" i="5"/>
  <c r="D41" i="5" a="1"/>
  <c r="D41" i="5"/>
  <c r="E41" i="5" a="1"/>
  <c r="E41" i="5"/>
  <c r="F41" i="5" a="1"/>
  <c r="F41" i="5"/>
  <c r="G41" i="5" a="1"/>
  <c r="G41" i="5"/>
  <c r="H41" i="5" a="1"/>
  <c r="H41" i="5"/>
  <c r="I41" i="5" a="1"/>
  <c r="I41" i="5"/>
  <c r="J41" i="5" a="1"/>
  <c r="J41" i="5"/>
  <c r="K41" i="5" a="1"/>
  <c r="K41" i="5"/>
  <c r="L41" i="5" a="1"/>
  <c r="L41" i="5"/>
  <c r="M41" i="5" a="1"/>
  <c r="M41" i="5"/>
  <c r="N41" i="5" a="1"/>
  <c r="N41" i="5"/>
  <c r="O41" i="5" a="1"/>
  <c r="O41" i="5"/>
  <c r="P41" i="5" a="1"/>
  <c r="P41" i="5"/>
  <c r="Q41" i="5" a="1"/>
  <c r="Q41" i="5"/>
  <c r="R41" i="5" a="1"/>
  <c r="R41" i="5"/>
  <c r="S41" i="5" a="1"/>
  <c r="S41" i="5"/>
  <c r="T41" i="5" a="1"/>
  <c r="T41" i="5"/>
  <c r="U41" i="5" a="1"/>
  <c r="U41" i="5"/>
  <c r="V41" i="5" a="1"/>
  <c r="V41" i="5"/>
  <c r="W41" i="5" a="1"/>
  <c r="W41" i="5"/>
  <c r="X41" i="5" a="1"/>
  <c r="X41" i="5"/>
  <c r="Y41" i="5" a="1"/>
  <c r="Y41" i="5"/>
  <c r="Z41" i="5" a="1"/>
  <c r="Z41" i="5"/>
  <c r="AA41" i="5" a="1"/>
  <c r="AA41" i="5"/>
  <c r="AB41" i="5" a="1"/>
  <c r="AB41" i="5"/>
  <c r="AC41" i="5" a="1"/>
  <c r="AC41" i="5"/>
  <c r="AD41" i="5" a="1"/>
  <c r="AD41" i="5"/>
  <c r="AE41" i="5" a="1"/>
  <c r="AE41" i="5"/>
  <c r="AF41" i="5" a="1"/>
  <c r="AF41" i="5"/>
  <c r="AG41" i="5" a="1"/>
  <c r="AG41" i="5"/>
  <c r="AH41" i="5" a="1"/>
  <c r="AH41" i="5"/>
  <c r="AI41" i="5" a="1"/>
  <c r="AI41" i="5"/>
  <c r="AJ41" i="5" a="1"/>
  <c r="AJ41" i="5"/>
  <c r="AK41" i="5" a="1"/>
  <c r="AK41" i="5"/>
  <c r="AL41" i="5" a="1"/>
  <c r="AL41" i="5"/>
  <c r="AM41" i="5" a="1"/>
  <c r="AM41" i="5"/>
  <c r="AN41" i="5" a="1"/>
  <c r="AN41" i="5"/>
  <c r="AO41" i="5" a="1"/>
  <c r="AO41" i="5"/>
  <c r="AP41" i="5" a="1"/>
  <c r="AP41" i="5"/>
  <c r="AQ41" i="5" a="1"/>
  <c r="AQ41" i="5"/>
  <c r="AR41" i="5" a="1"/>
  <c r="AR41" i="5"/>
  <c r="AS41" i="5" a="1"/>
  <c r="AS41" i="5"/>
  <c r="AT41" i="5" a="1"/>
  <c r="AT41" i="5"/>
  <c r="AU41" i="5" a="1"/>
  <c r="AU41" i="5"/>
  <c r="AV41" i="5" a="1"/>
  <c r="AV41" i="5"/>
  <c r="AW41" i="5" a="1"/>
  <c r="AW41" i="5"/>
  <c r="AX41" i="5" a="1"/>
  <c r="AX41" i="5"/>
  <c r="AY41" i="5" a="1"/>
  <c r="AY41" i="5"/>
  <c r="AZ41" i="5" a="1"/>
  <c r="AZ41" i="5"/>
  <c r="BA41" i="5" a="1"/>
  <c r="BA41" i="5"/>
  <c r="BB41" i="5" a="1"/>
  <c r="BB41" i="5"/>
  <c r="BC41" i="5" a="1"/>
  <c r="BC41" i="5"/>
  <c r="BD41" i="5" a="1"/>
  <c r="BD41" i="5"/>
  <c r="BE41" i="5" a="1"/>
  <c r="BE41" i="5"/>
  <c r="BF41" i="5" a="1"/>
  <c r="BF41" i="5"/>
  <c r="BG41" i="5" a="1"/>
  <c r="BG41" i="5"/>
  <c r="BH41" i="5" a="1"/>
  <c r="BH41" i="5"/>
  <c r="BI41" i="5" a="1"/>
  <c r="BI41" i="5"/>
  <c r="BJ41" i="5" a="1"/>
  <c r="BJ41" i="5"/>
  <c r="BK41" i="5" a="1"/>
  <c r="BK41" i="5"/>
  <c r="BL41" i="5" a="1"/>
  <c r="BL41" i="5"/>
  <c r="BM41" i="5" a="1"/>
  <c r="BM41" i="5"/>
  <c r="BN41" i="5" a="1"/>
  <c r="BN41" i="5"/>
  <c r="BO41" i="5" a="1"/>
  <c r="BO41" i="5"/>
  <c r="BP41" i="5" a="1"/>
  <c r="BP41" i="5"/>
  <c r="BQ41" i="5" a="1"/>
  <c r="BQ41" i="5"/>
  <c r="BR41" i="5" a="1"/>
  <c r="BR41" i="5"/>
  <c r="BS41" i="5" a="1"/>
  <c r="BS41" i="5"/>
  <c r="BT41" i="5" a="1"/>
  <c r="BT41" i="5"/>
  <c r="BU41" i="5" a="1"/>
  <c r="BU41" i="5"/>
  <c r="BV41" i="5" a="1"/>
  <c r="BV41" i="5"/>
  <c r="BW41" i="5" a="1"/>
  <c r="BW41" i="5"/>
  <c r="BX41" i="5" a="1"/>
  <c r="BX41" i="5"/>
  <c r="BY41" i="5" a="1"/>
  <c r="BY41" i="5"/>
  <c r="BZ41" i="5" a="1"/>
  <c r="BZ41" i="5"/>
  <c r="CA41" i="5" a="1"/>
  <c r="CA41" i="5"/>
  <c r="CB41" i="5"/>
  <c r="CC41" i="5"/>
  <c r="CD41" i="5"/>
  <c r="CE41" i="5"/>
  <c r="C42" i="5" a="1"/>
  <c r="C42" i="5"/>
  <c r="D42" i="5" a="1"/>
  <c r="D42" i="5"/>
  <c r="E42" i="5" a="1"/>
  <c r="E42" i="5"/>
  <c r="F42" i="5" a="1"/>
  <c r="F42" i="5"/>
  <c r="G42" i="5" a="1"/>
  <c r="G42" i="5"/>
  <c r="H42" i="5" a="1"/>
  <c r="H42" i="5"/>
  <c r="I42" i="5" a="1"/>
  <c r="I42" i="5"/>
  <c r="J42" i="5" a="1"/>
  <c r="J42" i="5"/>
  <c r="K42" i="5" a="1"/>
  <c r="K42" i="5"/>
  <c r="L42" i="5" a="1"/>
  <c r="L42" i="5"/>
  <c r="M42" i="5" a="1"/>
  <c r="M42" i="5"/>
  <c r="N42" i="5" a="1"/>
  <c r="N42" i="5"/>
  <c r="O42" i="5" a="1"/>
  <c r="O42" i="5"/>
  <c r="P42" i="5" a="1"/>
  <c r="P42" i="5"/>
  <c r="Q42" i="5" a="1"/>
  <c r="Q42" i="5"/>
  <c r="R42" i="5" a="1"/>
  <c r="R42" i="5"/>
  <c r="S42" i="5" a="1"/>
  <c r="S42" i="5"/>
  <c r="T42" i="5" a="1"/>
  <c r="T42" i="5"/>
  <c r="U42" i="5" a="1"/>
  <c r="U42" i="5"/>
  <c r="V42" i="5" a="1"/>
  <c r="V42" i="5"/>
  <c r="W42" i="5" a="1"/>
  <c r="W42" i="5"/>
  <c r="X42" i="5" a="1"/>
  <c r="X42" i="5"/>
  <c r="Y42" i="5" a="1"/>
  <c r="Y42" i="5"/>
  <c r="Z42" i="5" a="1"/>
  <c r="Z42" i="5"/>
  <c r="AA42" i="5" a="1"/>
  <c r="AA42" i="5"/>
  <c r="AB42" i="5" a="1"/>
  <c r="AB42" i="5"/>
  <c r="AC42" i="5" a="1"/>
  <c r="AC42" i="5"/>
  <c r="AD42" i="5" a="1"/>
  <c r="AD42" i="5"/>
  <c r="AE42" i="5" a="1"/>
  <c r="AE42" i="5"/>
  <c r="AF42" i="5" a="1"/>
  <c r="AF42" i="5"/>
  <c r="AG42" i="5" a="1"/>
  <c r="AG42" i="5"/>
  <c r="AH42" i="5" a="1"/>
  <c r="AH42" i="5"/>
  <c r="AI42" i="5" a="1"/>
  <c r="AI42" i="5"/>
  <c r="AJ42" i="5" a="1"/>
  <c r="AJ42" i="5"/>
  <c r="AK42" i="5" a="1"/>
  <c r="AK42" i="5"/>
  <c r="AL42" i="5" a="1"/>
  <c r="AL42" i="5"/>
  <c r="AM42" i="5" a="1"/>
  <c r="AM42" i="5"/>
  <c r="AN42" i="5" a="1"/>
  <c r="AN42" i="5"/>
  <c r="AO42" i="5" a="1"/>
  <c r="AO42" i="5"/>
  <c r="AP42" i="5" a="1"/>
  <c r="AP42" i="5"/>
  <c r="AQ42" i="5" a="1"/>
  <c r="AQ42" i="5"/>
  <c r="AR42" i="5" a="1"/>
  <c r="AR42" i="5"/>
  <c r="AS42" i="5" a="1"/>
  <c r="AS42" i="5"/>
  <c r="AT42" i="5" a="1"/>
  <c r="AT42" i="5"/>
  <c r="AU42" i="5" a="1"/>
  <c r="AU42" i="5"/>
  <c r="AV42" i="5" a="1"/>
  <c r="AV42" i="5"/>
  <c r="AW42" i="5" a="1"/>
  <c r="AW42" i="5"/>
  <c r="AX42" i="5" a="1"/>
  <c r="AX42" i="5"/>
  <c r="AY42" i="5" a="1"/>
  <c r="AY42" i="5"/>
  <c r="AZ42" i="5" a="1"/>
  <c r="AZ42" i="5"/>
  <c r="BA42" i="5" a="1"/>
  <c r="BA42" i="5"/>
  <c r="BB42" i="5" a="1"/>
  <c r="BB42" i="5"/>
  <c r="BC42" i="5" a="1"/>
  <c r="BC42" i="5"/>
  <c r="BD42" i="5" a="1"/>
  <c r="BD42" i="5"/>
  <c r="BE42" i="5" a="1"/>
  <c r="BE42" i="5"/>
  <c r="BF42" i="5" a="1"/>
  <c r="BF42" i="5"/>
  <c r="BG42" i="5" a="1"/>
  <c r="BG42" i="5"/>
  <c r="BH42" i="5" a="1"/>
  <c r="BH42" i="5"/>
  <c r="BI42" i="5" a="1"/>
  <c r="BI42" i="5"/>
  <c r="BJ42" i="5" a="1"/>
  <c r="BJ42" i="5"/>
  <c r="BK42" i="5" a="1"/>
  <c r="BK42" i="5"/>
  <c r="BL42" i="5" a="1"/>
  <c r="BL42" i="5"/>
  <c r="BM42" i="5" a="1"/>
  <c r="BM42" i="5"/>
  <c r="BN42" i="5" a="1"/>
  <c r="BN42" i="5"/>
  <c r="BO42" i="5" a="1"/>
  <c r="BO42" i="5"/>
  <c r="BP42" i="5" a="1"/>
  <c r="BP42" i="5"/>
  <c r="BQ42" i="5" a="1"/>
  <c r="BQ42" i="5"/>
  <c r="BR42" i="5" a="1"/>
  <c r="BR42" i="5"/>
  <c r="BS42" i="5" a="1"/>
  <c r="BS42" i="5"/>
  <c r="BT42" i="5" a="1"/>
  <c r="BT42" i="5"/>
  <c r="BU42" i="5" a="1"/>
  <c r="BU42" i="5"/>
  <c r="BV42" i="5" a="1"/>
  <c r="BV42" i="5"/>
  <c r="BW42" i="5" a="1"/>
  <c r="BW42" i="5"/>
  <c r="BX42" i="5" a="1"/>
  <c r="BX42" i="5"/>
  <c r="BY42" i="5" a="1"/>
  <c r="BY42" i="5"/>
  <c r="BZ42" i="5" a="1"/>
  <c r="BZ42" i="5"/>
  <c r="CA42" i="5" a="1"/>
  <c r="CA42" i="5"/>
  <c r="CB42" i="5"/>
  <c r="CC42" i="5"/>
  <c r="CD42" i="5"/>
  <c r="CE42" i="5"/>
  <c r="C43" i="5" a="1"/>
  <c r="C43" i="5"/>
  <c r="D43" i="5" a="1"/>
  <c r="D43" i="5"/>
  <c r="E43" i="5" a="1"/>
  <c r="E43" i="5"/>
  <c r="F43" i="5" a="1"/>
  <c r="F43" i="5"/>
  <c r="G43" i="5" a="1"/>
  <c r="G43" i="5"/>
  <c r="H43" i="5" a="1"/>
  <c r="H43" i="5"/>
  <c r="I43" i="5" a="1"/>
  <c r="I43" i="5"/>
  <c r="J43" i="5" a="1"/>
  <c r="J43" i="5"/>
  <c r="K43" i="5" a="1"/>
  <c r="K43" i="5"/>
  <c r="L43" i="5" a="1"/>
  <c r="L43" i="5"/>
  <c r="M43" i="5" a="1"/>
  <c r="M43" i="5"/>
  <c r="N43" i="5" a="1"/>
  <c r="N43" i="5"/>
  <c r="O43" i="5" a="1"/>
  <c r="O43" i="5"/>
  <c r="P43" i="5" a="1"/>
  <c r="P43" i="5"/>
  <c r="Q43" i="5" a="1"/>
  <c r="Q43" i="5"/>
  <c r="R43" i="5" a="1"/>
  <c r="R43" i="5"/>
  <c r="S43" i="5" a="1"/>
  <c r="S43" i="5"/>
  <c r="T43" i="5" a="1"/>
  <c r="T43" i="5"/>
  <c r="U43" i="5" a="1"/>
  <c r="U43" i="5"/>
  <c r="V43" i="5" a="1"/>
  <c r="V43" i="5"/>
  <c r="W43" i="5" a="1"/>
  <c r="W43" i="5"/>
  <c r="X43" i="5" a="1"/>
  <c r="X43" i="5"/>
  <c r="Y43" i="5" a="1"/>
  <c r="Y43" i="5"/>
  <c r="Z43" i="5" a="1"/>
  <c r="Z43" i="5"/>
  <c r="AA43" i="5" a="1"/>
  <c r="AA43" i="5"/>
  <c r="AB43" i="5" a="1"/>
  <c r="AB43" i="5"/>
  <c r="AC43" i="5" a="1"/>
  <c r="AC43" i="5"/>
  <c r="AD43" i="5" a="1"/>
  <c r="AD43" i="5"/>
  <c r="AE43" i="5" a="1"/>
  <c r="AE43" i="5"/>
  <c r="AF43" i="5" a="1"/>
  <c r="AF43" i="5"/>
  <c r="AG43" i="5" a="1"/>
  <c r="AG43" i="5"/>
  <c r="AH43" i="5" a="1"/>
  <c r="AH43" i="5"/>
  <c r="AI43" i="5" a="1"/>
  <c r="AI43" i="5"/>
  <c r="AJ43" i="5" a="1"/>
  <c r="AJ43" i="5"/>
  <c r="AK43" i="5" a="1"/>
  <c r="AK43" i="5"/>
  <c r="AL43" i="5" a="1"/>
  <c r="AL43" i="5"/>
  <c r="AM43" i="5" a="1"/>
  <c r="AM43" i="5"/>
  <c r="AN43" i="5" a="1"/>
  <c r="AN43" i="5"/>
  <c r="AO43" i="5" a="1"/>
  <c r="AO43" i="5"/>
  <c r="AP43" i="5" a="1"/>
  <c r="AP43" i="5"/>
  <c r="AQ43" i="5" a="1"/>
  <c r="AQ43" i="5"/>
  <c r="AR43" i="5" a="1"/>
  <c r="AR43" i="5"/>
  <c r="AS43" i="5" a="1"/>
  <c r="AS43" i="5"/>
  <c r="AT43" i="5" a="1"/>
  <c r="AT43" i="5"/>
  <c r="AU43" i="5" a="1"/>
  <c r="AU43" i="5"/>
  <c r="AV43" i="5" a="1"/>
  <c r="AV43" i="5"/>
  <c r="AW43" i="5" a="1"/>
  <c r="AW43" i="5"/>
  <c r="AX43" i="5" a="1"/>
  <c r="AX43" i="5"/>
  <c r="AY43" i="5" a="1"/>
  <c r="AY43" i="5"/>
  <c r="AZ43" i="5" a="1"/>
  <c r="AZ43" i="5"/>
  <c r="BA43" i="5" a="1"/>
  <c r="BA43" i="5"/>
  <c r="BB43" i="5" a="1"/>
  <c r="BB43" i="5"/>
  <c r="BC43" i="5" a="1"/>
  <c r="BC43" i="5"/>
  <c r="BD43" i="5" a="1"/>
  <c r="BD43" i="5"/>
  <c r="BE43" i="5" a="1"/>
  <c r="BE43" i="5"/>
  <c r="BF43" i="5" a="1"/>
  <c r="BF43" i="5"/>
  <c r="BG43" i="5" a="1"/>
  <c r="BG43" i="5"/>
  <c r="BH43" i="5" a="1"/>
  <c r="BH43" i="5"/>
  <c r="BI43" i="5" a="1"/>
  <c r="BI43" i="5"/>
  <c r="BJ43" i="5" a="1"/>
  <c r="BJ43" i="5"/>
  <c r="BK43" i="5" a="1"/>
  <c r="BK43" i="5"/>
  <c r="BL43" i="5" a="1"/>
  <c r="BL43" i="5"/>
  <c r="BM43" i="5" a="1"/>
  <c r="BM43" i="5"/>
  <c r="BN43" i="5" a="1"/>
  <c r="BN43" i="5"/>
  <c r="BO43" i="5" a="1"/>
  <c r="BO43" i="5"/>
  <c r="BP43" i="5" a="1"/>
  <c r="BP43" i="5"/>
  <c r="BQ43" i="5" a="1"/>
  <c r="BQ43" i="5"/>
  <c r="BR43" i="5" a="1"/>
  <c r="BR43" i="5"/>
  <c r="BS43" i="5" a="1"/>
  <c r="BS43" i="5"/>
  <c r="BT43" i="5" a="1"/>
  <c r="BT43" i="5"/>
  <c r="BU43" i="5" a="1"/>
  <c r="BU43" i="5"/>
  <c r="BV43" i="5" a="1"/>
  <c r="BV43" i="5"/>
  <c r="BW43" i="5" a="1"/>
  <c r="BW43" i="5"/>
  <c r="BX43" i="5" a="1"/>
  <c r="BX43" i="5"/>
  <c r="BY43" i="5" a="1"/>
  <c r="BY43" i="5"/>
  <c r="BZ43" i="5" a="1"/>
  <c r="BZ43" i="5"/>
  <c r="CA43" i="5" a="1"/>
  <c r="CA43" i="5"/>
  <c r="CB43" i="5"/>
  <c r="CC43" i="5"/>
  <c r="CD43" i="5"/>
  <c r="CE43" i="5"/>
  <c r="C44" i="5" a="1"/>
  <c r="C44" i="5"/>
  <c r="D44" i="5" a="1"/>
  <c r="D44" i="5"/>
  <c r="E44" i="5" a="1"/>
  <c r="E44" i="5"/>
  <c r="F44" i="5" a="1"/>
  <c r="F44" i="5"/>
  <c r="G44" i="5" a="1"/>
  <c r="G44" i="5"/>
  <c r="H44" i="5" a="1"/>
  <c r="H44" i="5"/>
  <c r="I44" i="5" a="1"/>
  <c r="I44" i="5"/>
  <c r="J44" i="5" a="1"/>
  <c r="J44" i="5"/>
  <c r="K44" i="5" a="1"/>
  <c r="K44" i="5"/>
  <c r="L44" i="5" a="1"/>
  <c r="L44" i="5"/>
  <c r="M44" i="5" a="1"/>
  <c r="M44" i="5"/>
  <c r="N44" i="5" a="1"/>
  <c r="N44" i="5"/>
  <c r="O44" i="5" a="1"/>
  <c r="O44" i="5"/>
  <c r="P44" i="5" a="1"/>
  <c r="P44" i="5"/>
  <c r="Q44" i="5" a="1"/>
  <c r="Q44" i="5"/>
  <c r="R44" i="5" a="1"/>
  <c r="R44" i="5"/>
  <c r="S44" i="5" a="1"/>
  <c r="S44" i="5"/>
  <c r="T44" i="5" a="1"/>
  <c r="T44" i="5"/>
  <c r="U44" i="5" a="1"/>
  <c r="U44" i="5"/>
  <c r="V44" i="5" a="1"/>
  <c r="V44" i="5"/>
  <c r="W44" i="5" a="1"/>
  <c r="W44" i="5"/>
  <c r="X44" i="5" a="1"/>
  <c r="X44" i="5"/>
  <c r="Y44" i="5" a="1"/>
  <c r="Y44" i="5"/>
  <c r="Z44" i="5" a="1"/>
  <c r="Z44" i="5"/>
  <c r="AA44" i="5" a="1"/>
  <c r="AA44" i="5"/>
  <c r="AB44" i="5" a="1"/>
  <c r="AB44" i="5"/>
  <c r="AC44" i="5" a="1"/>
  <c r="AC44" i="5"/>
  <c r="AD44" i="5" a="1"/>
  <c r="AD44" i="5"/>
  <c r="AE44" i="5" a="1"/>
  <c r="AE44" i="5"/>
  <c r="AF44" i="5" a="1"/>
  <c r="AF44" i="5"/>
  <c r="AG44" i="5" a="1"/>
  <c r="AG44" i="5"/>
  <c r="AH44" i="5" a="1"/>
  <c r="AH44" i="5"/>
  <c r="AI44" i="5" a="1"/>
  <c r="AI44" i="5"/>
  <c r="AJ44" i="5" a="1"/>
  <c r="AJ44" i="5"/>
  <c r="AK44" i="5" a="1"/>
  <c r="AK44" i="5"/>
  <c r="AL44" i="5" a="1"/>
  <c r="AL44" i="5"/>
  <c r="AM44" i="5" a="1"/>
  <c r="AM44" i="5"/>
  <c r="AN44" i="5" a="1"/>
  <c r="AN44" i="5"/>
  <c r="AO44" i="5" a="1"/>
  <c r="AO44" i="5"/>
  <c r="AP44" i="5" a="1"/>
  <c r="AP44" i="5"/>
  <c r="AQ44" i="5" a="1"/>
  <c r="AQ44" i="5"/>
  <c r="AR44" i="5" a="1"/>
  <c r="AR44" i="5"/>
  <c r="AS44" i="5" a="1"/>
  <c r="AS44" i="5"/>
  <c r="AT44" i="5" a="1"/>
  <c r="AT44" i="5"/>
  <c r="AU44" i="5" a="1"/>
  <c r="AU44" i="5"/>
  <c r="AV44" i="5" a="1"/>
  <c r="AV44" i="5"/>
  <c r="AW44" i="5" a="1"/>
  <c r="AW44" i="5"/>
  <c r="AX44" i="5" a="1"/>
  <c r="AX44" i="5"/>
  <c r="AY44" i="5" a="1"/>
  <c r="AY44" i="5"/>
  <c r="AZ44" i="5" a="1"/>
  <c r="AZ44" i="5"/>
  <c r="BA44" i="5" a="1"/>
  <c r="BA44" i="5"/>
  <c r="BB44" i="5" a="1"/>
  <c r="BB44" i="5"/>
  <c r="BC44" i="5" a="1"/>
  <c r="BC44" i="5"/>
  <c r="BD44" i="5" a="1"/>
  <c r="BD44" i="5"/>
  <c r="BE44" i="5" a="1"/>
  <c r="BE44" i="5"/>
  <c r="BF44" i="5" a="1"/>
  <c r="BF44" i="5"/>
  <c r="BG44" i="5" a="1"/>
  <c r="BG44" i="5"/>
  <c r="BH44" i="5" a="1"/>
  <c r="BH44" i="5"/>
  <c r="BI44" i="5" a="1"/>
  <c r="BI44" i="5"/>
  <c r="BJ44" i="5" a="1"/>
  <c r="BJ44" i="5"/>
  <c r="BK44" i="5" a="1"/>
  <c r="BK44" i="5"/>
  <c r="BL44" i="5" a="1"/>
  <c r="BL44" i="5"/>
  <c r="BM44" i="5" a="1"/>
  <c r="BM44" i="5"/>
  <c r="BN44" i="5" a="1"/>
  <c r="BN44" i="5"/>
  <c r="BO44" i="5" a="1"/>
  <c r="BO44" i="5"/>
  <c r="BP44" i="5" a="1"/>
  <c r="BP44" i="5"/>
  <c r="BQ44" i="5" a="1"/>
  <c r="BQ44" i="5"/>
  <c r="BR44" i="5" a="1"/>
  <c r="BR44" i="5"/>
  <c r="BS44" i="5" a="1"/>
  <c r="BS44" i="5"/>
  <c r="BT44" i="5" a="1"/>
  <c r="BT44" i="5"/>
  <c r="BU44" i="5" a="1"/>
  <c r="BU44" i="5"/>
  <c r="BV44" i="5" a="1"/>
  <c r="BV44" i="5"/>
  <c r="BW44" i="5" a="1"/>
  <c r="BW44" i="5"/>
  <c r="BX44" i="5" a="1"/>
  <c r="BX44" i="5"/>
  <c r="BY44" i="5" a="1"/>
  <c r="BY44" i="5"/>
  <c r="BZ44" i="5" a="1"/>
  <c r="BZ44" i="5"/>
  <c r="CA44" i="5" a="1"/>
  <c r="CA44" i="5"/>
  <c r="CB44" i="5"/>
  <c r="CC44" i="5"/>
  <c r="CD44" i="5"/>
  <c r="CE44" i="5"/>
  <c r="C45" i="5" a="1"/>
  <c r="C45" i="5"/>
  <c r="D45" i="5" a="1"/>
  <c r="D45" i="5"/>
  <c r="E45" i="5" a="1"/>
  <c r="E45" i="5"/>
  <c r="F45" i="5" a="1"/>
  <c r="F45" i="5"/>
  <c r="G45" i="5" a="1"/>
  <c r="G45" i="5"/>
  <c r="H45" i="5" a="1"/>
  <c r="H45" i="5"/>
  <c r="I45" i="5" a="1"/>
  <c r="I45" i="5"/>
  <c r="J45" i="5" a="1"/>
  <c r="J45" i="5"/>
  <c r="K45" i="5" a="1"/>
  <c r="K45" i="5"/>
  <c r="L45" i="5" a="1"/>
  <c r="L45" i="5"/>
  <c r="M45" i="5" a="1"/>
  <c r="M45" i="5"/>
  <c r="N45" i="5" a="1"/>
  <c r="N45" i="5"/>
  <c r="O45" i="5" a="1"/>
  <c r="O45" i="5"/>
  <c r="P45" i="5" a="1"/>
  <c r="P45" i="5"/>
  <c r="Q45" i="5" a="1"/>
  <c r="Q45" i="5"/>
  <c r="R45" i="5" a="1"/>
  <c r="R45" i="5"/>
  <c r="S45" i="5" a="1"/>
  <c r="S45" i="5"/>
  <c r="T45" i="5" a="1"/>
  <c r="T45" i="5"/>
  <c r="U45" i="5" a="1"/>
  <c r="U45" i="5"/>
  <c r="V45" i="5" a="1"/>
  <c r="V45" i="5"/>
  <c r="W45" i="5" a="1"/>
  <c r="W45" i="5"/>
  <c r="X45" i="5" a="1"/>
  <c r="X45" i="5"/>
  <c r="Y45" i="5" a="1"/>
  <c r="Y45" i="5"/>
  <c r="Z45" i="5" a="1"/>
  <c r="Z45" i="5"/>
  <c r="AA45" i="5" a="1"/>
  <c r="AA45" i="5"/>
  <c r="AB45" i="5" a="1"/>
  <c r="AB45" i="5"/>
  <c r="AC45" i="5" a="1"/>
  <c r="AC45" i="5"/>
  <c r="AD45" i="5" a="1"/>
  <c r="AD45" i="5"/>
  <c r="AE45" i="5" a="1"/>
  <c r="AE45" i="5"/>
  <c r="AF45" i="5" a="1"/>
  <c r="AF45" i="5"/>
  <c r="AG45" i="5" a="1"/>
  <c r="AG45" i="5"/>
  <c r="AH45" i="5" a="1"/>
  <c r="AH45" i="5"/>
  <c r="AI45" i="5" a="1"/>
  <c r="AI45" i="5"/>
  <c r="AJ45" i="5" a="1"/>
  <c r="AJ45" i="5"/>
  <c r="AK45" i="5" a="1"/>
  <c r="AK45" i="5"/>
  <c r="AL45" i="5" a="1"/>
  <c r="AL45" i="5"/>
  <c r="AM45" i="5" a="1"/>
  <c r="AM45" i="5"/>
  <c r="AN45" i="5" a="1"/>
  <c r="AN45" i="5"/>
  <c r="AO45" i="5" a="1"/>
  <c r="AO45" i="5"/>
  <c r="AP45" i="5" a="1"/>
  <c r="AP45" i="5"/>
  <c r="AQ45" i="5" a="1"/>
  <c r="AQ45" i="5"/>
  <c r="AR45" i="5" a="1"/>
  <c r="AR45" i="5"/>
  <c r="AS45" i="5" a="1"/>
  <c r="AS45" i="5"/>
  <c r="AT45" i="5" a="1"/>
  <c r="AT45" i="5"/>
  <c r="AU45" i="5" a="1"/>
  <c r="AU45" i="5"/>
  <c r="AV45" i="5" a="1"/>
  <c r="AV45" i="5"/>
  <c r="AW45" i="5" a="1"/>
  <c r="AW45" i="5"/>
  <c r="AX45" i="5" a="1"/>
  <c r="AX45" i="5"/>
  <c r="AY45" i="5" a="1"/>
  <c r="AY45" i="5"/>
  <c r="AZ45" i="5" a="1"/>
  <c r="AZ45" i="5"/>
  <c r="BA45" i="5" a="1"/>
  <c r="BA45" i="5"/>
  <c r="BB45" i="5" a="1"/>
  <c r="BB45" i="5"/>
  <c r="BC45" i="5" a="1"/>
  <c r="BC45" i="5"/>
  <c r="BD45" i="5" a="1"/>
  <c r="BD45" i="5"/>
  <c r="BE45" i="5" a="1"/>
  <c r="BE45" i="5"/>
  <c r="BF45" i="5" a="1"/>
  <c r="BF45" i="5"/>
  <c r="BG45" i="5" a="1"/>
  <c r="BG45" i="5"/>
  <c r="BH45" i="5" a="1"/>
  <c r="BH45" i="5"/>
  <c r="BI45" i="5" a="1"/>
  <c r="BI45" i="5"/>
  <c r="BJ45" i="5" a="1"/>
  <c r="BJ45" i="5"/>
  <c r="BK45" i="5" a="1"/>
  <c r="BK45" i="5"/>
  <c r="BL45" i="5" a="1"/>
  <c r="BL45" i="5"/>
  <c r="BM45" i="5" a="1"/>
  <c r="BM45" i="5"/>
  <c r="BN45" i="5" a="1"/>
  <c r="BN45" i="5"/>
  <c r="BO45" i="5" a="1"/>
  <c r="BO45" i="5"/>
  <c r="BP45" i="5" a="1"/>
  <c r="BP45" i="5"/>
  <c r="BQ45" i="5" a="1"/>
  <c r="BQ45" i="5"/>
  <c r="BR45" i="5" a="1"/>
  <c r="BR45" i="5"/>
  <c r="BS45" i="5" a="1"/>
  <c r="BS45" i="5"/>
  <c r="BT45" i="5" a="1"/>
  <c r="BT45" i="5"/>
  <c r="BU45" i="5" a="1"/>
  <c r="BU45" i="5"/>
  <c r="BV45" i="5" a="1"/>
  <c r="BV45" i="5"/>
  <c r="BW45" i="5" a="1"/>
  <c r="BW45" i="5"/>
  <c r="BX45" i="5" a="1"/>
  <c r="BX45" i="5"/>
  <c r="BY45" i="5" a="1"/>
  <c r="BY45" i="5"/>
  <c r="BZ45" i="5" a="1"/>
  <c r="BZ45" i="5"/>
  <c r="CA45" i="5" a="1"/>
  <c r="CA45" i="5"/>
  <c r="CB45" i="5"/>
  <c r="CC45" i="5"/>
  <c r="CD45" i="5"/>
  <c r="CE45" i="5"/>
  <c r="C46" i="5" a="1"/>
  <c r="C46" i="5"/>
  <c r="D46" i="5" a="1"/>
  <c r="D46" i="5"/>
  <c r="E46" i="5" a="1"/>
  <c r="E46" i="5"/>
  <c r="F46" i="5" a="1"/>
  <c r="F46" i="5"/>
  <c r="G46" i="5" a="1"/>
  <c r="G46" i="5"/>
  <c r="H46" i="5" a="1"/>
  <c r="H46" i="5"/>
  <c r="I46" i="5" a="1"/>
  <c r="I46" i="5"/>
  <c r="J46" i="5" a="1"/>
  <c r="J46" i="5"/>
  <c r="K46" i="5" a="1"/>
  <c r="K46" i="5"/>
  <c r="L46" i="5" a="1"/>
  <c r="L46" i="5"/>
  <c r="M46" i="5" a="1"/>
  <c r="M46" i="5"/>
  <c r="N46" i="5" a="1"/>
  <c r="N46" i="5"/>
  <c r="O46" i="5" a="1"/>
  <c r="O46" i="5"/>
  <c r="P46" i="5" a="1"/>
  <c r="P46" i="5"/>
  <c r="Q46" i="5" a="1"/>
  <c r="Q46" i="5"/>
  <c r="R46" i="5" a="1"/>
  <c r="R46" i="5"/>
  <c r="S46" i="5" a="1"/>
  <c r="S46" i="5"/>
  <c r="T46" i="5" a="1"/>
  <c r="T46" i="5"/>
  <c r="U46" i="5" a="1"/>
  <c r="U46" i="5"/>
  <c r="V46" i="5" a="1"/>
  <c r="V46" i="5"/>
  <c r="W46" i="5" a="1"/>
  <c r="W46" i="5"/>
  <c r="X46" i="5" a="1"/>
  <c r="X46" i="5"/>
  <c r="Y46" i="5" a="1"/>
  <c r="Y46" i="5"/>
  <c r="Z46" i="5" a="1"/>
  <c r="Z46" i="5"/>
  <c r="AA46" i="5" a="1"/>
  <c r="AA46" i="5"/>
  <c r="AB46" i="5" a="1"/>
  <c r="AB46" i="5"/>
  <c r="AC46" i="5" a="1"/>
  <c r="AC46" i="5"/>
  <c r="AD46" i="5" a="1"/>
  <c r="AD46" i="5"/>
  <c r="AE46" i="5" a="1"/>
  <c r="AE46" i="5"/>
  <c r="AF46" i="5" a="1"/>
  <c r="AF46" i="5"/>
  <c r="AG46" i="5" a="1"/>
  <c r="AG46" i="5"/>
  <c r="AH46" i="5" a="1"/>
  <c r="AH46" i="5"/>
  <c r="AI46" i="5" a="1"/>
  <c r="AI46" i="5"/>
  <c r="AJ46" i="5" a="1"/>
  <c r="AJ46" i="5"/>
  <c r="AK46" i="5" a="1"/>
  <c r="AK46" i="5"/>
  <c r="AL46" i="5" a="1"/>
  <c r="AL46" i="5"/>
  <c r="AM46" i="5" a="1"/>
  <c r="AM46" i="5"/>
  <c r="AN46" i="5" a="1"/>
  <c r="AN46" i="5"/>
  <c r="AO46" i="5" a="1"/>
  <c r="AO46" i="5"/>
  <c r="AP46" i="5" a="1"/>
  <c r="AP46" i="5"/>
  <c r="AQ46" i="5" a="1"/>
  <c r="AQ46" i="5"/>
  <c r="AR46" i="5" a="1"/>
  <c r="AR46" i="5"/>
  <c r="AS46" i="5" a="1"/>
  <c r="AS46" i="5"/>
  <c r="AT46" i="5" a="1"/>
  <c r="AT46" i="5"/>
  <c r="AU46" i="5" a="1"/>
  <c r="AU46" i="5"/>
  <c r="AV46" i="5" a="1"/>
  <c r="AV46" i="5"/>
  <c r="AW46" i="5" a="1"/>
  <c r="AW46" i="5"/>
  <c r="AX46" i="5" a="1"/>
  <c r="AX46" i="5"/>
  <c r="AY46" i="5" a="1"/>
  <c r="AY46" i="5"/>
  <c r="AZ46" i="5" a="1"/>
  <c r="AZ46" i="5"/>
  <c r="BA46" i="5" a="1"/>
  <c r="BA46" i="5"/>
  <c r="BB46" i="5" a="1"/>
  <c r="BB46" i="5"/>
  <c r="BC46" i="5" a="1"/>
  <c r="BC46" i="5"/>
  <c r="BD46" i="5" a="1"/>
  <c r="BD46" i="5"/>
  <c r="BE46" i="5" a="1"/>
  <c r="BE46" i="5"/>
  <c r="BF46" i="5" a="1"/>
  <c r="BF46" i="5"/>
  <c r="BG46" i="5" a="1"/>
  <c r="BG46" i="5"/>
  <c r="BH46" i="5" a="1"/>
  <c r="BH46" i="5"/>
  <c r="BI46" i="5" a="1"/>
  <c r="BI46" i="5"/>
  <c r="BJ46" i="5" a="1"/>
  <c r="BJ46" i="5"/>
  <c r="BK46" i="5" a="1"/>
  <c r="BK46" i="5"/>
  <c r="BL46" i="5" a="1"/>
  <c r="BL46" i="5"/>
  <c r="BM46" i="5" a="1"/>
  <c r="BM46" i="5"/>
  <c r="BN46" i="5" a="1"/>
  <c r="BN46" i="5"/>
  <c r="BO46" i="5" a="1"/>
  <c r="BO46" i="5"/>
  <c r="BP46" i="5" a="1"/>
  <c r="BP46" i="5"/>
  <c r="BQ46" i="5" a="1"/>
  <c r="BQ46" i="5"/>
  <c r="BR46" i="5" a="1"/>
  <c r="BR46" i="5"/>
  <c r="BS46" i="5" a="1"/>
  <c r="BS46" i="5"/>
  <c r="BT46" i="5" a="1"/>
  <c r="BT46" i="5"/>
  <c r="BU46" i="5" a="1"/>
  <c r="BU46" i="5"/>
  <c r="BV46" i="5" a="1"/>
  <c r="BV46" i="5"/>
  <c r="BW46" i="5" a="1"/>
  <c r="BW46" i="5"/>
  <c r="BX46" i="5" a="1"/>
  <c r="BX46" i="5"/>
  <c r="BY46" i="5" a="1"/>
  <c r="BY46" i="5"/>
  <c r="BZ46" i="5" a="1"/>
  <c r="BZ46" i="5"/>
  <c r="CA46" i="5" a="1"/>
  <c r="CA46" i="5"/>
  <c r="CB46" i="5"/>
  <c r="CC46" i="5"/>
  <c r="CD46" i="5"/>
  <c r="CE46" i="5"/>
  <c r="C47" i="5" a="1"/>
  <c r="C47" i="5"/>
  <c r="D47" i="5" a="1"/>
  <c r="D47" i="5"/>
  <c r="E47" i="5" a="1"/>
  <c r="E47" i="5"/>
  <c r="F47" i="5" a="1"/>
  <c r="F47" i="5"/>
  <c r="G47" i="5" a="1"/>
  <c r="G47" i="5"/>
  <c r="H47" i="5" a="1"/>
  <c r="H47" i="5"/>
  <c r="I47" i="5" a="1"/>
  <c r="I47" i="5"/>
  <c r="J47" i="5" a="1"/>
  <c r="J47" i="5"/>
  <c r="K47" i="5" a="1"/>
  <c r="K47" i="5"/>
  <c r="L47" i="5" a="1"/>
  <c r="L47" i="5"/>
  <c r="M47" i="5" a="1"/>
  <c r="M47" i="5"/>
  <c r="N47" i="5" a="1"/>
  <c r="N47" i="5"/>
  <c r="O47" i="5" a="1"/>
  <c r="O47" i="5"/>
  <c r="P47" i="5" a="1"/>
  <c r="P47" i="5"/>
  <c r="Q47" i="5" a="1"/>
  <c r="Q47" i="5"/>
  <c r="R47" i="5" a="1"/>
  <c r="R47" i="5"/>
  <c r="S47" i="5" a="1"/>
  <c r="S47" i="5"/>
  <c r="T47" i="5" a="1"/>
  <c r="T47" i="5"/>
  <c r="U47" i="5" a="1"/>
  <c r="U47" i="5"/>
  <c r="V47" i="5" a="1"/>
  <c r="V47" i="5"/>
  <c r="W47" i="5" a="1"/>
  <c r="W47" i="5"/>
  <c r="X47" i="5" a="1"/>
  <c r="X47" i="5"/>
  <c r="Y47" i="5" a="1"/>
  <c r="Y47" i="5"/>
  <c r="Z47" i="5" a="1"/>
  <c r="Z47" i="5"/>
  <c r="AA47" i="5" a="1"/>
  <c r="AA47" i="5"/>
  <c r="AB47" i="5" a="1"/>
  <c r="AB47" i="5"/>
  <c r="AC47" i="5" a="1"/>
  <c r="AC47" i="5"/>
  <c r="AD47" i="5" a="1"/>
  <c r="AD47" i="5"/>
  <c r="AE47" i="5" a="1"/>
  <c r="AE47" i="5"/>
  <c r="AF47" i="5" a="1"/>
  <c r="AF47" i="5"/>
  <c r="AG47" i="5" a="1"/>
  <c r="AG47" i="5"/>
  <c r="AH47" i="5" a="1"/>
  <c r="AH47" i="5"/>
  <c r="AI47" i="5" a="1"/>
  <c r="AI47" i="5"/>
  <c r="AJ47" i="5" a="1"/>
  <c r="AJ47" i="5"/>
  <c r="AK47" i="5" a="1"/>
  <c r="AK47" i="5"/>
  <c r="AL47" i="5" a="1"/>
  <c r="AL47" i="5"/>
  <c r="AM47" i="5" a="1"/>
  <c r="AM47" i="5"/>
  <c r="AN47" i="5" a="1"/>
  <c r="AN47" i="5"/>
  <c r="AO47" i="5" a="1"/>
  <c r="AO47" i="5"/>
  <c r="AP47" i="5" a="1"/>
  <c r="AP47" i="5"/>
  <c r="AQ47" i="5" a="1"/>
  <c r="AQ47" i="5"/>
  <c r="AR47" i="5" a="1"/>
  <c r="AR47" i="5"/>
  <c r="AS47" i="5" a="1"/>
  <c r="AS47" i="5"/>
  <c r="AT47" i="5" a="1"/>
  <c r="AT47" i="5"/>
  <c r="AU47" i="5" a="1"/>
  <c r="AU47" i="5"/>
  <c r="AV47" i="5" a="1"/>
  <c r="AV47" i="5"/>
  <c r="AW47" i="5" a="1"/>
  <c r="AW47" i="5"/>
  <c r="AX47" i="5" a="1"/>
  <c r="AX47" i="5"/>
  <c r="AY47" i="5" a="1"/>
  <c r="AY47" i="5"/>
  <c r="AZ47" i="5" a="1"/>
  <c r="AZ47" i="5"/>
  <c r="BA47" i="5" a="1"/>
  <c r="BA47" i="5"/>
  <c r="BB47" i="5" a="1"/>
  <c r="BB47" i="5"/>
  <c r="BC47" i="5" a="1"/>
  <c r="BC47" i="5"/>
  <c r="BD47" i="5" a="1"/>
  <c r="BD47" i="5"/>
  <c r="BE47" i="5" a="1"/>
  <c r="BE47" i="5"/>
  <c r="BF47" i="5" a="1"/>
  <c r="BF47" i="5"/>
  <c r="BG47" i="5" a="1"/>
  <c r="BG47" i="5"/>
  <c r="BH47" i="5" a="1"/>
  <c r="BH47" i="5"/>
  <c r="BI47" i="5" a="1"/>
  <c r="BI47" i="5"/>
  <c r="BJ47" i="5" a="1"/>
  <c r="BJ47" i="5"/>
  <c r="BK47" i="5" a="1"/>
  <c r="BK47" i="5"/>
  <c r="BL47" i="5" a="1"/>
  <c r="BL47" i="5"/>
  <c r="BM47" i="5" a="1"/>
  <c r="BM47" i="5"/>
  <c r="BN47" i="5" a="1"/>
  <c r="BN47" i="5"/>
  <c r="BO47" i="5" a="1"/>
  <c r="BO47" i="5"/>
  <c r="BP47" i="5" a="1"/>
  <c r="BP47" i="5"/>
  <c r="BQ47" i="5" a="1"/>
  <c r="BQ47" i="5"/>
  <c r="BR47" i="5" a="1"/>
  <c r="BR47" i="5"/>
  <c r="BS47" i="5" a="1"/>
  <c r="BS47" i="5"/>
  <c r="BT47" i="5" a="1"/>
  <c r="BT47" i="5"/>
  <c r="BU47" i="5" a="1"/>
  <c r="BU47" i="5"/>
  <c r="BV47" i="5" a="1"/>
  <c r="BV47" i="5"/>
  <c r="BW47" i="5" a="1"/>
  <c r="BW47" i="5"/>
  <c r="BX47" i="5" a="1"/>
  <c r="BX47" i="5"/>
  <c r="BY47" i="5" a="1"/>
  <c r="BY47" i="5"/>
  <c r="BZ47" i="5" a="1"/>
  <c r="BZ47" i="5"/>
  <c r="CA47" i="5" a="1"/>
  <c r="CA47" i="5"/>
  <c r="CB47" i="5"/>
  <c r="CC47" i="5"/>
  <c r="CD47" i="5"/>
  <c r="CE47" i="5"/>
  <c r="C48" i="5" a="1"/>
  <c r="C48" i="5"/>
  <c r="D48" i="5" a="1"/>
  <c r="D48" i="5"/>
  <c r="E48" i="5" a="1"/>
  <c r="E48" i="5"/>
  <c r="F48" i="5" a="1"/>
  <c r="F48" i="5"/>
  <c r="G48" i="5" a="1"/>
  <c r="G48" i="5"/>
  <c r="H48" i="5" a="1"/>
  <c r="H48" i="5"/>
  <c r="I48" i="5" a="1"/>
  <c r="I48" i="5"/>
  <c r="J48" i="5" a="1"/>
  <c r="J48" i="5"/>
  <c r="K48" i="5" a="1"/>
  <c r="K48" i="5"/>
  <c r="L48" i="5" a="1"/>
  <c r="L48" i="5"/>
  <c r="M48" i="5" a="1"/>
  <c r="M48" i="5"/>
  <c r="N48" i="5" a="1"/>
  <c r="N48" i="5"/>
  <c r="O48" i="5" a="1"/>
  <c r="O48" i="5"/>
  <c r="P48" i="5" a="1"/>
  <c r="P48" i="5"/>
  <c r="Q48" i="5" a="1"/>
  <c r="Q48" i="5"/>
  <c r="R48" i="5" a="1"/>
  <c r="R48" i="5"/>
  <c r="S48" i="5" a="1"/>
  <c r="S48" i="5"/>
  <c r="T48" i="5" a="1"/>
  <c r="T48" i="5"/>
  <c r="U48" i="5" a="1"/>
  <c r="U48" i="5"/>
  <c r="V48" i="5" a="1"/>
  <c r="V48" i="5"/>
  <c r="W48" i="5" a="1"/>
  <c r="W48" i="5"/>
  <c r="X48" i="5" a="1"/>
  <c r="X48" i="5"/>
  <c r="Y48" i="5" a="1"/>
  <c r="Y48" i="5"/>
  <c r="Z48" i="5" a="1"/>
  <c r="Z48" i="5"/>
  <c r="AA48" i="5" a="1"/>
  <c r="AA48" i="5"/>
  <c r="AB48" i="5" a="1"/>
  <c r="AB48" i="5"/>
  <c r="AC48" i="5" a="1"/>
  <c r="AC48" i="5"/>
  <c r="AD48" i="5" a="1"/>
  <c r="AD48" i="5"/>
  <c r="AE48" i="5" a="1"/>
  <c r="AE48" i="5"/>
  <c r="AF48" i="5" a="1"/>
  <c r="AF48" i="5"/>
  <c r="AG48" i="5" a="1"/>
  <c r="AG48" i="5"/>
  <c r="AH48" i="5" a="1"/>
  <c r="AH48" i="5"/>
  <c r="AI48" i="5" a="1"/>
  <c r="AI48" i="5"/>
  <c r="AJ48" i="5" a="1"/>
  <c r="AJ48" i="5"/>
  <c r="AK48" i="5" a="1"/>
  <c r="AK48" i="5"/>
  <c r="AL48" i="5" a="1"/>
  <c r="AL48" i="5"/>
  <c r="AM48" i="5" a="1"/>
  <c r="AM48" i="5"/>
  <c r="AN48" i="5" a="1"/>
  <c r="AN48" i="5"/>
  <c r="AO48" i="5" a="1"/>
  <c r="AO48" i="5"/>
  <c r="AP48" i="5" a="1"/>
  <c r="AP48" i="5"/>
  <c r="AQ48" i="5" a="1"/>
  <c r="AQ48" i="5"/>
  <c r="AR48" i="5" a="1"/>
  <c r="AR48" i="5"/>
  <c r="AS48" i="5" a="1"/>
  <c r="AS48" i="5"/>
  <c r="AT48" i="5" a="1"/>
  <c r="AT48" i="5"/>
  <c r="AU48" i="5" a="1"/>
  <c r="AU48" i="5"/>
  <c r="AV48" i="5" a="1"/>
  <c r="AV48" i="5"/>
  <c r="AW48" i="5" a="1"/>
  <c r="AW48" i="5"/>
  <c r="AX48" i="5" a="1"/>
  <c r="AX48" i="5"/>
  <c r="AY48" i="5" a="1"/>
  <c r="AY48" i="5"/>
  <c r="AZ48" i="5" a="1"/>
  <c r="AZ48" i="5"/>
  <c r="BA48" i="5" a="1"/>
  <c r="BA48" i="5"/>
  <c r="BB48" i="5" a="1"/>
  <c r="BB48" i="5"/>
  <c r="BC48" i="5" a="1"/>
  <c r="BC48" i="5"/>
  <c r="BD48" i="5" a="1"/>
  <c r="BD48" i="5"/>
  <c r="BE48" i="5" a="1"/>
  <c r="BE48" i="5"/>
  <c r="BF48" i="5" a="1"/>
  <c r="BF48" i="5"/>
  <c r="BG48" i="5" a="1"/>
  <c r="BG48" i="5"/>
  <c r="BH48" i="5" a="1"/>
  <c r="BH48" i="5"/>
  <c r="BI48" i="5" a="1"/>
  <c r="BI48" i="5"/>
  <c r="BJ48" i="5" a="1"/>
  <c r="BJ48" i="5"/>
  <c r="BK48" i="5" a="1"/>
  <c r="BK48" i="5"/>
  <c r="BL48" i="5" a="1"/>
  <c r="BL48" i="5"/>
  <c r="BM48" i="5" a="1"/>
  <c r="BM48" i="5"/>
  <c r="BN48" i="5" a="1"/>
  <c r="BN48" i="5"/>
  <c r="BO48" i="5" a="1"/>
  <c r="BO48" i="5"/>
  <c r="BP48" i="5" a="1"/>
  <c r="BP48" i="5"/>
  <c r="BQ48" i="5" a="1"/>
  <c r="BQ48" i="5"/>
  <c r="BR48" i="5" a="1"/>
  <c r="BR48" i="5"/>
  <c r="BS48" i="5" a="1"/>
  <c r="BS48" i="5"/>
  <c r="BT48" i="5" a="1"/>
  <c r="BT48" i="5"/>
  <c r="BU48" i="5" a="1"/>
  <c r="BU48" i="5"/>
  <c r="BV48" i="5" a="1"/>
  <c r="BV48" i="5"/>
  <c r="BW48" i="5" a="1"/>
  <c r="BW48" i="5"/>
  <c r="BX48" i="5" a="1"/>
  <c r="BX48" i="5"/>
  <c r="BY48" i="5" a="1"/>
  <c r="BY48" i="5"/>
  <c r="BZ48" i="5" a="1"/>
  <c r="BZ48" i="5"/>
  <c r="CA48" i="5" a="1"/>
  <c r="CA48" i="5"/>
  <c r="CB48" i="5"/>
  <c r="CC48" i="5"/>
  <c r="CD48" i="5"/>
  <c r="CE48" i="5"/>
  <c r="C49" i="5" a="1"/>
  <c r="C49" i="5"/>
  <c r="D49" i="5" a="1"/>
  <c r="D49" i="5"/>
  <c r="E49" i="5" a="1"/>
  <c r="E49" i="5"/>
  <c r="F49" i="5" a="1"/>
  <c r="F49" i="5"/>
  <c r="G49" i="5" a="1"/>
  <c r="G49" i="5"/>
  <c r="H49" i="5" a="1"/>
  <c r="H49" i="5"/>
  <c r="I49" i="5" a="1"/>
  <c r="I49" i="5"/>
  <c r="J49" i="5" a="1"/>
  <c r="J49" i="5"/>
  <c r="K49" i="5" a="1"/>
  <c r="K49" i="5"/>
  <c r="L49" i="5" a="1"/>
  <c r="L49" i="5"/>
  <c r="M49" i="5" a="1"/>
  <c r="M49" i="5"/>
  <c r="N49" i="5" a="1"/>
  <c r="N49" i="5"/>
  <c r="O49" i="5" a="1"/>
  <c r="O49" i="5"/>
  <c r="P49" i="5" a="1"/>
  <c r="P49" i="5"/>
  <c r="Q49" i="5" a="1"/>
  <c r="Q49" i="5"/>
  <c r="R49" i="5" a="1"/>
  <c r="R49" i="5"/>
  <c r="S49" i="5" a="1"/>
  <c r="S49" i="5"/>
  <c r="T49" i="5" a="1"/>
  <c r="T49" i="5"/>
  <c r="U49" i="5" a="1"/>
  <c r="U49" i="5"/>
  <c r="V49" i="5" a="1"/>
  <c r="V49" i="5"/>
  <c r="W49" i="5" a="1"/>
  <c r="W49" i="5"/>
  <c r="X49" i="5" a="1"/>
  <c r="X49" i="5"/>
  <c r="Y49" i="5" a="1"/>
  <c r="Y49" i="5"/>
  <c r="Z49" i="5" a="1"/>
  <c r="Z49" i="5"/>
  <c r="AA49" i="5" a="1"/>
  <c r="AA49" i="5"/>
  <c r="AB49" i="5" a="1"/>
  <c r="AB49" i="5"/>
  <c r="AC49" i="5" a="1"/>
  <c r="AC49" i="5"/>
  <c r="AD49" i="5" a="1"/>
  <c r="AD49" i="5"/>
  <c r="AE49" i="5" a="1"/>
  <c r="AE49" i="5"/>
  <c r="AF49" i="5" a="1"/>
  <c r="AF49" i="5"/>
  <c r="AG49" i="5" a="1"/>
  <c r="AG49" i="5"/>
  <c r="AH49" i="5" a="1"/>
  <c r="AH49" i="5"/>
  <c r="AI49" i="5" a="1"/>
  <c r="AI49" i="5"/>
  <c r="AJ49" i="5" a="1"/>
  <c r="AJ49" i="5"/>
  <c r="AK49" i="5" a="1"/>
  <c r="AK49" i="5"/>
  <c r="AL49" i="5" a="1"/>
  <c r="AL49" i="5"/>
  <c r="AM49" i="5" a="1"/>
  <c r="AM49" i="5"/>
  <c r="AN49" i="5" a="1"/>
  <c r="AN49" i="5"/>
  <c r="AO49" i="5" a="1"/>
  <c r="AO49" i="5"/>
  <c r="AP49" i="5" a="1"/>
  <c r="AP49" i="5"/>
  <c r="AQ49" i="5" a="1"/>
  <c r="AQ49" i="5"/>
  <c r="AR49" i="5" a="1"/>
  <c r="AR49" i="5"/>
  <c r="AS49" i="5" a="1"/>
  <c r="AS49" i="5"/>
  <c r="AT49" i="5" a="1"/>
  <c r="AT49" i="5"/>
  <c r="AU49" i="5" a="1"/>
  <c r="AU49" i="5"/>
  <c r="AV49" i="5" a="1"/>
  <c r="AV49" i="5"/>
  <c r="AW49" i="5" a="1"/>
  <c r="AW49" i="5"/>
  <c r="AX49" i="5" a="1"/>
  <c r="AX49" i="5"/>
  <c r="AY49" i="5" a="1"/>
  <c r="AY49" i="5"/>
  <c r="AZ49" i="5" a="1"/>
  <c r="AZ49" i="5"/>
  <c r="BA49" i="5" a="1"/>
  <c r="BA49" i="5"/>
  <c r="BB49" i="5" a="1"/>
  <c r="BB49" i="5"/>
  <c r="BC49" i="5" a="1"/>
  <c r="BC49" i="5"/>
  <c r="BD49" i="5" a="1"/>
  <c r="BD49" i="5"/>
  <c r="BE49" i="5" a="1"/>
  <c r="BE49" i="5"/>
  <c r="BF49" i="5" a="1"/>
  <c r="BF49" i="5"/>
  <c r="BG49" i="5" a="1"/>
  <c r="BG49" i="5"/>
  <c r="BH49" i="5" a="1"/>
  <c r="BH49" i="5"/>
  <c r="BI49" i="5" a="1"/>
  <c r="BI49" i="5"/>
  <c r="BJ49" i="5" a="1"/>
  <c r="BJ49" i="5"/>
  <c r="BK49" i="5" a="1"/>
  <c r="BK49" i="5"/>
  <c r="BL49" i="5" a="1"/>
  <c r="BL49" i="5"/>
  <c r="BM49" i="5" a="1"/>
  <c r="BM49" i="5"/>
  <c r="BN49" i="5" a="1"/>
  <c r="BN49" i="5"/>
  <c r="BO49" i="5" a="1"/>
  <c r="BO49" i="5"/>
  <c r="BP49" i="5" a="1"/>
  <c r="BP49" i="5"/>
  <c r="BQ49" i="5" a="1"/>
  <c r="BQ49" i="5"/>
  <c r="BR49" i="5" a="1"/>
  <c r="BR49" i="5"/>
  <c r="BS49" i="5" a="1"/>
  <c r="BS49" i="5"/>
  <c r="BT49" i="5" a="1"/>
  <c r="BT49" i="5"/>
  <c r="BU49" i="5" a="1"/>
  <c r="BU49" i="5"/>
  <c r="BV49" i="5" a="1"/>
  <c r="BV49" i="5"/>
  <c r="BW49" i="5" a="1"/>
  <c r="BW49" i="5"/>
  <c r="BX49" i="5" a="1"/>
  <c r="BX49" i="5"/>
  <c r="BY49" i="5" a="1"/>
  <c r="BY49" i="5"/>
  <c r="BZ49" i="5" a="1"/>
  <c r="BZ49" i="5"/>
  <c r="CA49" i="5" a="1"/>
  <c r="CA49" i="5"/>
  <c r="CB49" i="5"/>
  <c r="CC49" i="5"/>
  <c r="CD49" i="5"/>
  <c r="CE49" i="5"/>
  <c r="C50" i="5" a="1"/>
  <c r="C50" i="5"/>
  <c r="D50" i="5" a="1"/>
  <c r="D50" i="5"/>
  <c r="E50" i="5" a="1"/>
  <c r="E50" i="5"/>
  <c r="F50" i="5" a="1"/>
  <c r="F50" i="5"/>
  <c r="G50" i="5" a="1"/>
  <c r="G50" i="5"/>
  <c r="H50" i="5" a="1"/>
  <c r="H50" i="5"/>
  <c r="I50" i="5" a="1"/>
  <c r="I50" i="5"/>
  <c r="J50" i="5" a="1"/>
  <c r="J50" i="5"/>
  <c r="K50" i="5" a="1"/>
  <c r="K50" i="5"/>
  <c r="L50" i="5" a="1"/>
  <c r="L50" i="5"/>
  <c r="M50" i="5" a="1"/>
  <c r="M50" i="5"/>
  <c r="N50" i="5" a="1"/>
  <c r="N50" i="5"/>
  <c r="O50" i="5" a="1"/>
  <c r="O50" i="5"/>
  <c r="P50" i="5" a="1"/>
  <c r="P50" i="5"/>
  <c r="Q50" i="5" a="1"/>
  <c r="Q50" i="5"/>
  <c r="R50" i="5" a="1"/>
  <c r="R50" i="5"/>
  <c r="S50" i="5" a="1"/>
  <c r="S50" i="5"/>
  <c r="T50" i="5" a="1"/>
  <c r="T50" i="5"/>
  <c r="U50" i="5" a="1"/>
  <c r="U50" i="5"/>
  <c r="V50" i="5" a="1"/>
  <c r="V50" i="5"/>
  <c r="W50" i="5" a="1"/>
  <c r="W50" i="5"/>
  <c r="X50" i="5" a="1"/>
  <c r="X50" i="5"/>
  <c r="Y50" i="5" a="1"/>
  <c r="Y50" i="5"/>
  <c r="Z50" i="5" a="1"/>
  <c r="Z50" i="5"/>
  <c r="AA50" i="5" a="1"/>
  <c r="AA50" i="5"/>
  <c r="AB50" i="5" a="1"/>
  <c r="AB50" i="5"/>
  <c r="AC50" i="5" a="1"/>
  <c r="AC50" i="5"/>
  <c r="AD50" i="5" a="1"/>
  <c r="AD50" i="5"/>
  <c r="AE50" i="5" a="1"/>
  <c r="AE50" i="5"/>
  <c r="AF50" i="5" a="1"/>
  <c r="AF50" i="5"/>
  <c r="AG50" i="5" a="1"/>
  <c r="AG50" i="5"/>
  <c r="AH50" i="5" a="1"/>
  <c r="AH50" i="5"/>
  <c r="AI50" i="5" a="1"/>
  <c r="AI50" i="5"/>
  <c r="AJ50" i="5" a="1"/>
  <c r="AJ50" i="5"/>
  <c r="AK50" i="5" a="1"/>
  <c r="AK50" i="5"/>
  <c r="AL50" i="5" a="1"/>
  <c r="AL50" i="5"/>
  <c r="AM50" i="5" a="1"/>
  <c r="AM50" i="5"/>
  <c r="AN50" i="5" a="1"/>
  <c r="AN50" i="5"/>
  <c r="AO50" i="5" a="1"/>
  <c r="AO50" i="5"/>
  <c r="AP50" i="5" a="1"/>
  <c r="AP50" i="5"/>
  <c r="AQ50" i="5" a="1"/>
  <c r="AQ50" i="5"/>
  <c r="AR50" i="5" a="1"/>
  <c r="AR50" i="5"/>
  <c r="AS50" i="5" a="1"/>
  <c r="AS50" i="5"/>
  <c r="AT50" i="5" a="1"/>
  <c r="AT50" i="5"/>
  <c r="AU50" i="5" a="1"/>
  <c r="AU50" i="5"/>
  <c r="AV50" i="5" a="1"/>
  <c r="AV50" i="5"/>
  <c r="AW50" i="5" a="1"/>
  <c r="AW50" i="5"/>
  <c r="AX50" i="5" a="1"/>
  <c r="AX50" i="5"/>
  <c r="AY50" i="5" a="1"/>
  <c r="AY50" i="5"/>
  <c r="AZ50" i="5" a="1"/>
  <c r="AZ50" i="5"/>
  <c r="BA50" i="5" a="1"/>
  <c r="BA50" i="5"/>
  <c r="BB50" i="5" a="1"/>
  <c r="BB50" i="5"/>
  <c r="BC50" i="5" a="1"/>
  <c r="BC50" i="5"/>
  <c r="BD50" i="5" a="1"/>
  <c r="BD50" i="5"/>
  <c r="BE50" i="5" a="1"/>
  <c r="BE50" i="5"/>
  <c r="BF50" i="5" a="1"/>
  <c r="BF50" i="5"/>
  <c r="BG50" i="5" a="1"/>
  <c r="BG50" i="5"/>
  <c r="BH50" i="5" a="1"/>
  <c r="BH50" i="5"/>
  <c r="BI50" i="5" a="1"/>
  <c r="BI50" i="5"/>
  <c r="BJ50" i="5" a="1"/>
  <c r="BJ50" i="5"/>
  <c r="BK50" i="5" a="1"/>
  <c r="BK50" i="5"/>
  <c r="BL50" i="5" a="1"/>
  <c r="BL50" i="5"/>
  <c r="BM50" i="5" a="1"/>
  <c r="BM50" i="5"/>
  <c r="BN50" i="5" a="1"/>
  <c r="BN50" i="5"/>
  <c r="BO50" i="5" a="1"/>
  <c r="BO50" i="5"/>
  <c r="BP50" i="5" a="1"/>
  <c r="BP50" i="5"/>
  <c r="BQ50" i="5" a="1"/>
  <c r="BQ50" i="5"/>
  <c r="BR50" i="5" a="1"/>
  <c r="BR50" i="5"/>
  <c r="BS50" i="5" a="1"/>
  <c r="BS50" i="5"/>
  <c r="BT50" i="5" a="1"/>
  <c r="BT50" i="5"/>
  <c r="BU50" i="5" a="1"/>
  <c r="BU50" i="5"/>
  <c r="BV50" i="5" a="1"/>
  <c r="BV50" i="5"/>
  <c r="BW50" i="5" a="1"/>
  <c r="BW50" i="5"/>
  <c r="BX50" i="5" a="1"/>
  <c r="BX50" i="5"/>
  <c r="BY50" i="5" a="1"/>
  <c r="BY50" i="5"/>
  <c r="BZ50" i="5" a="1"/>
  <c r="BZ50" i="5"/>
  <c r="CA50" i="5" a="1"/>
  <c r="CA50" i="5"/>
  <c r="CB50" i="5"/>
  <c r="CC50" i="5"/>
  <c r="CD50" i="5"/>
  <c r="CE50" i="5"/>
  <c r="C51" i="5" a="1"/>
  <c r="C51" i="5"/>
  <c r="D51" i="5" a="1"/>
  <c r="D51" i="5"/>
  <c r="E51" i="5" a="1"/>
  <c r="E51" i="5"/>
  <c r="F51" i="5" a="1"/>
  <c r="F51" i="5"/>
  <c r="G51" i="5" a="1"/>
  <c r="G51" i="5"/>
  <c r="H51" i="5" a="1"/>
  <c r="H51" i="5"/>
  <c r="I51" i="5" a="1"/>
  <c r="I51" i="5"/>
  <c r="J51" i="5" a="1"/>
  <c r="J51" i="5"/>
  <c r="K51" i="5" a="1"/>
  <c r="K51" i="5"/>
  <c r="L51" i="5" a="1"/>
  <c r="L51" i="5"/>
  <c r="M51" i="5" a="1"/>
  <c r="M51" i="5"/>
  <c r="N51" i="5" a="1"/>
  <c r="N51" i="5"/>
  <c r="O51" i="5" a="1"/>
  <c r="O51" i="5"/>
  <c r="P51" i="5" a="1"/>
  <c r="P51" i="5"/>
  <c r="Q51" i="5" a="1"/>
  <c r="Q51" i="5"/>
  <c r="R51" i="5" a="1"/>
  <c r="R51" i="5"/>
  <c r="S51" i="5" a="1"/>
  <c r="S51" i="5"/>
  <c r="T51" i="5" a="1"/>
  <c r="T51" i="5"/>
  <c r="U51" i="5" a="1"/>
  <c r="U51" i="5"/>
  <c r="V51" i="5" a="1"/>
  <c r="V51" i="5"/>
  <c r="W51" i="5" a="1"/>
  <c r="W51" i="5"/>
  <c r="X51" i="5" a="1"/>
  <c r="X51" i="5"/>
  <c r="Y51" i="5" a="1"/>
  <c r="Y51" i="5"/>
  <c r="Z51" i="5" a="1"/>
  <c r="Z51" i="5"/>
  <c r="AA51" i="5" a="1"/>
  <c r="AA51" i="5"/>
  <c r="AB51" i="5" a="1"/>
  <c r="AB51" i="5"/>
  <c r="AC51" i="5" a="1"/>
  <c r="AC51" i="5"/>
  <c r="AD51" i="5" a="1"/>
  <c r="AD51" i="5"/>
  <c r="AE51" i="5" a="1"/>
  <c r="AE51" i="5"/>
  <c r="AF51" i="5" a="1"/>
  <c r="AF51" i="5"/>
  <c r="AG51" i="5" a="1"/>
  <c r="AG51" i="5"/>
  <c r="AH51" i="5" a="1"/>
  <c r="AH51" i="5"/>
  <c r="AI51" i="5" a="1"/>
  <c r="AI51" i="5"/>
  <c r="AJ51" i="5" a="1"/>
  <c r="AJ51" i="5"/>
  <c r="AK51" i="5" a="1"/>
  <c r="AK51" i="5"/>
  <c r="AL51" i="5" a="1"/>
  <c r="AL51" i="5"/>
  <c r="AM51" i="5" a="1"/>
  <c r="AM51" i="5"/>
  <c r="AN51" i="5" a="1"/>
  <c r="AN51" i="5"/>
  <c r="AO51" i="5" a="1"/>
  <c r="AO51" i="5"/>
  <c r="AP51" i="5" a="1"/>
  <c r="AP51" i="5"/>
  <c r="AQ51" i="5" a="1"/>
  <c r="AQ51" i="5"/>
  <c r="AR51" i="5" a="1"/>
  <c r="AR51" i="5"/>
  <c r="AS51" i="5" a="1"/>
  <c r="AS51" i="5"/>
  <c r="AT51" i="5" a="1"/>
  <c r="AT51" i="5"/>
  <c r="AU51" i="5" a="1"/>
  <c r="AU51" i="5"/>
  <c r="AV51" i="5" a="1"/>
  <c r="AV51" i="5"/>
  <c r="AW51" i="5" a="1"/>
  <c r="AW51" i="5"/>
  <c r="AX51" i="5" a="1"/>
  <c r="AX51" i="5"/>
  <c r="AY51" i="5" a="1"/>
  <c r="AY51" i="5"/>
  <c r="AZ51" i="5" a="1"/>
  <c r="AZ51" i="5"/>
  <c r="BA51" i="5" a="1"/>
  <c r="BA51" i="5"/>
  <c r="BB51" i="5" a="1"/>
  <c r="BB51" i="5"/>
  <c r="BC51" i="5" a="1"/>
  <c r="BC51" i="5"/>
  <c r="BD51" i="5" a="1"/>
  <c r="BD51" i="5"/>
  <c r="BE51" i="5" a="1"/>
  <c r="BE51" i="5"/>
  <c r="BF51" i="5" a="1"/>
  <c r="BF51" i="5"/>
  <c r="BG51" i="5" a="1"/>
  <c r="BG51" i="5"/>
  <c r="BH51" i="5" a="1"/>
  <c r="BH51" i="5"/>
  <c r="BI51" i="5" a="1"/>
  <c r="BI51" i="5"/>
  <c r="BJ51" i="5" a="1"/>
  <c r="BJ51" i="5"/>
  <c r="BK51" i="5" a="1"/>
  <c r="BK51" i="5"/>
  <c r="BL51" i="5" a="1"/>
  <c r="BL51" i="5"/>
  <c r="BM51" i="5" a="1"/>
  <c r="BM51" i="5"/>
  <c r="BN51" i="5" a="1"/>
  <c r="BN51" i="5"/>
  <c r="BO51" i="5" a="1"/>
  <c r="BO51" i="5"/>
  <c r="BP51" i="5" a="1"/>
  <c r="BP51" i="5"/>
  <c r="BQ51" i="5" a="1"/>
  <c r="BQ51" i="5"/>
  <c r="BR51" i="5" a="1"/>
  <c r="BR51" i="5"/>
  <c r="BS51" i="5" a="1"/>
  <c r="BS51" i="5"/>
  <c r="BT51" i="5" a="1"/>
  <c r="BT51" i="5"/>
  <c r="BU51" i="5" a="1"/>
  <c r="BU51" i="5"/>
  <c r="BV51" i="5" a="1"/>
  <c r="BV51" i="5"/>
  <c r="BW51" i="5" a="1"/>
  <c r="BW51" i="5"/>
  <c r="BX51" i="5" a="1"/>
  <c r="BX51" i="5"/>
  <c r="BY51" i="5" a="1"/>
  <c r="BY51" i="5"/>
  <c r="BZ51" i="5" a="1"/>
  <c r="BZ51" i="5"/>
  <c r="CA51" i="5" a="1"/>
  <c r="CA51" i="5"/>
  <c r="CB51" i="5"/>
  <c r="CC51" i="5"/>
  <c r="CD51" i="5"/>
  <c r="CE51" i="5"/>
  <c r="C52" i="5" a="1"/>
  <c r="C52" i="5"/>
  <c r="D52" i="5" a="1"/>
  <c r="D52" i="5"/>
  <c r="E52" i="5" a="1"/>
  <c r="E52" i="5"/>
  <c r="F52" i="5" a="1"/>
  <c r="F52" i="5"/>
  <c r="G52" i="5" a="1"/>
  <c r="G52" i="5"/>
  <c r="H52" i="5" a="1"/>
  <c r="H52" i="5"/>
  <c r="I52" i="5" a="1"/>
  <c r="I52" i="5"/>
  <c r="J52" i="5" a="1"/>
  <c r="J52" i="5"/>
  <c r="K52" i="5" a="1"/>
  <c r="K52" i="5"/>
  <c r="L52" i="5" a="1"/>
  <c r="L52" i="5"/>
  <c r="M52" i="5" a="1"/>
  <c r="M52" i="5"/>
  <c r="N52" i="5" a="1"/>
  <c r="N52" i="5"/>
  <c r="O52" i="5" a="1"/>
  <c r="O52" i="5"/>
  <c r="P52" i="5" a="1"/>
  <c r="P52" i="5"/>
  <c r="Q52" i="5" a="1"/>
  <c r="Q52" i="5"/>
  <c r="R52" i="5" a="1"/>
  <c r="R52" i="5"/>
  <c r="S52" i="5" a="1"/>
  <c r="S52" i="5"/>
  <c r="T52" i="5" a="1"/>
  <c r="T52" i="5"/>
  <c r="U52" i="5" a="1"/>
  <c r="U52" i="5"/>
  <c r="V52" i="5" a="1"/>
  <c r="V52" i="5"/>
  <c r="W52" i="5" a="1"/>
  <c r="W52" i="5"/>
  <c r="X52" i="5" a="1"/>
  <c r="X52" i="5"/>
  <c r="Y52" i="5" a="1"/>
  <c r="Y52" i="5"/>
  <c r="Z52" i="5" a="1"/>
  <c r="Z52" i="5"/>
  <c r="AA52" i="5" a="1"/>
  <c r="AA52" i="5"/>
  <c r="AB52" i="5" a="1"/>
  <c r="AB52" i="5"/>
  <c r="AC52" i="5" a="1"/>
  <c r="AC52" i="5"/>
  <c r="AD52" i="5" a="1"/>
  <c r="AD52" i="5"/>
  <c r="AE52" i="5" a="1"/>
  <c r="AE52" i="5"/>
  <c r="AF52" i="5" a="1"/>
  <c r="AF52" i="5"/>
  <c r="AG52" i="5" a="1"/>
  <c r="AG52" i="5"/>
  <c r="AH52" i="5" a="1"/>
  <c r="AH52" i="5"/>
  <c r="AI52" i="5" a="1"/>
  <c r="AI52" i="5"/>
  <c r="AJ52" i="5" a="1"/>
  <c r="AJ52" i="5"/>
  <c r="AK52" i="5" a="1"/>
  <c r="AK52" i="5"/>
  <c r="AL52" i="5" a="1"/>
  <c r="AL52" i="5"/>
  <c r="AM52" i="5" a="1"/>
  <c r="AM52" i="5"/>
  <c r="AN52" i="5" a="1"/>
  <c r="AN52" i="5"/>
  <c r="AO52" i="5" a="1"/>
  <c r="AO52" i="5"/>
  <c r="AP52" i="5" a="1"/>
  <c r="AP52" i="5"/>
  <c r="AQ52" i="5" a="1"/>
  <c r="AQ52" i="5"/>
  <c r="AR52" i="5" a="1"/>
  <c r="AR52" i="5"/>
  <c r="AS52" i="5" a="1"/>
  <c r="AS52" i="5"/>
  <c r="AT52" i="5" a="1"/>
  <c r="AT52" i="5"/>
  <c r="AU52" i="5" a="1"/>
  <c r="AU52" i="5"/>
  <c r="AV52" i="5" a="1"/>
  <c r="AV52" i="5"/>
  <c r="AW52" i="5" a="1"/>
  <c r="AW52" i="5"/>
  <c r="AX52" i="5" a="1"/>
  <c r="AX52" i="5"/>
  <c r="AY52" i="5" a="1"/>
  <c r="AY52" i="5"/>
  <c r="AZ52" i="5" a="1"/>
  <c r="AZ52" i="5"/>
  <c r="BA52" i="5" a="1"/>
  <c r="BA52" i="5"/>
  <c r="BB52" i="5" a="1"/>
  <c r="BB52" i="5"/>
  <c r="BC52" i="5" a="1"/>
  <c r="BC52" i="5"/>
  <c r="BD52" i="5" a="1"/>
  <c r="BD52" i="5"/>
  <c r="BE52" i="5" a="1"/>
  <c r="BE52" i="5"/>
  <c r="BF52" i="5" a="1"/>
  <c r="BF52" i="5"/>
  <c r="BG52" i="5" a="1"/>
  <c r="BG52" i="5"/>
  <c r="BH52" i="5" a="1"/>
  <c r="BH52" i="5"/>
  <c r="BI52" i="5" a="1"/>
  <c r="BI52" i="5"/>
  <c r="BJ52" i="5" a="1"/>
  <c r="BJ52" i="5"/>
  <c r="BK52" i="5" a="1"/>
  <c r="BK52" i="5"/>
  <c r="BL52" i="5" a="1"/>
  <c r="BL52" i="5"/>
  <c r="BM52" i="5" a="1"/>
  <c r="BM52" i="5"/>
  <c r="BN52" i="5" a="1"/>
  <c r="BN52" i="5"/>
  <c r="BO52" i="5" a="1"/>
  <c r="BO52" i="5"/>
  <c r="BP52" i="5" a="1"/>
  <c r="BP52" i="5"/>
  <c r="BQ52" i="5" a="1"/>
  <c r="BQ52" i="5"/>
  <c r="BR52" i="5" a="1"/>
  <c r="BR52" i="5"/>
  <c r="BS52" i="5" a="1"/>
  <c r="BS52" i="5"/>
  <c r="BT52" i="5" a="1"/>
  <c r="BT52" i="5"/>
  <c r="BU52" i="5" a="1"/>
  <c r="BU52" i="5"/>
  <c r="BV52" i="5" a="1"/>
  <c r="BV52" i="5"/>
  <c r="BW52" i="5" a="1"/>
  <c r="BW52" i="5"/>
  <c r="BX52" i="5" a="1"/>
  <c r="BX52" i="5"/>
  <c r="BY52" i="5" a="1"/>
  <c r="BY52" i="5"/>
  <c r="BZ52" i="5" a="1"/>
  <c r="BZ52" i="5"/>
  <c r="CA52" i="5" a="1"/>
  <c r="CA52" i="5"/>
  <c r="CB52" i="5"/>
  <c r="CC52" i="5"/>
  <c r="CD52" i="5"/>
  <c r="CE52" i="5"/>
  <c r="C53" i="5" a="1"/>
  <c r="C53" i="5"/>
  <c r="D53" i="5" a="1"/>
  <c r="D53" i="5"/>
  <c r="E53" i="5" a="1"/>
  <c r="E53" i="5"/>
  <c r="F53" i="5" a="1"/>
  <c r="F53" i="5"/>
  <c r="G53" i="5" a="1"/>
  <c r="G53" i="5"/>
  <c r="H53" i="5" a="1"/>
  <c r="H53" i="5"/>
  <c r="I53" i="5" a="1"/>
  <c r="I53" i="5"/>
  <c r="J53" i="5" a="1"/>
  <c r="J53" i="5"/>
  <c r="K53" i="5" a="1"/>
  <c r="K53" i="5"/>
  <c r="L53" i="5" a="1"/>
  <c r="L53" i="5"/>
  <c r="M53" i="5" a="1"/>
  <c r="M53" i="5"/>
  <c r="N53" i="5" a="1"/>
  <c r="N53" i="5"/>
  <c r="O53" i="5" a="1"/>
  <c r="O53" i="5"/>
  <c r="P53" i="5" a="1"/>
  <c r="P53" i="5"/>
  <c r="Q53" i="5" a="1"/>
  <c r="Q53" i="5"/>
  <c r="R53" i="5" a="1"/>
  <c r="R53" i="5"/>
  <c r="S53" i="5" a="1"/>
  <c r="S53" i="5"/>
  <c r="T53" i="5" a="1"/>
  <c r="T53" i="5"/>
  <c r="U53" i="5" a="1"/>
  <c r="U53" i="5"/>
  <c r="V53" i="5" a="1"/>
  <c r="V53" i="5"/>
  <c r="W53" i="5" a="1"/>
  <c r="W53" i="5"/>
  <c r="X53" i="5" a="1"/>
  <c r="X53" i="5"/>
  <c r="Y53" i="5" a="1"/>
  <c r="Y53" i="5"/>
  <c r="Z53" i="5" a="1"/>
  <c r="Z53" i="5"/>
  <c r="AA53" i="5" a="1"/>
  <c r="AA53" i="5"/>
  <c r="AB53" i="5" a="1"/>
  <c r="AB53" i="5"/>
  <c r="AC53" i="5" a="1"/>
  <c r="AC53" i="5"/>
  <c r="AD53" i="5" a="1"/>
  <c r="AD53" i="5"/>
  <c r="AE53" i="5" a="1"/>
  <c r="AE53" i="5"/>
  <c r="AF53" i="5" a="1"/>
  <c r="AF53" i="5"/>
  <c r="AG53" i="5" a="1"/>
  <c r="AG53" i="5"/>
  <c r="AH53" i="5" a="1"/>
  <c r="AH53" i="5"/>
  <c r="AI53" i="5" a="1"/>
  <c r="AI53" i="5"/>
  <c r="AJ53" i="5" a="1"/>
  <c r="AJ53" i="5"/>
  <c r="AK53" i="5" a="1"/>
  <c r="AK53" i="5"/>
  <c r="AL53" i="5" a="1"/>
  <c r="AL53" i="5"/>
  <c r="AM53" i="5" a="1"/>
  <c r="AM53" i="5"/>
  <c r="AN53" i="5" a="1"/>
  <c r="AN53" i="5"/>
  <c r="AO53" i="5" a="1"/>
  <c r="AO53" i="5"/>
  <c r="AP53" i="5" a="1"/>
  <c r="AP53" i="5"/>
  <c r="AQ53" i="5" a="1"/>
  <c r="AQ53" i="5"/>
  <c r="AR53" i="5" a="1"/>
  <c r="AR53" i="5"/>
  <c r="AS53" i="5" a="1"/>
  <c r="AS53" i="5"/>
  <c r="AT53" i="5" a="1"/>
  <c r="AT53" i="5"/>
  <c r="AU53" i="5" a="1"/>
  <c r="AU53" i="5"/>
  <c r="AV53" i="5" a="1"/>
  <c r="AV53" i="5"/>
  <c r="AW53" i="5" a="1"/>
  <c r="AW53" i="5"/>
  <c r="AX53" i="5" a="1"/>
  <c r="AX53" i="5"/>
  <c r="AY53" i="5" a="1"/>
  <c r="AY53" i="5"/>
  <c r="AZ53" i="5" a="1"/>
  <c r="AZ53" i="5"/>
  <c r="BA53" i="5" a="1"/>
  <c r="BA53" i="5"/>
  <c r="BB53" i="5" a="1"/>
  <c r="BB53" i="5"/>
  <c r="BC53" i="5" a="1"/>
  <c r="BC53" i="5"/>
  <c r="BD53" i="5" a="1"/>
  <c r="BD53" i="5"/>
  <c r="BE53" i="5" a="1"/>
  <c r="BE53" i="5"/>
  <c r="BF53" i="5" a="1"/>
  <c r="BF53" i="5"/>
  <c r="BG53" i="5" a="1"/>
  <c r="BG53" i="5"/>
  <c r="BH53" i="5" a="1"/>
  <c r="BH53" i="5"/>
  <c r="BI53" i="5" a="1"/>
  <c r="BI53" i="5"/>
  <c r="BJ53" i="5" a="1"/>
  <c r="BJ53" i="5"/>
  <c r="BK53" i="5" a="1"/>
  <c r="BK53" i="5"/>
  <c r="BL53" i="5" a="1"/>
  <c r="BL53" i="5"/>
  <c r="BM53" i="5" a="1"/>
  <c r="BM53" i="5"/>
  <c r="BN53" i="5" a="1"/>
  <c r="BN53" i="5"/>
  <c r="BO53" i="5" a="1"/>
  <c r="BO53" i="5"/>
  <c r="BP53" i="5" a="1"/>
  <c r="BP53" i="5"/>
  <c r="BQ53" i="5" a="1"/>
  <c r="BQ53" i="5"/>
  <c r="BR53" i="5" a="1"/>
  <c r="BR53" i="5"/>
  <c r="BS53" i="5" a="1"/>
  <c r="BS53" i="5"/>
  <c r="BT53" i="5" a="1"/>
  <c r="BT53" i="5"/>
  <c r="BU53" i="5" a="1"/>
  <c r="BU53" i="5"/>
  <c r="BV53" i="5" a="1"/>
  <c r="BV53" i="5"/>
  <c r="BW53" i="5" a="1"/>
  <c r="BW53" i="5"/>
  <c r="BX53" i="5" a="1"/>
  <c r="BX53" i="5"/>
  <c r="BY53" i="5" a="1"/>
  <c r="BY53" i="5"/>
  <c r="BZ53" i="5" a="1"/>
  <c r="BZ53" i="5"/>
  <c r="CA53" i="5" a="1"/>
  <c r="CA53" i="5"/>
  <c r="CB53" i="5"/>
  <c r="CC53" i="5"/>
  <c r="CD53" i="5"/>
  <c r="CE53" i="5"/>
  <c r="C54" i="5" a="1"/>
  <c r="C54" i="5"/>
  <c r="D54" i="5" a="1"/>
  <c r="D54" i="5"/>
  <c r="E54" i="5" a="1"/>
  <c r="E54" i="5"/>
  <c r="F54" i="5" a="1"/>
  <c r="F54" i="5"/>
  <c r="G54" i="5" a="1"/>
  <c r="G54" i="5"/>
  <c r="H54" i="5" a="1"/>
  <c r="H54" i="5"/>
  <c r="I54" i="5" a="1"/>
  <c r="I54" i="5"/>
  <c r="J54" i="5" a="1"/>
  <c r="J54" i="5"/>
  <c r="K54" i="5" a="1"/>
  <c r="K54" i="5"/>
  <c r="L54" i="5" a="1"/>
  <c r="L54" i="5"/>
  <c r="M54" i="5" a="1"/>
  <c r="M54" i="5"/>
  <c r="N54" i="5" a="1"/>
  <c r="N54" i="5"/>
  <c r="O54" i="5" a="1"/>
  <c r="O54" i="5"/>
  <c r="P54" i="5" a="1"/>
  <c r="P54" i="5"/>
  <c r="Q54" i="5" a="1"/>
  <c r="Q54" i="5"/>
  <c r="R54" i="5" a="1"/>
  <c r="R54" i="5"/>
  <c r="S54" i="5" a="1"/>
  <c r="S54" i="5"/>
  <c r="T54" i="5" a="1"/>
  <c r="T54" i="5"/>
  <c r="U54" i="5" a="1"/>
  <c r="U54" i="5"/>
  <c r="V54" i="5" a="1"/>
  <c r="V54" i="5"/>
  <c r="W54" i="5" a="1"/>
  <c r="W54" i="5"/>
  <c r="X54" i="5" a="1"/>
  <c r="X54" i="5"/>
  <c r="Y54" i="5" a="1"/>
  <c r="Y54" i="5"/>
  <c r="Z54" i="5" a="1"/>
  <c r="Z54" i="5"/>
  <c r="AA54" i="5" a="1"/>
  <c r="AA54" i="5"/>
  <c r="AB54" i="5" a="1"/>
  <c r="AB54" i="5"/>
  <c r="AC54" i="5" a="1"/>
  <c r="AC54" i="5"/>
  <c r="AD54" i="5" a="1"/>
  <c r="AD54" i="5"/>
  <c r="AE54" i="5" a="1"/>
  <c r="AE54" i="5"/>
  <c r="AF54" i="5" a="1"/>
  <c r="AF54" i="5"/>
  <c r="AG54" i="5" a="1"/>
  <c r="AG54" i="5"/>
  <c r="AH54" i="5" a="1"/>
  <c r="AH54" i="5"/>
  <c r="AI54" i="5" a="1"/>
  <c r="AI54" i="5"/>
  <c r="AJ54" i="5" a="1"/>
  <c r="AJ54" i="5"/>
  <c r="AK54" i="5" a="1"/>
  <c r="AK54" i="5"/>
  <c r="AL54" i="5" a="1"/>
  <c r="AL54" i="5"/>
  <c r="AM54" i="5" a="1"/>
  <c r="AM54" i="5"/>
  <c r="AN54" i="5" a="1"/>
  <c r="AN54" i="5"/>
  <c r="AO54" i="5" a="1"/>
  <c r="AO54" i="5"/>
  <c r="AP54" i="5" a="1"/>
  <c r="AP54" i="5"/>
  <c r="AQ54" i="5" a="1"/>
  <c r="AQ54" i="5"/>
  <c r="AR54" i="5" a="1"/>
  <c r="AR54" i="5"/>
  <c r="AS54" i="5" a="1"/>
  <c r="AS54" i="5"/>
  <c r="AT54" i="5" a="1"/>
  <c r="AT54" i="5"/>
  <c r="AU54" i="5" a="1"/>
  <c r="AU54" i="5"/>
  <c r="AV54" i="5" a="1"/>
  <c r="AV54" i="5"/>
  <c r="AW54" i="5" a="1"/>
  <c r="AW54" i="5"/>
  <c r="AX54" i="5" a="1"/>
  <c r="AX54" i="5"/>
  <c r="AY54" i="5" a="1"/>
  <c r="AY54" i="5"/>
  <c r="AZ54" i="5" a="1"/>
  <c r="AZ54" i="5"/>
  <c r="BA54" i="5" a="1"/>
  <c r="BA54" i="5"/>
  <c r="BB54" i="5" a="1"/>
  <c r="BB54" i="5"/>
  <c r="BC54" i="5" a="1"/>
  <c r="BC54" i="5"/>
  <c r="BD54" i="5" a="1"/>
  <c r="BD54" i="5"/>
  <c r="BE54" i="5" a="1"/>
  <c r="BE54" i="5"/>
  <c r="BF54" i="5" a="1"/>
  <c r="BF54" i="5"/>
  <c r="BG54" i="5" a="1"/>
  <c r="BG54" i="5"/>
  <c r="BH54" i="5" a="1"/>
  <c r="BH54" i="5"/>
  <c r="BI54" i="5" a="1"/>
  <c r="BI54" i="5"/>
  <c r="BJ54" i="5" a="1"/>
  <c r="BJ54" i="5"/>
  <c r="BK54" i="5" a="1"/>
  <c r="BK54" i="5"/>
  <c r="BL54" i="5" a="1"/>
  <c r="BL54" i="5"/>
  <c r="BM54" i="5" a="1"/>
  <c r="BM54" i="5"/>
  <c r="BN54" i="5" a="1"/>
  <c r="BN54" i="5"/>
  <c r="BO54" i="5" a="1"/>
  <c r="BO54" i="5"/>
  <c r="BP54" i="5" a="1"/>
  <c r="BP54" i="5"/>
  <c r="BQ54" i="5" a="1"/>
  <c r="BQ54" i="5"/>
  <c r="BR54" i="5" a="1"/>
  <c r="BR54" i="5"/>
  <c r="BS54" i="5" a="1"/>
  <c r="BS54" i="5"/>
  <c r="BT54" i="5" a="1"/>
  <c r="BT54" i="5"/>
  <c r="BU54" i="5" a="1"/>
  <c r="BU54" i="5"/>
  <c r="BV54" i="5" a="1"/>
  <c r="BV54" i="5"/>
  <c r="BW54" i="5" a="1"/>
  <c r="BW54" i="5"/>
  <c r="BX54" i="5" a="1"/>
  <c r="BX54" i="5"/>
  <c r="BY54" i="5" a="1"/>
  <c r="BY54" i="5"/>
  <c r="BZ54" i="5" a="1"/>
  <c r="BZ54" i="5"/>
  <c r="CA54" i="5" a="1"/>
  <c r="CA54" i="5"/>
  <c r="CB54" i="5"/>
  <c r="CC54" i="5"/>
  <c r="CD54" i="5"/>
  <c r="CE54" i="5"/>
  <c r="C55" i="5" a="1"/>
  <c r="C55" i="5"/>
  <c r="D55" i="5" a="1"/>
  <c r="D55" i="5"/>
  <c r="E55" i="5" a="1"/>
  <c r="E55" i="5"/>
  <c r="F55" i="5" a="1"/>
  <c r="F55" i="5"/>
  <c r="G55" i="5" a="1"/>
  <c r="G55" i="5"/>
  <c r="H55" i="5" a="1"/>
  <c r="H55" i="5"/>
  <c r="I55" i="5" a="1"/>
  <c r="I55" i="5"/>
  <c r="J55" i="5" a="1"/>
  <c r="J55" i="5"/>
  <c r="K55" i="5" a="1"/>
  <c r="K55" i="5"/>
  <c r="L55" i="5" a="1"/>
  <c r="L55" i="5"/>
  <c r="M55" i="5" a="1"/>
  <c r="M55" i="5"/>
  <c r="N55" i="5" a="1"/>
  <c r="N55" i="5"/>
  <c r="O55" i="5" a="1"/>
  <c r="O55" i="5"/>
  <c r="P55" i="5" a="1"/>
  <c r="P55" i="5"/>
  <c r="Q55" i="5" a="1"/>
  <c r="Q55" i="5"/>
  <c r="R55" i="5" a="1"/>
  <c r="R55" i="5"/>
  <c r="S55" i="5" a="1"/>
  <c r="S55" i="5"/>
  <c r="T55" i="5" a="1"/>
  <c r="T55" i="5"/>
  <c r="U55" i="5" a="1"/>
  <c r="U55" i="5"/>
  <c r="V55" i="5" a="1"/>
  <c r="V55" i="5"/>
  <c r="W55" i="5" a="1"/>
  <c r="W55" i="5"/>
  <c r="X55" i="5" a="1"/>
  <c r="X55" i="5"/>
  <c r="Y55" i="5" a="1"/>
  <c r="Y55" i="5"/>
  <c r="Z55" i="5" a="1"/>
  <c r="Z55" i="5"/>
  <c r="AA55" i="5" a="1"/>
  <c r="AA55" i="5"/>
  <c r="AB55" i="5" a="1"/>
  <c r="AB55" i="5"/>
  <c r="AC55" i="5" a="1"/>
  <c r="AC55" i="5"/>
  <c r="AD55" i="5" a="1"/>
  <c r="AD55" i="5"/>
  <c r="AE55" i="5" a="1"/>
  <c r="AE55" i="5"/>
  <c r="AF55" i="5" a="1"/>
  <c r="AF55" i="5"/>
  <c r="AG55" i="5" a="1"/>
  <c r="AG55" i="5"/>
  <c r="AH55" i="5" a="1"/>
  <c r="AH55" i="5"/>
  <c r="AI55" i="5" a="1"/>
  <c r="AI55" i="5"/>
  <c r="AJ55" i="5" a="1"/>
  <c r="AJ55" i="5"/>
  <c r="AK55" i="5" a="1"/>
  <c r="AK55" i="5"/>
  <c r="AL55" i="5" a="1"/>
  <c r="AL55" i="5"/>
  <c r="AM55" i="5" a="1"/>
  <c r="AM55" i="5"/>
  <c r="AN55" i="5" a="1"/>
  <c r="AN55" i="5"/>
  <c r="AO55" i="5" a="1"/>
  <c r="AO55" i="5"/>
  <c r="AP55" i="5" a="1"/>
  <c r="AP55" i="5"/>
  <c r="AQ55" i="5" a="1"/>
  <c r="AQ55" i="5"/>
  <c r="AR55" i="5" a="1"/>
  <c r="AR55" i="5"/>
  <c r="AS55" i="5" a="1"/>
  <c r="AS55" i="5"/>
  <c r="AT55" i="5" a="1"/>
  <c r="AT55" i="5"/>
  <c r="AU55" i="5" a="1"/>
  <c r="AU55" i="5"/>
  <c r="AV55" i="5" a="1"/>
  <c r="AV55" i="5"/>
  <c r="AW55" i="5" a="1"/>
  <c r="AW55" i="5"/>
  <c r="AX55" i="5" a="1"/>
  <c r="AX55" i="5"/>
  <c r="AY55" i="5" a="1"/>
  <c r="AY55" i="5"/>
  <c r="AZ55" i="5" a="1"/>
  <c r="AZ55" i="5"/>
  <c r="BA55" i="5" a="1"/>
  <c r="BA55" i="5"/>
  <c r="BB55" i="5" a="1"/>
  <c r="BB55" i="5"/>
  <c r="BC55" i="5" a="1"/>
  <c r="BC55" i="5"/>
  <c r="BD55" i="5" a="1"/>
  <c r="BD55" i="5"/>
  <c r="BE55" i="5" a="1"/>
  <c r="BE55" i="5"/>
  <c r="BF55" i="5" a="1"/>
  <c r="BF55" i="5"/>
  <c r="BG55" i="5" a="1"/>
  <c r="BG55" i="5"/>
  <c r="BH55" i="5" a="1"/>
  <c r="BH55" i="5"/>
  <c r="BI55" i="5" a="1"/>
  <c r="BI55" i="5"/>
  <c r="BJ55" i="5" a="1"/>
  <c r="BJ55" i="5"/>
  <c r="BK55" i="5" a="1"/>
  <c r="BK55" i="5"/>
  <c r="BL55" i="5" a="1"/>
  <c r="BL55" i="5"/>
  <c r="BM55" i="5" a="1"/>
  <c r="BM55" i="5"/>
  <c r="BN55" i="5" a="1"/>
  <c r="BN55" i="5"/>
  <c r="BO55" i="5" a="1"/>
  <c r="BO55" i="5"/>
  <c r="BP55" i="5" a="1"/>
  <c r="BP55" i="5"/>
  <c r="BQ55" i="5" a="1"/>
  <c r="BQ55" i="5"/>
  <c r="BR55" i="5" a="1"/>
  <c r="BR55" i="5"/>
  <c r="BS55" i="5" a="1"/>
  <c r="BS55" i="5"/>
  <c r="BT55" i="5" a="1"/>
  <c r="BT55" i="5"/>
  <c r="BU55" i="5" a="1"/>
  <c r="BU55" i="5"/>
  <c r="BV55" i="5" a="1"/>
  <c r="BV55" i="5"/>
  <c r="BW55" i="5" a="1"/>
  <c r="BW55" i="5"/>
  <c r="BX55" i="5" a="1"/>
  <c r="BX55" i="5"/>
  <c r="BY55" i="5" a="1"/>
  <c r="BY55" i="5"/>
  <c r="BZ55" i="5" a="1"/>
  <c r="BZ55" i="5"/>
  <c r="CA55" i="5" a="1"/>
  <c r="CA55" i="5"/>
  <c r="CB55" i="5"/>
  <c r="CC55" i="5"/>
  <c r="CD55" i="5"/>
  <c r="CE55" i="5"/>
  <c r="C56" i="5" a="1"/>
  <c r="C56" i="5"/>
  <c r="D56" i="5" a="1"/>
  <c r="D56" i="5"/>
  <c r="E56" i="5" a="1"/>
  <c r="E56" i="5"/>
  <c r="F56" i="5" a="1"/>
  <c r="F56" i="5"/>
  <c r="G56" i="5" a="1"/>
  <c r="G56" i="5"/>
  <c r="H56" i="5" a="1"/>
  <c r="H56" i="5"/>
  <c r="I56" i="5" a="1"/>
  <c r="I56" i="5"/>
  <c r="J56" i="5" a="1"/>
  <c r="J56" i="5"/>
  <c r="K56" i="5" a="1"/>
  <c r="K56" i="5"/>
  <c r="L56" i="5" a="1"/>
  <c r="L56" i="5"/>
  <c r="M56" i="5" a="1"/>
  <c r="M56" i="5"/>
  <c r="N56" i="5" a="1"/>
  <c r="N56" i="5"/>
  <c r="O56" i="5" a="1"/>
  <c r="O56" i="5"/>
  <c r="P56" i="5" a="1"/>
  <c r="P56" i="5"/>
  <c r="Q56" i="5" a="1"/>
  <c r="Q56" i="5"/>
  <c r="R56" i="5" a="1"/>
  <c r="R56" i="5"/>
  <c r="S56" i="5" a="1"/>
  <c r="S56" i="5"/>
  <c r="T56" i="5" a="1"/>
  <c r="T56" i="5"/>
  <c r="U56" i="5" a="1"/>
  <c r="U56" i="5"/>
  <c r="V56" i="5" a="1"/>
  <c r="V56" i="5"/>
  <c r="W56" i="5" a="1"/>
  <c r="W56" i="5"/>
  <c r="X56" i="5" a="1"/>
  <c r="X56" i="5"/>
  <c r="Y56" i="5" a="1"/>
  <c r="Y56" i="5"/>
  <c r="Z56" i="5" a="1"/>
  <c r="Z56" i="5"/>
  <c r="AA56" i="5" a="1"/>
  <c r="AA56" i="5"/>
  <c r="AB56" i="5" a="1"/>
  <c r="AB56" i="5"/>
  <c r="AC56" i="5" a="1"/>
  <c r="AC56" i="5"/>
  <c r="AD56" i="5" a="1"/>
  <c r="AD56" i="5"/>
  <c r="AE56" i="5" a="1"/>
  <c r="AE56" i="5"/>
  <c r="AF56" i="5" a="1"/>
  <c r="AF56" i="5"/>
  <c r="AG56" i="5" a="1"/>
  <c r="AG56" i="5"/>
  <c r="AH56" i="5" a="1"/>
  <c r="AH56" i="5"/>
  <c r="AI56" i="5" a="1"/>
  <c r="AI56" i="5"/>
  <c r="AJ56" i="5" a="1"/>
  <c r="AJ56" i="5"/>
  <c r="AK56" i="5" a="1"/>
  <c r="AK56" i="5"/>
  <c r="AL56" i="5" a="1"/>
  <c r="AL56" i="5"/>
  <c r="AM56" i="5" a="1"/>
  <c r="AM56" i="5"/>
  <c r="AN56" i="5" a="1"/>
  <c r="AN56" i="5"/>
  <c r="AO56" i="5" a="1"/>
  <c r="AO56" i="5"/>
  <c r="AP56" i="5" a="1"/>
  <c r="AP56" i="5"/>
  <c r="AQ56" i="5" a="1"/>
  <c r="AQ56" i="5"/>
  <c r="AR56" i="5" a="1"/>
  <c r="AR56" i="5"/>
  <c r="AS56" i="5" a="1"/>
  <c r="AS56" i="5"/>
  <c r="AT56" i="5" a="1"/>
  <c r="AT56" i="5"/>
  <c r="AU56" i="5" a="1"/>
  <c r="AU56" i="5"/>
  <c r="AV56" i="5" a="1"/>
  <c r="AV56" i="5"/>
  <c r="AW56" i="5" a="1"/>
  <c r="AW56" i="5"/>
  <c r="AX56" i="5" a="1"/>
  <c r="AX56" i="5"/>
  <c r="AY56" i="5" a="1"/>
  <c r="AY56" i="5"/>
  <c r="AZ56" i="5" a="1"/>
  <c r="AZ56" i="5"/>
  <c r="BA56" i="5" a="1"/>
  <c r="BA56" i="5"/>
  <c r="BB56" i="5" a="1"/>
  <c r="BB56" i="5"/>
  <c r="BC56" i="5" a="1"/>
  <c r="BC56" i="5"/>
  <c r="BD56" i="5" a="1"/>
  <c r="BD56" i="5"/>
  <c r="BE56" i="5" a="1"/>
  <c r="BE56" i="5"/>
  <c r="BF56" i="5" a="1"/>
  <c r="BF56" i="5"/>
  <c r="BG56" i="5" a="1"/>
  <c r="BG56" i="5"/>
  <c r="BH56" i="5" a="1"/>
  <c r="BH56" i="5"/>
  <c r="BI56" i="5" a="1"/>
  <c r="BI56" i="5"/>
  <c r="BJ56" i="5" a="1"/>
  <c r="BJ56" i="5"/>
  <c r="BK56" i="5" a="1"/>
  <c r="BK56" i="5"/>
  <c r="BL56" i="5" a="1"/>
  <c r="BL56" i="5"/>
  <c r="BM56" i="5" a="1"/>
  <c r="BM56" i="5"/>
  <c r="BN56" i="5" a="1"/>
  <c r="BN56" i="5"/>
  <c r="BO56" i="5" a="1"/>
  <c r="BO56" i="5"/>
  <c r="BP56" i="5" a="1"/>
  <c r="BP56" i="5"/>
  <c r="BQ56" i="5" a="1"/>
  <c r="BQ56" i="5"/>
  <c r="BR56" i="5" a="1"/>
  <c r="BR56" i="5"/>
  <c r="BS56" i="5" a="1"/>
  <c r="BS56" i="5"/>
  <c r="BT56" i="5" a="1"/>
  <c r="BT56" i="5"/>
  <c r="BU56" i="5" a="1"/>
  <c r="BU56" i="5"/>
  <c r="BV56" i="5" a="1"/>
  <c r="BV56" i="5"/>
  <c r="BW56" i="5" a="1"/>
  <c r="BW56" i="5"/>
  <c r="BX56" i="5" a="1"/>
  <c r="BX56" i="5"/>
  <c r="BY56" i="5" a="1"/>
  <c r="BY56" i="5"/>
  <c r="BZ56" i="5" a="1"/>
  <c r="BZ56" i="5"/>
  <c r="CA56" i="5" a="1"/>
  <c r="CA56" i="5"/>
  <c r="CB56" i="5"/>
  <c r="CC56" i="5"/>
  <c r="CD56" i="5"/>
  <c r="CE56" i="5"/>
  <c r="C57" i="5" a="1"/>
  <c r="C57" i="5"/>
  <c r="D57" i="5" a="1"/>
  <c r="D57" i="5"/>
  <c r="E57" i="5" a="1"/>
  <c r="E57" i="5"/>
  <c r="F57" i="5" a="1"/>
  <c r="F57" i="5"/>
  <c r="G57" i="5" a="1"/>
  <c r="G57" i="5"/>
  <c r="H57" i="5" a="1"/>
  <c r="H57" i="5"/>
  <c r="I57" i="5" a="1"/>
  <c r="I57" i="5"/>
  <c r="J57" i="5" a="1"/>
  <c r="J57" i="5"/>
  <c r="K57" i="5" a="1"/>
  <c r="K57" i="5"/>
  <c r="L57" i="5" a="1"/>
  <c r="L57" i="5"/>
  <c r="M57" i="5" a="1"/>
  <c r="M57" i="5"/>
  <c r="N57" i="5" a="1"/>
  <c r="N57" i="5"/>
  <c r="O57" i="5" a="1"/>
  <c r="O57" i="5"/>
  <c r="P57" i="5" a="1"/>
  <c r="P57" i="5"/>
  <c r="Q57" i="5" a="1"/>
  <c r="Q57" i="5"/>
  <c r="R57" i="5" a="1"/>
  <c r="R57" i="5"/>
  <c r="S57" i="5" a="1"/>
  <c r="S57" i="5"/>
  <c r="T57" i="5" a="1"/>
  <c r="T57" i="5"/>
  <c r="U57" i="5" a="1"/>
  <c r="U57" i="5"/>
  <c r="V57" i="5" a="1"/>
  <c r="V57" i="5"/>
  <c r="W57" i="5" a="1"/>
  <c r="W57" i="5"/>
  <c r="X57" i="5" a="1"/>
  <c r="X57" i="5"/>
  <c r="Y57" i="5" a="1"/>
  <c r="Y57" i="5"/>
  <c r="Z57" i="5" a="1"/>
  <c r="Z57" i="5"/>
  <c r="AA57" i="5" a="1"/>
  <c r="AA57" i="5"/>
  <c r="AB57" i="5" a="1"/>
  <c r="AB57" i="5"/>
  <c r="AC57" i="5" a="1"/>
  <c r="AC57" i="5"/>
  <c r="AD57" i="5" a="1"/>
  <c r="AD57" i="5"/>
  <c r="AE57" i="5" a="1"/>
  <c r="AE57" i="5"/>
  <c r="AF57" i="5" a="1"/>
  <c r="AF57" i="5"/>
  <c r="AG57" i="5" a="1"/>
  <c r="AG57" i="5"/>
  <c r="AH57" i="5" a="1"/>
  <c r="AH57" i="5"/>
  <c r="AI57" i="5" a="1"/>
  <c r="AI57" i="5"/>
  <c r="AJ57" i="5" a="1"/>
  <c r="AJ57" i="5"/>
  <c r="AK57" i="5" a="1"/>
  <c r="AK57" i="5"/>
  <c r="AL57" i="5" a="1"/>
  <c r="AL57" i="5"/>
  <c r="AM57" i="5" a="1"/>
  <c r="AM57" i="5"/>
  <c r="AN57" i="5" a="1"/>
  <c r="AN57" i="5"/>
  <c r="AO57" i="5" a="1"/>
  <c r="AO57" i="5"/>
  <c r="AP57" i="5" a="1"/>
  <c r="AP57" i="5"/>
  <c r="AQ57" i="5" a="1"/>
  <c r="AQ57" i="5"/>
  <c r="AR57" i="5" a="1"/>
  <c r="AR57" i="5"/>
  <c r="AS57" i="5" a="1"/>
  <c r="AS57" i="5"/>
  <c r="AT57" i="5" a="1"/>
  <c r="AT57" i="5"/>
  <c r="AU57" i="5" a="1"/>
  <c r="AU57" i="5"/>
  <c r="AV57" i="5" a="1"/>
  <c r="AV57" i="5"/>
  <c r="AW57" i="5" a="1"/>
  <c r="AW57" i="5"/>
  <c r="AX57" i="5" a="1"/>
  <c r="AX57" i="5"/>
  <c r="AY57" i="5" a="1"/>
  <c r="AY57" i="5"/>
  <c r="AZ57" i="5" a="1"/>
  <c r="AZ57" i="5"/>
  <c r="BA57" i="5" a="1"/>
  <c r="BA57" i="5"/>
  <c r="BB57" i="5" a="1"/>
  <c r="BB57" i="5"/>
  <c r="BC57" i="5" a="1"/>
  <c r="BC57" i="5"/>
  <c r="BD57" i="5" a="1"/>
  <c r="BD57" i="5"/>
  <c r="BE57" i="5" a="1"/>
  <c r="BE57" i="5"/>
  <c r="BF57" i="5" a="1"/>
  <c r="BF57" i="5"/>
  <c r="BG57" i="5" a="1"/>
  <c r="BG57" i="5"/>
  <c r="BH57" i="5" a="1"/>
  <c r="BH57" i="5"/>
  <c r="BI57" i="5" a="1"/>
  <c r="BI57" i="5"/>
  <c r="BJ57" i="5" a="1"/>
  <c r="BJ57" i="5"/>
  <c r="BK57" i="5" a="1"/>
  <c r="BK57" i="5"/>
  <c r="BL57" i="5" a="1"/>
  <c r="BL57" i="5"/>
  <c r="BM57" i="5" a="1"/>
  <c r="BM57" i="5"/>
  <c r="BN57" i="5" a="1"/>
  <c r="BN57" i="5"/>
  <c r="BO57" i="5" a="1"/>
  <c r="BO57" i="5"/>
  <c r="BP57" i="5" a="1"/>
  <c r="BP57" i="5"/>
  <c r="BQ57" i="5" a="1"/>
  <c r="BQ57" i="5"/>
  <c r="BR57" i="5" a="1"/>
  <c r="BR57" i="5"/>
  <c r="BS57" i="5" a="1"/>
  <c r="BS57" i="5"/>
  <c r="BT57" i="5" a="1"/>
  <c r="BT57" i="5"/>
  <c r="BU57" i="5" a="1"/>
  <c r="BU57" i="5"/>
  <c r="BV57" i="5" a="1"/>
  <c r="BV57" i="5"/>
  <c r="BW57" i="5" a="1"/>
  <c r="BW57" i="5"/>
  <c r="BX57" i="5" a="1"/>
  <c r="BX57" i="5"/>
  <c r="BY57" i="5" a="1"/>
  <c r="BY57" i="5"/>
  <c r="BZ57" i="5" a="1"/>
  <c r="BZ57" i="5"/>
  <c r="CA57" i="5" a="1"/>
  <c r="CA57" i="5"/>
  <c r="CB57" i="5"/>
  <c r="CC57" i="5"/>
  <c r="CD57" i="5"/>
  <c r="CE57" i="5"/>
  <c r="C58" i="5" a="1"/>
  <c r="C58" i="5"/>
  <c r="D58" i="5" a="1"/>
  <c r="D58" i="5"/>
  <c r="E58" i="5" a="1"/>
  <c r="E58" i="5"/>
  <c r="F58" i="5" a="1"/>
  <c r="F58" i="5"/>
  <c r="G58" i="5" a="1"/>
  <c r="G58" i="5"/>
  <c r="H58" i="5" a="1"/>
  <c r="H58" i="5"/>
  <c r="I58" i="5" a="1"/>
  <c r="I58" i="5"/>
  <c r="J58" i="5" a="1"/>
  <c r="J58" i="5"/>
  <c r="K58" i="5" a="1"/>
  <c r="K58" i="5"/>
  <c r="L58" i="5" a="1"/>
  <c r="L58" i="5"/>
  <c r="M58" i="5" a="1"/>
  <c r="M58" i="5"/>
  <c r="N58" i="5" a="1"/>
  <c r="N58" i="5"/>
  <c r="O58" i="5" a="1"/>
  <c r="O58" i="5"/>
  <c r="P58" i="5" a="1"/>
  <c r="P58" i="5"/>
  <c r="Q58" i="5" a="1"/>
  <c r="Q58" i="5"/>
  <c r="R58" i="5" a="1"/>
  <c r="R58" i="5"/>
  <c r="S58" i="5" a="1"/>
  <c r="S58" i="5"/>
  <c r="T58" i="5" a="1"/>
  <c r="T58" i="5"/>
  <c r="U58" i="5" a="1"/>
  <c r="U58" i="5"/>
  <c r="V58" i="5" a="1"/>
  <c r="V58" i="5"/>
  <c r="W58" i="5" a="1"/>
  <c r="W58" i="5"/>
  <c r="X58" i="5" a="1"/>
  <c r="X58" i="5"/>
  <c r="Y58" i="5" a="1"/>
  <c r="Y58" i="5"/>
  <c r="Z58" i="5" a="1"/>
  <c r="Z58" i="5"/>
  <c r="AA58" i="5" a="1"/>
  <c r="AA58" i="5"/>
  <c r="AB58" i="5" a="1"/>
  <c r="AB58" i="5"/>
  <c r="AC58" i="5" a="1"/>
  <c r="AC58" i="5"/>
  <c r="AD58" i="5" a="1"/>
  <c r="AD58" i="5"/>
  <c r="AE58" i="5" a="1"/>
  <c r="AE58" i="5"/>
  <c r="AF58" i="5" a="1"/>
  <c r="AF58" i="5"/>
  <c r="AG58" i="5" a="1"/>
  <c r="AG58" i="5"/>
  <c r="AH58" i="5" a="1"/>
  <c r="AH58" i="5"/>
  <c r="AI58" i="5" a="1"/>
  <c r="AI58" i="5"/>
  <c r="AJ58" i="5" a="1"/>
  <c r="AJ58" i="5"/>
  <c r="AK58" i="5" a="1"/>
  <c r="AK58" i="5"/>
  <c r="AL58" i="5" a="1"/>
  <c r="AL58" i="5"/>
  <c r="AM58" i="5" a="1"/>
  <c r="AM58" i="5"/>
  <c r="AN58" i="5" a="1"/>
  <c r="AN58" i="5"/>
  <c r="AO58" i="5" a="1"/>
  <c r="AO58" i="5"/>
  <c r="AP58" i="5" a="1"/>
  <c r="AP58" i="5"/>
  <c r="AQ58" i="5" a="1"/>
  <c r="AQ58" i="5"/>
  <c r="AR58" i="5" a="1"/>
  <c r="AR58" i="5"/>
  <c r="AS58" i="5" a="1"/>
  <c r="AS58" i="5"/>
  <c r="AT58" i="5" a="1"/>
  <c r="AT58" i="5"/>
  <c r="AU58" i="5" a="1"/>
  <c r="AU58" i="5"/>
  <c r="AV58" i="5" a="1"/>
  <c r="AV58" i="5"/>
  <c r="AW58" i="5" a="1"/>
  <c r="AW58" i="5"/>
  <c r="AX58" i="5" a="1"/>
  <c r="AX58" i="5"/>
  <c r="AY58" i="5" a="1"/>
  <c r="AY58" i="5"/>
  <c r="AZ58" i="5" a="1"/>
  <c r="AZ58" i="5"/>
  <c r="BA58" i="5" a="1"/>
  <c r="BA58" i="5"/>
  <c r="BB58" i="5" a="1"/>
  <c r="BB58" i="5"/>
  <c r="BC58" i="5" a="1"/>
  <c r="BC58" i="5"/>
  <c r="BD58" i="5" a="1"/>
  <c r="BD58" i="5"/>
  <c r="BE58" i="5" a="1"/>
  <c r="BE58" i="5"/>
  <c r="BF58" i="5" a="1"/>
  <c r="BF58" i="5"/>
  <c r="BG58" i="5" a="1"/>
  <c r="BG58" i="5"/>
  <c r="BH58" i="5" a="1"/>
  <c r="BH58" i="5"/>
  <c r="BI58" i="5" a="1"/>
  <c r="BI58" i="5"/>
  <c r="BJ58" i="5" a="1"/>
  <c r="BJ58" i="5"/>
  <c r="BK58" i="5" a="1"/>
  <c r="BK58" i="5"/>
  <c r="BL58" i="5" a="1"/>
  <c r="BL58" i="5"/>
  <c r="BM58" i="5" a="1"/>
  <c r="BM58" i="5"/>
  <c r="BN58" i="5" a="1"/>
  <c r="BN58" i="5"/>
  <c r="BO58" i="5" a="1"/>
  <c r="BO58" i="5"/>
  <c r="BP58" i="5" a="1"/>
  <c r="BP58" i="5"/>
  <c r="BQ58" i="5" a="1"/>
  <c r="BQ58" i="5"/>
  <c r="BR58" i="5" a="1"/>
  <c r="BR58" i="5"/>
  <c r="BS58" i="5" a="1"/>
  <c r="BS58" i="5"/>
  <c r="BT58" i="5" a="1"/>
  <c r="BT58" i="5"/>
  <c r="BU58" i="5" a="1"/>
  <c r="BU58" i="5"/>
  <c r="BV58" i="5" a="1"/>
  <c r="BV58" i="5"/>
  <c r="BW58" i="5" a="1"/>
  <c r="BW58" i="5"/>
  <c r="BX58" i="5" a="1"/>
  <c r="BX58" i="5"/>
  <c r="BY58" i="5" a="1"/>
  <c r="BY58" i="5"/>
  <c r="BZ58" i="5" a="1"/>
  <c r="BZ58" i="5"/>
  <c r="CA58" i="5" a="1"/>
  <c r="CA58" i="5"/>
  <c r="CB58" i="5"/>
  <c r="CC58" i="5"/>
  <c r="CD58" i="5"/>
  <c r="CE58" i="5"/>
  <c r="C59" i="5" a="1"/>
  <c r="C59" i="5"/>
  <c r="D59" i="5" a="1"/>
  <c r="D59" i="5"/>
  <c r="E59" i="5" a="1"/>
  <c r="E59" i="5"/>
  <c r="F59" i="5" a="1"/>
  <c r="F59" i="5"/>
  <c r="G59" i="5" a="1"/>
  <c r="G59" i="5"/>
  <c r="H59" i="5" a="1"/>
  <c r="H59" i="5"/>
  <c r="I59" i="5" a="1"/>
  <c r="I59" i="5"/>
  <c r="J59" i="5" a="1"/>
  <c r="J59" i="5"/>
  <c r="K59" i="5" a="1"/>
  <c r="K59" i="5"/>
  <c r="L59" i="5" a="1"/>
  <c r="L59" i="5"/>
  <c r="M59" i="5" a="1"/>
  <c r="M59" i="5"/>
  <c r="N59" i="5" a="1"/>
  <c r="N59" i="5"/>
  <c r="O59" i="5" a="1"/>
  <c r="O59" i="5"/>
  <c r="P59" i="5" a="1"/>
  <c r="P59" i="5"/>
  <c r="Q59" i="5" a="1"/>
  <c r="Q59" i="5"/>
  <c r="R59" i="5" a="1"/>
  <c r="R59" i="5"/>
  <c r="S59" i="5" a="1"/>
  <c r="S59" i="5"/>
  <c r="T59" i="5" a="1"/>
  <c r="T59" i="5"/>
  <c r="U59" i="5" a="1"/>
  <c r="U59" i="5"/>
  <c r="V59" i="5" a="1"/>
  <c r="V59" i="5"/>
  <c r="W59" i="5" a="1"/>
  <c r="W59" i="5"/>
  <c r="X59" i="5" a="1"/>
  <c r="X59" i="5"/>
  <c r="Y59" i="5" a="1"/>
  <c r="Y59" i="5"/>
  <c r="Z59" i="5" a="1"/>
  <c r="Z59" i="5"/>
  <c r="AA59" i="5" a="1"/>
  <c r="AA59" i="5"/>
  <c r="AB59" i="5" a="1"/>
  <c r="AB59" i="5"/>
  <c r="AC59" i="5" a="1"/>
  <c r="AC59" i="5"/>
  <c r="AD59" i="5" a="1"/>
  <c r="AD59" i="5"/>
  <c r="AE59" i="5" a="1"/>
  <c r="AE59" i="5"/>
  <c r="AF59" i="5" a="1"/>
  <c r="AF59" i="5"/>
  <c r="AG59" i="5" a="1"/>
  <c r="AG59" i="5"/>
  <c r="AH59" i="5" a="1"/>
  <c r="AH59" i="5"/>
  <c r="AI59" i="5" a="1"/>
  <c r="AI59" i="5"/>
  <c r="AJ59" i="5" a="1"/>
  <c r="AJ59" i="5"/>
  <c r="AK59" i="5" a="1"/>
  <c r="AK59" i="5"/>
  <c r="AL59" i="5" a="1"/>
  <c r="AL59" i="5"/>
  <c r="AM59" i="5" a="1"/>
  <c r="AM59" i="5"/>
  <c r="AN59" i="5" a="1"/>
  <c r="AN59" i="5"/>
  <c r="AO59" i="5" a="1"/>
  <c r="AO59" i="5"/>
  <c r="AP59" i="5" a="1"/>
  <c r="AP59" i="5"/>
  <c r="AQ59" i="5" a="1"/>
  <c r="AQ59" i="5"/>
  <c r="AR59" i="5" a="1"/>
  <c r="AR59" i="5"/>
  <c r="AS59" i="5" a="1"/>
  <c r="AS59" i="5"/>
  <c r="AT59" i="5" a="1"/>
  <c r="AT59" i="5"/>
  <c r="AU59" i="5" a="1"/>
  <c r="AU59" i="5"/>
  <c r="AV59" i="5" a="1"/>
  <c r="AV59" i="5"/>
  <c r="AW59" i="5" a="1"/>
  <c r="AW59" i="5"/>
  <c r="AX59" i="5" a="1"/>
  <c r="AX59" i="5"/>
  <c r="AY59" i="5" a="1"/>
  <c r="AY59" i="5"/>
  <c r="AZ59" i="5" a="1"/>
  <c r="AZ59" i="5"/>
  <c r="BA59" i="5" a="1"/>
  <c r="BA59" i="5"/>
  <c r="BB59" i="5" a="1"/>
  <c r="BB59" i="5"/>
  <c r="BC59" i="5" a="1"/>
  <c r="BC59" i="5"/>
  <c r="BD59" i="5" a="1"/>
  <c r="BD59" i="5"/>
  <c r="BE59" i="5" a="1"/>
  <c r="BE59" i="5"/>
  <c r="BF59" i="5" a="1"/>
  <c r="BF59" i="5"/>
  <c r="BG59" i="5" a="1"/>
  <c r="BG59" i="5"/>
  <c r="BH59" i="5" a="1"/>
  <c r="BH59" i="5"/>
  <c r="BI59" i="5" a="1"/>
  <c r="BI59" i="5"/>
  <c r="BJ59" i="5" a="1"/>
  <c r="BJ59" i="5"/>
  <c r="BK59" i="5" a="1"/>
  <c r="BK59" i="5"/>
  <c r="BL59" i="5" a="1"/>
  <c r="BL59" i="5"/>
  <c r="BM59" i="5" a="1"/>
  <c r="BM59" i="5"/>
  <c r="BN59" i="5" a="1"/>
  <c r="BN59" i="5"/>
  <c r="BO59" i="5" a="1"/>
  <c r="BO59" i="5"/>
  <c r="BP59" i="5" a="1"/>
  <c r="BP59" i="5"/>
  <c r="BQ59" i="5" a="1"/>
  <c r="BQ59" i="5"/>
  <c r="BR59" i="5" a="1"/>
  <c r="BR59" i="5"/>
  <c r="BS59" i="5" a="1"/>
  <c r="BS59" i="5"/>
  <c r="BT59" i="5" a="1"/>
  <c r="BT59" i="5"/>
  <c r="BU59" i="5" a="1"/>
  <c r="BU59" i="5"/>
  <c r="BV59" i="5" a="1"/>
  <c r="BV59" i="5"/>
  <c r="BW59" i="5" a="1"/>
  <c r="BW59" i="5"/>
  <c r="BX59" i="5" a="1"/>
  <c r="BX59" i="5"/>
  <c r="BY59" i="5" a="1"/>
  <c r="BY59" i="5"/>
  <c r="BZ59" i="5" a="1"/>
  <c r="BZ59" i="5"/>
  <c r="CA59" i="5" a="1"/>
  <c r="CA59" i="5"/>
  <c r="CB59" i="5"/>
  <c r="CC59" i="5"/>
  <c r="CD59" i="5"/>
  <c r="CE59" i="5"/>
  <c r="C60" i="5" a="1"/>
  <c r="C60" i="5"/>
  <c r="D60" i="5" a="1"/>
  <c r="D60" i="5"/>
  <c r="E60" i="5" a="1"/>
  <c r="E60" i="5"/>
  <c r="F60" i="5" a="1"/>
  <c r="F60" i="5"/>
  <c r="G60" i="5" a="1"/>
  <c r="G60" i="5"/>
  <c r="H60" i="5" a="1"/>
  <c r="H60" i="5"/>
  <c r="I60" i="5" a="1"/>
  <c r="I60" i="5"/>
  <c r="J60" i="5" a="1"/>
  <c r="J60" i="5"/>
  <c r="K60" i="5" a="1"/>
  <c r="K60" i="5"/>
  <c r="L60" i="5" a="1"/>
  <c r="L60" i="5"/>
  <c r="M60" i="5" a="1"/>
  <c r="M60" i="5"/>
  <c r="N60" i="5" a="1"/>
  <c r="N60" i="5"/>
  <c r="O60" i="5" a="1"/>
  <c r="O60" i="5"/>
  <c r="P60" i="5" a="1"/>
  <c r="P60" i="5"/>
  <c r="Q60" i="5" a="1"/>
  <c r="Q60" i="5"/>
  <c r="R60" i="5" a="1"/>
  <c r="R60" i="5"/>
  <c r="S60" i="5" a="1"/>
  <c r="S60" i="5"/>
  <c r="T60" i="5" a="1"/>
  <c r="T60" i="5"/>
  <c r="U60" i="5" a="1"/>
  <c r="U60" i="5"/>
  <c r="V60" i="5" a="1"/>
  <c r="V60" i="5"/>
  <c r="W60" i="5" a="1"/>
  <c r="W60" i="5"/>
  <c r="X60" i="5" a="1"/>
  <c r="X60" i="5"/>
  <c r="Y60" i="5" a="1"/>
  <c r="Y60" i="5"/>
  <c r="Z60" i="5" a="1"/>
  <c r="Z60" i="5"/>
  <c r="AA60" i="5" a="1"/>
  <c r="AA60" i="5"/>
  <c r="AB60" i="5" a="1"/>
  <c r="AB60" i="5"/>
  <c r="AC60" i="5" a="1"/>
  <c r="AC60" i="5"/>
  <c r="AD60" i="5" a="1"/>
  <c r="AD60" i="5"/>
  <c r="AE60" i="5" a="1"/>
  <c r="AE60" i="5"/>
  <c r="AF60" i="5" a="1"/>
  <c r="AF60" i="5"/>
  <c r="AG60" i="5" a="1"/>
  <c r="AG60" i="5"/>
  <c r="AH60" i="5" a="1"/>
  <c r="AH60" i="5"/>
  <c r="AI60" i="5" a="1"/>
  <c r="AI60" i="5"/>
  <c r="AJ60" i="5" a="1"/>
  <c r="AJ60" i="5"/>
  <c r="AK60" i="5" a="1"/>
  <c r="AK60" i="5"/>
  <c r="AL60" i="5" a="1"/>
  <c r="AL60" i="5"/>
  <c r="AM60" i="5" a="1"/>
  <c r="AM60" i="5"/>
  <c r="AN60" i="5" a="1"/>
  <c r="AN60" i="5"/>
  <c r="AO60" i="5" a="1"/>
  <c r="AO60" i="5"/>
  <c r="AP60" i="5" a="1"/>
  <c r="AP60" i="5"/>
  <c r="AQ60" i="5" a="1"/>
  <c r="AQ60" i="5"/>
  <c r="AR60" i="5" a="1"/>
  <c r="AR60" i="5"/>
  <c r="AS60" i="5" a="1"/>
  <c r="AS60" i="5"/>
  <c r="AT60" i="5" a="1"/>
  <c r="AT60" i="5"/>
  <c r="AU60" i="5" a="1"/>
  <c r="AU60" i="5"/>
  <c r="AV60" i="5" a="1"/>
  <c r="AV60" i="5"/>
  <c r="AW60" i="5" a="1"/>
  <c r="AW60" i="5"/>
  <c r="AX60" i="5" a="1"/>
  <c r="AX60" i="5"/>
  <c r="AY60" i="5" a="1"/>
  <c r="AY60" i="5"/>
  <c r="AZ60" i="5" a="1"/>
  <c r="AZ60" i="5"/>
  <c r="BA60" i="5" a="1"/>
  <c r="BA60" i="5"/>
  <c r="BB60" i="5" a="1"/>
  <c r="BB60" i="5"/>
  <c r="BC60" i="5" a="1"/>
  <c r="BC60" i="5"/>
  <c r="BD60" i="5" a="1"/>
  <c r="BD60" i="5"/>
  <c r="BE60" i="5" a="1"/>
  <c r="BE60" i="5"/>
  <c r="BF60" i="5" a="1"/>
  <c r="BF60" i="5"/>
  <c r="BG60" i="5" a="1"/>
  <c r="BG60" i="5"/>
  <c r="BH60" i="5" a="1"/>
  <c r="BH60" i="5"/>
  <c r="BI60" i="5" a="1"/>
  <c r="BI60" i="5"/>
  <c r="BJ60" i="5" a="1"/>
  <c r="BJ60" i="5"/>
  <c r="BK60" i="5" a="1"/>
  <c r="BK60" i="5"/>
  <c r="BL60" i="5" a="1"/>
  <c r="BL60" i="5"/>
  <c r="BM60" i="5" a="1"/>
  <c r="BM60" i="5"/>
  <c r="BN60" i="5" a="1"/>
  <c r="BN60" i="5"/>
  <c r="BO60" i="5" a="1"/>
  <c r="BO60" i="5"/>
  <c r="BP60" i="5" a="1"/>
  <c r="BP60" i="5"/>
  <c r="BQ60" i="5" a="1"/>
  <c r="BQ60" i="5"/>
  <c r="BR60" i="5" a="1"/>
  <c r="BR60" i="5"/>
  <c r="BS60" i="5" a="1"/>
  <c r="BS60" i="5"/>
  <c r="BT60" i="5" a="1"/>
  <c r="BT60" i="5"/>
  <c r="BU60" i="5" a="1"/>
  <c r="BU60" i="5"/>
  <c r="BV60" i="5" a="1"/>
  <c r="BV60" i="5"/>
  <c r="BW60" i="5" a="1"/>
  <c r="BW60" i="5"/>
  <c r="BX60" i="5" a="1"/>
  <c r="BX60" i="5"/>
  <c r="BY60" i="5" a="1"/>
  <c r="BY60" i="5"/>
  <c r="BZ60" i="5" a="1"/>
  <c r="BZ60" i="5"/>
  <c r="CA60" i="5" a="1"/>
  <c r="CA60" i="5"/>
  <c r="CB60" i="5"/>
  <c r="CC60" i="5"/>
  <c r="CD60" i="5"/>
  <c r="CE60" i="5"/>
  <c r="C61" i="5" a="1"/>
  <c r="C61" i="5"/>
  <c r="D61" i="5" a="1"/>
  <c r="D61" i="5"/>
  <c r="E61" i="5" a="1"/>
  <c r="E61" i="5"/>
  <c r="F61" i="5" a="1"/>
  <c r="F61" i="5"/>
  <c r="G61" i="5" a="1"/>
  <c r="G61" i="5"/>
  <c r="H61" i="5" a="1"/>
  <c r="H61" i="5"/>
  <c r="I61" i="5" a="1"/>
  <c r="I61" i="5"/>
  <c r="J61" i="5" a="1"/>
  <c r="J61" i="5"/>
  <c r="K61" i="5" a="1"/>
  <c r="K61" i="5"/>
  <c r="L61" i="5" a="1"/>
  <c r="L61" i="5"/>
  <c r="M61" i="5" a="1"/>
  <c r="M61" i="5"/>
  <c r="N61" i="5" a="1"/>
  <c r="N61" i="5"/>
  <c r="O61" i="5" a="1"/>
  <c r="O61" i="5"/>
  <c r="P61" i="5" a="1"/>
  <c r="P61" i="5"/>
  <c r="Q61" i="5" a="1"/>
  <c r="Q61" i="5"/>
  <c r="R61" i="5" a="1"/>
  <c r="R61" i="5"/>
  <c r="S61" i="5" a="1"/>
  <c r="S61" i="5"/>
  <c r="T61" i="5" a="1"/>
  <c r="T61" i="5"/>
  <c r="U61" i="5" a="1"/>
  <c r="U61" i="5"/>
  <c r="V61" i="5" a="1"/>
  <c r="V61" i="5"/>
  <c r="W61" i="5" a="1"/>
  <c r="W61" i="5"/>
  <c r="X61" i="5" a="1"/>
  <c r="X61" i="5"/>
  <c r="Y61" i="5" a="1"/>
  <c r="Y61" i="5"/>
  <c r="Z61" i="5" a="1"/>
  <c r="Z61" i="5"/>
  <c r="AA61" i="5" a="1"/>
  <c r="AA61" i="5"/>
  <c r="AB61" i="5" a="1"/>
  <c r="AB61" i="5"/>
  <c r="AC61" i="5" a="1"/>
  <c r="AC61" i="5"/>
  <c r="AD61" i="5" a="1"/>
  <c r="AD61" i="5"/>
  <c r="AE61" i="5" a="1"/>
  <c r="AE61" i="5"/>
  <c r="AF61" i="5" a="1"/>
  <c r="AF61" i="5"/>
  <c r="AG61" i="5" a="1"/>
  <c r="AG61" i="5"/>
  <c r="AH61" i="5" a="1"/>
  <c r="AH61" i="5"/>
  <c r="AI61" i="5" a="1"/>
  <c r="AI61" i="5"/>
  <c r="AJ61" i="5" a="1"/>
  <c r="AJ61" i="5"/>
  <c r="AK61" i="5" a="1"/>
  <c r="AK61" i="5"/>
  <c r="AL61" i="5" a="1"/>
  <c r="AL61" i="5"/>
  <c r="AM61" i="5" a="1"/>
  <c r="AM61" i="5"/>
  <c r="AN61" i="5" a="1"/>
  <c r="AN61" i="5"/>
  <c r="AO61" i="5" a="1"/>
  <c r="AO61" i="5"/>
  <c r="AP61" i="5" a="1"/>
  <c r="AP61" i="5"/>
  <c r="AQ61" i="5" a="1"/>
  <c r="AQ61" i="5"/>
  <c r="AR61" i="5" a="1"/>
  <c r="AR61" i="5"/>
  <c r="AS61" i="5" a="1"/>
  <c r="AS61" i="5"/>
  <c r="AT61" i="5" a="1"/>
  <c r="AT61" i="5"/>
  <c r="AU61" i="5" a="1"/>
  <c r="AU61" i="5"/>
  <c r="AV61" i="5" a="1"/>
  <c r="AV61" i="5"/>
  <c r="AW61" i="5" a="1"/>
  <c r="AW61" i="5"/>
  <c r="AX61" i="5" a="1"/>
  <c r="AX61" i="5"/>
  <c r="AY61" i="5" a="1"/>
  <c r="AY61" i="5"/>
  <c r="AZ61" i="5" a="1"/>
  <c r="AZ61" i="5"/>
  <c r="BA61" i="5" a="1"/>
  <c r="BA61" i="5"/>
  <c r="BB61" i="5" a="1"/>
  <c r="BB61" i="5"/>
  <c r="BC61" i="5" a="1"/>
  <c r="BC61" i="5"/>
  <c r="BD61" i="5" a="1"/>
  <c r="BD61" i="5"/>
  <c r="BE61" i="5" a="1"/>
  <c r="BE61" i="5"/>
  <c r="BF61" i="5" a="1"/>
  <c r="BF61" i="5"/>
  <c r="BG61" i="5" a="1"/>
  <c r="BG61" i="5"/>
  <c r="BH61" i="5" a="1"/>
  <c r="BH61" i="5"/>
  <c r="BI61" i="5" a="1"/>
  <c r="BI61" i="5"/>
  <c r="BJ61" i="5" a="1"/>
  <c r="BJ61" i="5"/>
  <c r="BK61" i="5" a="1"/>
  <c r="BK61" i="5"/>
  <c r="BL61" i="5" a="1"/>
  <c r="BL61" i="5"/>
  <c r="BM61" i="5" a="1"/>
  <c r="BM61" i="5"/>
  <c r="BN61" i="5" a="1"/>
  <c r="BN61" i="5"/>
  <c r="BO61" i="5" a="1"/>
  <c r="BO61" i="5"/>
  <c r="BP61" i="5" a="1"/>
  <c r="BP61" i="5"/>
  <c r="BQ61" i="5" a="1"/>
  <c r="BQ61" i="5"/>
  <c r="BR61" i="5" a="1"/>
  <c r="BR61" i="5"/>
  <c r="BS61" i="5" a="1"/>
  <c r="BS61" i="5"/>
  <c r="BT61" i="5" a="1"/>
  <c r="BT61" i="5"/>
  <c r="BU61" i="5" a="1"/>
  <c r="BU61" i="5"/>
  <c r="BV61" i="5" a="1"/>
  <c r="BV61" i="5"/>
  <c r="BW61" i="5" a="1"/>
  <c r="BW61" i="5"/>
  <c r="BX61" i="5" a="1"/>
  <c r="BX61" i="5"/>
  <c r="BY61" i="5" a="1"/>
  <c r="BY61" i="5"/>
  <c r="BZ61" i="5" a="1"/>
  <c r="BZ61" i="5"/>
  <c r="CA61" i="5" a="1"/>
  <c r="CA61" i="5"/>
  <c r="CB61" i="5"/>
  <c r="CC61" i="5"/>
  <c r="CD61" i="5"/>
  <c r="CE61" i="5"/>
  <c r="C62" i="5" a="1"/>
  <c r="C62" i="5"/>
  <c r="D62" i="5" a="1"/>
  <c r="D62" i="5"/>
  <c r="E62" i="5" a="1"/>
  <c r="E62" i="5"/>
  <c r="F62" i="5" a="1"/>
  <c r="F62" i="5"/>
  <c r="G62" i="5" a="1"/>
  <c r="G62" i="5"/>
  <c r="H62" i="5" a="1"/>
  <c r="H62" i="5"/>
  <c r="I62" i="5" a="1"/>
  <c r="I62" i="5"/>
  <c r="J62" i="5" a="1"/>
  <c r="J62" i="5"/>
  <c r="K62" i="5" a="1"/>
  <c r="K62" i="5"/>
  <c r="L62" i="5" a="1"/>
  <c r="L62" i="5"/>
  <c r="M62" i="5" a="1"/>
  <c r="M62" i="5"/>
  <c r="N62" i="5" a="1"/>
  <c r="N62" i="5"/>
  <c r="O62" i="5" a="1"/>
  <c r="O62" i="5"/>
  <c r="P62" i="5" a="1"/>
  <c r="P62" i="5"/>
  <c r="Q62" i="5" a="1"/>
  <c r="Q62" i="5"/>
  <c r="R62" i="5" a="1"/>
  <c r="R62" i="5"/>
  <c r="S62" i="5" a="1"/>
  <c r="S62" i="5"/>
  <c r="T62" i="5" a="1"/>
  <c r="T62" i="5"/>
  <c r="U62" i="5" a="1"/>
  <c r="U62" i="5"/>
  <c r="V62" i="5" a="1"/>
  <c r="V62" i="5"/>
  <c r="W62" i="5" a="1"/>
  <c r="W62" i="5"/>
  <c r="X62" i="5" a="1"/>
  <c r="X62" i="5"/>
  <c r="Y62" i="5" a="1"/>
  <c r="Y62" i="5"/>
  <c r="Z62" i="5" a="1"/>
  <c r="Z62" i="5"/>
  <c r="AA62" i="5" a="1"/>
  <c r="AA62" i="5"/>
  <c r="AB62" i="5" a="1"/>
  <c r="AB62" i="5"/>
  <c r="AC62" i="5" a="1"/>
  <c r="AC62" i="5"/>
  <c r="AD62" i="5" a="1"/>
  <c r="AD62" i="5"/>
  <c r="AE62" i="5" a="1"/>
  <c r="AE62" i="5"/>
  <c r="AF62" i="5" a="1"/>
  <c r="AF62" i="5"/>
  <c r="AG62" i="5" a="1"/>
  <c r="AG62" i="5"/>
  <c r="AH62" i="5" a="1"/>
  <c r="AH62" i="5"/>
  <c r="AI62" i="5" a="1"/>
  <c r="AI62" i="5"/>
  <c r="AJ62" i="5" a="1"/>
  <c r="AJ62" i="5"/>
  <c r="AK62" i="5" a="1"/>
  <c r="AK62" i="5"/>
  <c r="AL62" i="5" a="1"/>
  <c r="AL62" i="5"/>
  <c r="AM62" i="5" a="1"/>
  <c r="AM62" i="5"/>
  <c r="AN62" i="5" a="1"/>
  <c r="AN62" i="5"/>
  <c r="AO62" i="5" a="1"/>
  <c r="AO62" i="5"/>
  <c r="AP62" i="5" a="1"/>
  <c r="AP62" i="5"/>
  <c r="AQ62" i="5" a="1"/>
  <c r="AQ62" i="5"/>
  <c r="AR62" i="5" a="1"/>
  <c r="AR62" i="5"/>
  <c r="AS62" i="5" a="1"/>
  <c r="AS62" i="5"/>
  <c r="AT62" i="5" a="1"/>
  <c r="AT62" i="5"/>
  <c r="AU62" i="5" a="1"/>
  <c r="AU62" i="5"/>
  <c r="AV62" i="5" a="1"/>
  <c r="AV62" i="5"/>
  <c r="AW62" i="5" a="1"/>
  <c r="AW62" i="5"/>
  <c r="AX62" i="5" a="1"/>
  <c r="AX62" i="5"/>
  <c r="AY62" i="5" a="1"/>
  <c r="AY62" i="5"/>
  <c r="AZ62" i="5" a="1"/>
  <c r="AZ62" i="5"/>
  <c r="BA62" i="5" a="1"/>
  <c r="BA62" i="5"/>
  <c r="BB62" i="5" a="1"/>
  <c r="BB62" i="5"/>
  <c r="BC62" i="5" a="1"/>
  <c r="BC62" i="5"/>
  <c r="BD62" i="5" a="1"/>
  <c r="BD62" i="5"/>
  <c r="BE62" i="5" a="1"/>
  <c r="BE62" i="5"/>
  <c r="BF62" i="5" a="1"/>
  <c r="BF62" i="5"/>
  <c r="BG62" i="5" a="1"/>
  <c r="BG62" i="5"/>
  <c r="BH62" i="5" a="1"/>
  <c r="BH62" i="5"/>
  <c r="BI62" i="5" a="1"/>
  <c r="BI62" i="5"/>
  <c r="BJ62" i="5" a="1"/>
  <c r="BJ62" i="5"/>
  <c r="BK62" i="5" a="1"/>
  <c r="BK62" i="5"/>
  <c r="BL62" i="5" a="1"/>
  <c r="BL62" i="5"/>
  <c r="BM62" i="5" a="1"/>
  <c r="BM62" i="5"/>
  <c r="BN62" i="5" a="1"/>
  <c r="BN62" i="5"/>
  <c r="BO62" i="5" a="1"/>
  <c r="BO62" i="5"/>
  <c r="BP62" i="5" a="1"/>
  <c r="BP62" i="5"/>
  <c r="BQ62" i="5" a="1"/>
  <c r="BQ62" i="5"/>
  <c r="BR62" i="5" a="1"/>
  <c r="BR62" i="5"/>
  <c r="BS62" i="5" a="1"/>
  <c r="BS62" i="5"/>
  <c r="BT62" i="5" a="1"/>
  <c r="BT62" i="5"/>
  <c r="BU62" i="5" a="1"/>
  <c r="BU62" i="5"/>
  <c r="BV62" i="5" a="1"/>
  <c r="BV62" i="5"/>
  <c r="BW62" i="5" a="1"/>
  <c r="BW62" i="5"/>
  <c r="BX62" i="5" a="1"/>
  <c r="BX62" i="5"/>
  <c r="BY62" i="5" a="1"/>
  <c r="BY62" i="5"/>
  <c r="BZ62" i="5" a="1"/>
  <c r="BZ62" i="5"/>
  <c r="CA62" i="5" a="1"/>
  <c r="CA62" i="5"/>
  <c r="CB62" i="5"/>
  <c r="CC62" i="5"/>
  <c r="CD62" i="5"/>
  <c r="CE62" i="5"/>
  <c r="C63" i="5" a="1"/>
  <c r="C63" i="5"/>
  <c r="D63" i="5" a="1"/>
  <c r="D63" i="5"/>
  <c r="E63" i="5" a="1"/>
  <c r="E63" i="5"/>
  <c r="F63" i="5" a="1"/>
  <c r="F63" i="5"/>
  <c r="G63" i="5" a="1"/>
  <c r="G63" i="5"/>
  <c r="H63" i="5" a="1"/>
  <c r="H63" i="5"/>
  <c r="I63" i="5" a="1"/>
  <c r="I63" i="5"/>
  <c r="J63" i="5" a="1"/>
  <c r="J63" i="5"/>
  <c r="K63" i="5" a="1"/>
  <c r="K63" i="5"/>
  <c r="L63" i="5" a="1"/>
  <c r="L63" i="5"/>
  <c r="M63" i="5" a="1"/>
  <c r="M63" i="5"/>
  <c r="N63" i="5" a="1"/>
  <c r="N63" i="5"/>
  <c r="O63" i="5" a="1"/>
  <c r="O63" i="5"/>
  <c r="P63" i="5" a="1"/>
  <c r="P63" i="5"/>
  <c r="Q63" i="5" a="1"/>
  <c r="Q63" i="5"/>
  <c r="R63" i="5" a="1"/>
  <c r="R63" i="5"/>
  <c r="S63" i="5" a="1"/>
  <c r="S63" i="5"/>
  <c r="T63" i="5" a="1"/>
  <c r="T63" i="5"/>
  <c r="U63" i="5" a="1"/>
  <c r="U63" i="5"/>
  <c r="V63" i="5" a="1"/>
  <c r="V63" i="5"/>
  <c r="W63" i="5" a="1"/>
  <c r="W63" i="5"/>
  <c r="X63" i="5" a="1"/>
  <c r="X63" i="5"/>
  <c r="Y63" i="5" a="1"/>
  <c r="Y63" i="5"/>
  <c r="Z63" i="5" a="1"/>
  <c r="Z63" i="5"/>
  <c r="AA63" i="5" a="1"/>
  <c r="AA63" i="5"/>
  <c r="AB63" i="5" a="1"/>
  <c r="AB63" i="5"/>
  <c r="AC63" i="5" a="1"/>
  <c r="AC63" i="5"/>
  <c r="AD63" i="5" a="1"/>
  <c r="AD63" i="5"/>
  <c r="AE63" i="5" a="1"/>
  <c r="AE63" i="5"/>
  <c r="AF63" i="5" a="1"/>
  <c r="AF63" i="5"/>
  <c r="AG63" i="5" a="1"/>
  <c r="AG63" i="5"/>
  <c r="AH63" i="5" a="1"/>
  <c r="AH63" i="5"/>
  <c r="AI63" i="5" a="1"/>
  <c r="AI63" i="5"/>
  <c r="AJ63" i="5" a="1"/>
  <c r="AJ63" i="5"/>
  <c r="AK63" i="5" a="1"/>
  <c r="AK63" i="5"/>
  <c r="AL63" i="5" a="1"/>
  <c r="AL63" i="5"/>
  <c r="AM63" i="5" a="1"/>
  <c r="AM63" i="5"/>
  <c r="AN63" i="5" a="1"/>
  <c r="AN63" i="5"/>
  <c r="AO63" i="5" a="1"/>
  <c r="AO63" i="5"/>
  <c r="AP63" i="5" a="1"/>
  <c r="AP63" i="5"/>
  <c r="AQ63" i="5" a="1"/>
  <c r="AQ63" i="5"/>
  <c r="AR63" i="5" a="1"/>
  <c r="AR63" i="5"/>
  <c r="AS63" i="5" a="1"/>
  <c r="AS63" i="5"/>
  <c r="AT63" i="5" a="1"/>
  <c r="AT63" i="5"/>
  <c r="AU63" i="5" a="1"/>
  <c r="AU63" i="5"/>
  <c r="AV63" i="5" a="1"/>
  <c r="AV63" i="5"/>
  <c r="AW63" i="5" a="1"/>
  <c r="AW63" i="5"/>
  <c r="AX63" i="5" a="1"/>
  <c r="AX63" i="5"/>
  <c r="AY63" i="5" a="1"/>
  <c r="AY63" i="5"/>
  <c r="AZ63" i="5" a="1"/>
  <c r="AZ63" i="5"/>
  <c r="BA63" i="5" a="1"/>
  <c r="BA63" i="5"/>
  <c r="BB63" i="5" a="1"/>
  <c r="BB63" i="5"/>
  <c r="BC63" i="5" a="1"/>
  <c r="BC63" i="5"/>
  <c r="BD63" i="5" a="1"/>
  <c r="BD63" i="5"/>
  <c r="BE63" i="5" a="1"/>
  <c r="BE63" i="5"/>
  <c r="BF63" i="5" a="1"/>
  <c r="BF63" i="5"/>
  <c r="BG63" i="5" a="1"/>
  <c r="BG63" i="5"/>
  <c r="BH63" i="5" a="1"/>
  <c r="BH63" i="5"/>
  <c r="BI63" i="5" a="1"/>
  <c r="BI63" i="5"/>
  <c r="BJ63" i="5" a="1"/>
  <c r="BJ63" i="5"/>
  <c r="BK63" i="5" a="1"/>
  <c r="BK63" i="5"/>
  <c r="BL63" i="5" a="1"/>
  <c r="BL63" i="5"/>
  <c r="BM63" i="5" a="1"/>
  <c r="BM63" i="5"/>
  <c r="BN63" i="5" a="1"/>
  <c r="BN63" i="5"/>
  <c r="BO63" i="5" a="1"/>
  <c r="BO63" i="5"/>
  <c r="BP63" i="5" a="1"/>
  <c r="BP63" i="5"/>
  <c r="BQ63" i="5" a="1"/>
  <c r="BQ63" i="5"/>
  <c r="BR63" i="5" a="1"/>
  <c r="BR63" i="5"/>
  <c r="BS63" i="5" a="1"/>
  <c r="BS63" i="5"/>
  <c r="BT63" i="5" a="1"/>
  <c r="BT63" i="5"/>
  <c r="BU63" i="5" a="1"/>
  <c r="BU63" i="5"/>
  <c r="BV63" i="5" a="1"/>
  <c r="BV63" i="5"/>
  <c r="BW63" i="5" a="1"/>
  <c r="BW63" i="5"/>
  <c r="BX63" i="5" a="1"/>
  <c r="BX63" i="5"/>
  <c r="BY63" i="5" a="1"/>
  <c r="BY63" i="5"/>
  <c r="BZ63" i="5" a="1"/>
  <c r="BZ63" i="5"/>
  <c r="CA63" i="5" a="1"/>
  <c r="CA63" i="5"/>
  <c r="CB63" i="5"/>
  <c r="CC63" i="5"/>
  <c r="CD63" i="5"/>
  <c r="CE63" i="5"/>
  <c r="C64" i="5" a="1"/>
  <c r="C64" i="5"/>
  <c r="D64" i="5" a="1"/>
  <c r="D64" i="5"/>
  <c r="E64" i="5" a="1"/>
  <c r="E64" i="5"/>
  <c r="F64" i="5" a="1"/>
  <c r="F64" i="5"/>
  <c r="G64" i="5" a="1"/>
  <c r="G64" i="5"/>
  <c r="H64" i="5" a="1"/>
  <c r="H64" i="5"/>
  <c r="I64" i="5" a="1"/>
  <c r="I64" i="5"/>
  <c r="J64" i="5" a="1"/>
  <c r="J64" i="5"/>
  <c r="K64" i="5" a="1"/>
  <c r="K64" i="5"/>
  <c r="L64" i="5" a="1"/>
  <c r="L64" i="5"/>
  <c r="M64" i="5" a="1"/>
  <c r="M64" i="5"/>
  <c r="N64" i="5" a="1"/>
  <c r="N64" i="5"/>
  <c r="O64" i="5" a="1"/>
  <c r="O64" i="5"/>
  <c r="P64" i="5" a="1"/>
  <c r="P64" i="5"/>
  <c r="Q64" i="5" a="1"/>
  <c r="Q64" i="5"/>
  <c r="R64" i="5" a="1"/>
  <c r="R64" i="5"/>
  <c r="S64" i="5" a="1"/>
  <c r="S64" i="5"/>
  <c r="T64" i="5" a="1"/>
  <c r="T64" i="5"/>
  <c r="U64" i="5" a="1"/>
  <c r="U64" i="5"/>
  <c r="V64" i="5" a="1"/>
  <c r="V64" i="5"/>
  <c r="W64" i="5" a="1"/>
  <c r="W64" i="5"/>
  <c r="X64" i="5" a="1"/>
  <c r="X64" i="5"/>
  <c r="Y64" i="5" a="1"/>
  <c r="Y64" i="5"/>
  <c r="Z64" i="5" a="1"/>
  <c r="Z64" i="5"/>
  <c r="AA64" i="5" a="1"/>
  <c r="AA64" i="5"/>
  <c r="AB64" i="5" a="1"/>
  <c r="AB64" i="5"/>
  <c r="AC64" i="5" a="1"/>
  <c r="AC64" i="5"/>
  <c r="AD64" i="5" a="1"/>
  <c r="AD64" i="5"/>
  <c r="AE64" i="5" a="1"/>
  <c r="AE64" i="5"/>
  <c r="AF64" i="5" a="1"/>
  <c r="AF64" i="5"/>
  <c r="AG64" i="5" a="1"/>
  <c r="AG64" i="5"/>
  <c r="AH64" i="5" a="1"/>
  <c r="AH64" i="5"/>
  <c r="AI64" i="5" a="1"/>
  <c r="AI64" i="5"/>
  <c r="AJ64" i="5" a="1"/>
  <c r="AJ64" i="5"/>
  <c r="AK64" i="5" a="1"/>
  <c r="AK64" i="5"/>
  <c r="AL64" i="5" a="1"/>
  <c r="AL64" i="5"/>
  <c r="AM64" i="5" a="1"/>
  <c r="AM64" i="5"/>
  <c r="AN64" i="5" a="1"/>
  <c r="AN64" i="5"/>
  <c r="AO64" i="5" a="1"/>
  <c r="AO64" i="5"/>
  <c r="AP64" i="5" a="1"/>
  <c r="AP64" i="5"/>
  <c r="AQ64" i="5" a="1"/>
  <c r="AQ64" i="5"/>
  <c r="AR64" i="5" a="1"/>
  <c r="AR64" i="5"/>
  <c r="AS64" i="5" a="1"/>
  <c r="AS64" i="5"/>
  <c r="AT64" i="5" a="1"/>
  <c r="AT64" i="5"/>
  <c r="AU64" i="5" a="1"/>
  <c r="AU64" i="5"/>
  <c r="AV64" i="5" a="1"/>
  <c r="AV64" i="5"/>
  <c r="AW64" i="5" a="1"/>
  <c r="AW64" i="5"/>
  <c r="AX64" i="5" a="1"/>
  <c r="AX64" i="5"/>
  <c r="AY64" i="5" a="1"/>
  <c r="AY64" i="5"/>
  <c r="AZ64" i="5" a="1"/>
  <c r="AZ64" i="5"/>
  <c r="BA64" i="5" a="1"/>
  <c r="BA64" i="5"/>
  <c r="BB64" i="5" a="1"/>
  <c r="BB64" i="5"/>
  <c r="BC64" i="5" a="1"/>
  <c r="BC64" i="5"/>
  <c r="BD64" i="5" a="1"/>
  <c r="BD64" i="5"/>
  <c r="BE64" i="5" a="1"/>
  <c r="BE64" i="5"/>
  <c r="BF64" i="5" a="1"/>
  <c r="BF64" i="5"/>
  <c r="BG64" i="5" a="1"/>
  <c r="BG64" i="5"/>
  <c r="BH64" i="5" a="1"/>
  <c r="BH64" i="5"/>
  <c r="BI64" i="5" a="1"/>
  <c r="BI64" i="5"/>
  <c r="BJ64" i="5" a="1"/>
  <c r="BJ64" i="5"/>
  <c r="BK64" i="5" a="1"/>
  <c r="BK64" i="5"/>
  <c r="BL64" i="5" a="1"/>
  <c r="BL64" i="5"/>
  <c r="BM64" i="5" a="1"/>
  <c r="BM64" i="5"/>
  <c r="BN64" i="5" a="1"/>
  <c r="BN64" i="5"/>
  <c r="BO64" i="5" a="1"/>
  <c r="BO64" i="5"/>
  <c r="BP64" i="5" a="1"/>
  <c r="BP64" i="5"/>
  <c r="BQ64" i="5" a="1"/>
  <c r="BQ64" i="5"/>
  <c r="BR64" i="5" a="1"/>
  <c r="BR64" i="5"/>
  <c r="BS64" i="5" a="1"/>
  <c r="BS64" i="5"/>
  <c r="BT64" i="5" a="1"/>
  <c r="BT64" i="5"/>
  <c r="BU64" i="5" a="1"/>
  <c r="BU64" i="5"/>
  <c r="BV64" i="5" a="1"/>
  <c r="BV64" i="5"/>
  <c r="BW64" i="5" a="1"/>
  <c r="BW64" i="5"/>
  <c r="BX64" i="5" a="1"/>
  <c r="BX64" i="5"/>
  <c r="BY64" i="5" a="1"/>
  <c r="BY64" i="5"/>
  <c r="BZ64" i="5" a="1"/>
  <c r="BZ64" i="5"/>
  <c r="CA64" i="5" a="1"/>
  <c r="CA64" i="5"/>
  <c r="CB64" i="5"/>
  <c r="CC64" i="5"/>
  <c r="CD64" i="5"/>
  <c r="CE64" i="5"/>
  <c r="C65" i="5" a="1"/>
  <c r="C65" i="5"/>
  <c r="D65" i="5" a="1"/>
  <c r="D65" i="5"/>
  <c r="E65" i="5" a="1"/>
  <c r="E65" i="5"/>
  <c r="F65" i="5" a="1"/>
  <c r="F65" i="5"/>
  <c r="G65" i="5" a="1"/>
  <c r="G65" i="5"/>
  <c r="H65" i="5" a="1"/>
  <c r="H65" i="5"/>
  <c r="I65" i="5" a="1"/>
  <c r="I65" i="5"/>
  <c r="J65" i="5" a="1"/>
  <c r="J65" i="5"/>
  <c r="K65" i="5" a="1"/>
  <c r="K65" i="5"/>
  <c r="L65" i="5" a="1"/>
  <c r="L65" i="5"/>
  <c r="M65" i="5" a="1"/>
  <c r="M65" i="5"/>
  <c r="N65" i="5" a="1"/>
  <c r="N65" i="5"/>
  <c r="O65" i="5" a="1"/>
  <c r="O65" i="5"/>
  <c r="P65" i="5" a="1"/>
  <c r="P65" i="5"/>
  <c r="Q65" i="5" a="1"/>
  <c r="Q65" i="5"/>
  <c r="R65" i="5" a="1"/>
  <c r="R65" i="5"/>
  <c r="S65" i="5" a="1"/>
  <c r="S65" i="5"/>
  <c r="T65" i="5" a="1"/>
  <c r="T65" i="5"/>
  <c r="U65" i="5" a="1"/>
  <c r="U65" i="5"/>
  <c r="V65" i="5" a="1"/>
  <c r="V65" i="5"/>
  <c r="W65" i="5" a="1"/>
  <c r="W65" i="5"/>
  <c r="X65" i="5" a="1"/>
  <c r="X65" i="5"/>
  <c r="Y65" i="5" a="1"/>
  <c r="Y65" i="5"/>
  <c r="Z65" i="5" a="1"/>
  <c r="Z65" i="5"/>
  <c r="AA65" i="5" a="1"/>
  <c r="AA65" i="5"/>
  <c r="AB65" i="5" a="1"/>
  <c r="AB65" i="5"/>
  <c r="AC65" i="5" a="1"/>
  <c r="AC65" i="5"/>
  <c r="AD65" i="5" a="1"/>
  <c r="AD65" i="5"/>
  <c r="AE65" i="5" a="1"/>
  <c r="AE65" i="5"/>
  <c r="AF65" i="5" a="1"/>
  <c r="AF65" i="5"/>
  <c r="AG65" i="5" a="1"/>
  <c r="AG65" i="5"/>
  <c r="AH65" i="5" a="1"/>
  <c r="AH65" i="5"/>
  <c r="AI65" i="5" a="1"/>
  <c r="AI65" i="5"/>
  <c r="AJ65" i="5" a="1"/>
  <c r="AJ65" i="5"/>
  <c r="AK65" i="5" a="1"/>
  <c r="AK65" i="5"/>
  <c r="AL65" i="5" a="1"/>
  <c r="AL65" i="5"/>
  <c r="AM65" i="5" a="1"/>
  <c r="AM65" i="5"/>
  <c r="AN65" i="5" a="1"/>
  <c r="AN65" i="5"/>
  <c r="AO65" i="5" a="1"/>
  <c r="AO65" i="5"/>
  <c r="AP65" i="5" a="1"/>
  <c r="AP65" i="5"/>
  <c r="AQ65" i="5" a="1"/>
  <c r="AQ65" i="5"/>
  <c r="AR65" i="5" a="1"/>
  <c r="AR65" i="5"/>
  <c r="AS65" i="5" a="1"/>
  <c r="AS65" i="5"/>
  <c r="AT65" i="5" a="1"/>
  <c r="AT65" i="5"/>
  <c r="AU65" i="5" a="1"/>
  <c r="AU65" i="5"/>
  <c r="AV65" i="5" a="1"/>
  <c r="AV65" i="5"/>
  <c r="AW65" i="5" a="1"/>
  <c r="AW65" i="5"/>
  <c r="AX65" i="5" a="1"/>
  <c r="AX65" i="5"/>
  <c r="AY65" i="5" a="1"/>
  <c r="AY65" i="5"/>
  <c r="AZ65" i="5" a="1"/>
  <c r="AZ65" i="5"/>
  <c r="BA65" i="5" a="1"/>
  <c r="BA65" i="5"/>
  <c r="BB65" i="5" a="1"/>
  <c r="BB65" i="5"/>
  <c r="BC65" i="5" a="1"/>
  <c r="BC65" i="5"/>
  <c r="BD65" i="5" a="1"/>
  <c r="BD65" i="5"/>
  <c r="BE65" i="5" a="1"/>
  <c r="BE65" i="5"/>
  <c r="BF65" i="5" a="1"/>
  <c r="BF65" i="5"/>
  <c r="BG65" i="5" a="1"/>
  <c r="BG65" i="5"/>
  <c r="BH65" i="5" a="1"/>
  <c r="BH65" i="5"/>
  <c r="BI65" i="5" a="1"/>
  <c r="BI65" i="5"/>
  <c r="BJ65" i="5" a="1"/>
  <c r="BJ65" i="5"/>
  <c r="BK65" i="5" a="1"/>
  <c r="BK65" i="5"/>
  <c r="BL65" i="5" a="1"/>
  <c r="BL65" i="5"/>
  <c r="BM65" i="5" a="1"/>
  <c r="BM65" i="5"/>
  <c r="BN65" i="5" a="1"/>
  <c r="BN65" i="5"/>
  <c r="BO65" i="5" a="1"/>
  <c r="BO65" i="5"/>
  <c r="BP65" i="5" a="1"/>
  <c r="BP65" i="5"/>
  <c r="BQ65" i="5" a="1"/>
  <c r="BQ65" i="5"/>
  <c r="BR65" i="5" a="1"/>
  <c r="BR65" i="5"/>
  <c r="BS65" i="5" a="1"/>
  <c r="BS65" i="5"/>
  <c r="BT65" i="5" a="1"/>
  <c r="BT65" i="5"/>
  <c r="BU65" i="5" a="1"/>
  <c r="BU65" i="5"/>
  <c r="BV65" i="5" a="1"/>
  <c r="BV65" i="5"/>
  <c r="BW65" i="5" a="1"/>
  <c r="BW65" i="5"/>
  <c r="BX65" i="5" a="1"/>
  <c r="BX65" i="5"/>
  <c r="BY65" i="5" a="1"/>
  <c r="BY65" i="5"/>
  <c r="BZ65" i="5" a="1"/>
  <c r="BZ65" i="5"/>
  <c r="CA65" i="5" a="1"/>
  <c r="CA65" i="5"/>
  <c r="CB65" i="5"/>
  <c r="CC65" i="5"/>
  <c r="CD65" i="5"/>
  <c r="CE65" i="5"/>
  <c r="C66" i="5" a="1"/>
  <c r="C66" i="5"/>
  <c r="D66" i="5" a="1"/>
  <c r="D66" i="5"/>
  <c r="E66" i="5" a="1"/>
  <c r="E66" i="5"/>
  <c r="F66" i="5" a="1"/>
  <c r="F66" i="5"/>
  <c r="G66" i="5" a="1"/>
  <c r="G66" i="5"/>
  <c r="H66" i="5" a="1"/>
  <c r="H66" i="5"/>
  <c r="I66" i="5" a="1"/>
  <c r="I66" i="5"/>
  <c r="J66" i="5" a="1"/>
  <c r="J66" i="5"/>
  <c r="K66" i="5" a="1"/>
  <c r="K66" i="5"/>
  <c r="L66" i="5" a="1"/>
  <c r="L66" i="5"/>
  <c r="M66" i="5" a="1"/>
  <c r="M66" i="5"/>
  <c r="N66" i="5" a="1"/>
  <c r="N66" i="5"/>
  <c r="O66" i="5" a="1"/>
  <c r="O66" i="5"/>
  <c r="P66" i="5" a="1"/>
  <c r="P66" i="5"/>
  <c r="Q66" i="5" a="1"/>
  <c r="Q66" i="5"/>
  <c r="R66" i="5" a="1"/>
  <c r="R66" i="5"/>
  <c r="S66" i="5" a="1"/>
  <c r="S66" i="5"/>
  <c r="T66" i="5" a="1"/>
  <c r="T66" i="5"/>
  <c r="U66" i="5" a="1"/>
  <c r="U66" i="5"/>
  <c r="V66" i="5" a="1"/>
  <c r="V66" i="5"/>
  <c r="W66" i="5" a="1"/>
  <c r="W66" i="5"/>
  <c r="X66" i="5" a="1"/>
  <c r="X66" i="5"/>
  <c r="Y66" i="5" a="1"/>
  <c r="Y66" i="5"/>
  <c r="Z66" i="5" a="1"/>
  <c r="Z66" i="5"/>
  <c r="AA66" i="5" a="1"/>
  <c r="AA66" i="5"/>
  <c r="AB66" i="5" a="1"/>
  <c r="AB66" i="5"/>
  <c r="AC66" i="5" a="1"/>
  <c r="AC66" i="5"/>
  <c r="AD66" i="5" a="1"/>
  <c r="AD66" i="5"/>
  <c r="AE66" i="5" a="1"/>
  <c r="AE66" i="5"/>
  <c r="AF66" i="5" a="1"/>
  <c r="AF66" i="5"/>
  <c r="AG66" i="5" a="1"/>
  <c r="AG66" i="5"/>
  <c r="AH66" i="5" a="1"/>
  <c r="AH66" i="5"/>
  <c r="AI66" i="5" a="1"/>
  <c r="AI66" i="5"/>
  <c r="AJ66" i="5" a="1"/>
  <c r="AJ66" i="5"/>
  <c r="AK66" i="5" a="1"/>
  <c r="AK66" i="5"/>
  <c r="AL66" i="5" a="1"/>
  <c r="AL66" i="5"/>
  <c r="AM66" i="5" a="1"/>
  <c r="AM66" i="5"/>
  <c r="AN66" i="5" a="1"/>
  <c r="AN66" i="5"/>
  <c r="AO66" i="5" a="1"/>
  <c r="AO66" i="5"/>
  <c r="AP66" i="5" a="1"/>
  <c r="AP66" i="5"/>
  <c r="AQ66" i="5" a="1"/>
  <c r="AQ66" i="5"/>
  <c r="AR66" i="5" a="1"/>
  <c r="AR66" i="5"/>
  <c r="AS66" i="5" a="1"/>
  <c r="AS66" i="5"/>
  <c r="AT66" i="5" a="1"/>
  <c r="AT66" i="5"/>
  <c r="AU66" i="5" a="1"/>
  <c r="AU66" i="5"/>
  <c r="AV66" i="5" a="1"/>
  <c r="AV66" i="5"/>
  <c r="AW66" i="5" a="1"/>
  <c r="AW66" i="5"/>
  <c r="AX66" i="5" a="1"/>
  <c r="AX66" i="5"/>
  <c r="AY66" i="5" a="1"/>
  <c r="AY66" i="5"/>
  <c r="AZ66" i="5" a="1"/>
  <c r="AZ66" i="5"/>
  <c r="BA66" i="5" a="1"/>
  <c r="BA66" i="5"/>
  <c r="BB66" i="5" a="1"/>
  <c r="BB66" i="5"/>
  <c r="BC66" i="5" a="1"/>
  <c r="BC66" i="5"/>
  <c r="BD66" i="5" a="1"/>
  <c r="BD66" i="5"/>
  <c r="BE66" i="5" a="1"/>
  <c r="BE66" i="5"/>
  <c r="BF66" i="5" a="1"/>
  <c r="BF66" i="5"/>
  <c r="BG66" i="5" a="1"/>
  <c r="BG66" i="5"/>
  <c r="BH66" i="5" a="1"/>
  <c r="BH66" i="5"/>
  <c r="BI66" i="5" a="1"/>
  <c r="BI66" i="5"/>
  <c r="BJ66" i="5" a="1"/>
  <c r="BJ66" i="5"/>
  <c r="BK66" i="5" a="1"/>
  <c r="BK66" i="5"/>
  <c r="BL66" i="5" a="1"/>
  <c r="BL66" i="5"/>
  <c r="BM66" i="5" a="1"/>
  <c r="BM66" i="5"/>
  <c r="BN66" i="5" a="1"/>
  <c r="BN66" i="5"/>
  <c r="BO66" i="5" a="1"/>
  <c r="BO66" i="5"/>
  <c r="BP66" i="5" a="1"/>
  <c r="BP66" i="5"/>
  <c r="BQ66" i="5" a="1"/>
  <c r="BQ66" i="5"/>
  <c r="BR66" i="5" a="1"/>
  <c r="BR66" i="5"/>
  <c r="BS66" i="5" a="1"/>
  <c r="BS66" i="5"/>
  <c r="BT66" i="5" a="1"/>
  <c r="BT66" i="5"/>
  <c r="BU66" i="5" a="1"/>
  <c r="BU66" i="5"/>
  <c r="BV66" i="5" a="1"/>
  <c r="BV66" i="5"/>
  <c r="BW66" i="5" a="1"/>
  <c r="BW66" i="5"/>
  <c r="BX66" i="5" a="1"/>
  <c r="BX66" i="5"/>
  <c r="BY66" i="5" a="1"/>
  <c r="BY66" i="5"/>
  <c r="BZ66" i="5" a="1"/>
  <c r="BZ66" i="5"/>
  <c r="CA66" i="5" a="1"/>
  <c r="CA66" i="5"/>
  <c r="CB66" i="5"/>
  <c r="CC66" i="5"/>
  <c r="CD66" i="5"/>
  <c r="CE66" i="5"/>
  <c r="C67" i="5" a="1"/>
  <c r="C67" i="5"/>
  <c r="D67" i="5" a="1"/>
  <c r="D67" i="5"/>
  <c r="E67" i="5" a="1"/>
  <c r="E67" i="5"/>
  <c r="F67" i="5" a="1"/>
  <c r="F67" i="5"/>
  <c r="G67" i="5" a="1"/>
  <c r="G67" i="5"/>
  <c r="H67" i="5" a="1"/>
  <c r="H67" i="5"/>
  <c r="I67" i="5" a="1"/>
  <c r="I67" i="5"/>
  <c r="J67" i="5" a="1"/>
  <c r="J67" i="5"/>
  <c r="K67" i="5" a="1"/>
  <c r="K67" i="5"/>
  <c r="L67" i="5" a="1"/>
  <c r="L67" i="5"/>
  <c r="M67" i="5" a="1"/>
  <c r="M67" i="5"/>
  <c r="N67" i="5" a="1"/>
  <c r="N67" i="5"/>
  <c r="O67" i="5" a="1"/>
  <c r="O67" i="5"/>
  <c r="P67" i="5" a="1"/>
  <c r="P67" i="5"/>
  <c r="Q67" i="5" a="1"/>
  <c r="Q67" i="5"/>
  <c r="R67" i="5" a="1"/>
  <c r="R67" i="5"/>
  <c r="S67" i="5" a="1"/>
  <c r="S67" i="5"/>
  <c r="T67" i="5" a="1"/>
  <c r="T67" i="5"/>
  <c r="U67" i="5" a="1"/>
  <c r="U67" i="5"/>
  <c r="V67" i="5" a="1"/>
  <c r="V67" i="5"/>
  <c r="W67" i="5" a="1"/>
  <c r="W67" i="5"/>
  <c r="X67" i="5" a="1"/>
  <c r="X67" i="5"/>
  <c r="Y67" i="5" a="1"/>
  <c r="Y67" i="5"/>
  <c r="Z67" i="5" a="1"/>
  <c r="Z67" i="5"/>
  <c r="AA67" i="5" a="1"/>
  <c r="AA67" i="5"/>
  <c r="AB67" i="5" a="1"/>
  <c r="AB67" i="5"/>
  <c r="AC67" i="5" a="1"/>
  <c r="AC67" i="5"/>
  <c r="AD67" i="5" a="1"/>
  <c r="AD67" i="5"/>
  <c r="AE67" i="5" a="1"/>
  <c r="AE67" i="5"/>
  <c r="AF67" i="5" a="1"/>
  <c r="AF67" i="5"/>
  <c r="AG67" i="5" a="1"/>
  <c r="AG67" i="5"/>
  <c r="AH67" i="5" a="1"/>
  <c r="AH67" i="5"/>
  <c r="AI67" i="5" a="1"/>
  <c r="AI67" i="5"/>
  <c r="AJ67" i="5" a="1"/>
  <c r="AJ67" i="5"/>
  <c r="AK67" i="5" a="1"/>
  <c r="AK67" i="5"/>
  <c r="AL67" i="5" a="1"/>
  <c r="AL67" i="5"/>
  <c r="AM67" i="5" a="1"/>
  <c r="AM67" i="5"/>
  <c r="AN67" i="5" a="1"/>
  <c r="AN67" i="5"/>
  <c r="AO67" i="5" a="1"/>
  <c r="AO67" i="5"/>
  <c r="AP67" i="5" a="1"/>
  <c r="AP67" i="5"/>
  <c r="AQ67" i="5" a="1"/>
  <c r="AQ67" i="5"/>
  <c r="AR67" i="5" a="1"/>
  <c r="AR67" i="5"/>
  <c r="AS67" i="5" a="1"/>
  <c r="AS67" i="5"/>
  <c r="AT67" i="5" a="1"/>
  <c r="AT67" i="5"/>
  <c r="AU67" i="5" a="1"/>
  <c r="AU67" i="5"/>
  <c r="AV67" i="5" a="1"/>
  <c r="AV67" i="5"/>
  <c r="AW67" i="5" a="1"/>
  <c r="AW67" i="5"/>
  <c r="AX67" i="5" a="1"/>
  <c r="AX67" i="5"/>
  <c r="AY67" i="5" a="1"/>
  <c r="AY67" i="5"/>
  <c r="AZ67" i="5" a="1"/>
  <c r="AZ67" i="5"/>
  <c r="BA67" i="5" a="1"/>
  <c r="BA67" i="5"/>
  <c r="BB67" i="5" a="1"/>
  <c r="BB67" i="5"/>
  <c r="BC67" i="5" a="1"/>
  <c r="BC67" i="5"/>
  <c r="BD67" i="5" a="1"/>
  <c r="BD67" i="5"/>
  <c r="BE67" i="5" a="1"/>
  <c r="BE67" i="5"/>
  <c r="BF67" i="5" a="1"/>
  <c r="BF67" i="5"/>
  <c r="BG67" i="5" a="1"/>
  <c r="BG67" i="5"/>
  <c r="BH67" i="5" a="1"/>
  <c r="BH67" i="5"/>
  <c r="BI67" i="5" a="1"/>
  <c r="BI67" i="5"/>
  <c r="BJ67" i="5" a="1"/>
  <c r="BJ67" i="5"/>
  <c r="BK67" i="5" a="1"/>
  <c r="BK67" i="5"/>
  <c r="BL67" i="5" a="1"/>
  <c r="BL67" i="5"/>
  <c r="BM67" i="5" a="1"/>
  <c r="BM67" i="5"/>
  <c r="BN67" i="5" a="1"/>
  <c r="BN67" i="5"/>
  <c r="BO67" i="5" a="1"/>
  <c r="BO67" i="5"/>
  <c r="BP67" i="5" a="1"/>
  <c r="BP67" i="5"/>
  <c r="BQ67" i="5" a="1"/>
  <c r="BQ67" i="5"/>
  <c r="BR67" i="5" a="1"/>
  <c r="BR67" i="5"/>
  <c r="BS67" i="5" a="1"/>
  <c r="BS67" i="5"/>
  <c r="BT67" i="5" a="1"/>
  <c r="BT67" i="5"/>
  <c r="BU67" i="5" a="1"/>
  <c r="BU67" i="5"/>
  <c r="BV67" i="5" a="1"/>
  <c r="BV67" i="5"/>
  <c r="BW67" i="5" a="1"/>
  <c r="BW67" i="5"/>
  <c r="BX67" i="5" a="1"/>
  <c r="BX67" i="5"/>
  <c r="BY67" i="5" a="1"/>
  <c r="BY67" i="5"/>
  <c r="BZ67" i="5" a="1"/>
  <c r="BZ67" i="5"/>
  <c r="CA67" i="5" a="1"/>
  <c r="CA67" i="5"/>
  <c r="CB67" i="5"/>
  <c r="CC67" i="5"/>
  <c r="CD67" i="5"/>
  <c r="CE67" i="5"/>
  <c r="C68" i="5" a="1"/>
  <c r="C68" i="5"/>
  <c r="D68" i="5" a="1"/>
  <c r="D68" i="5"/>
  <c r="E68" i="5" a="1"/>
  <c r="E68" i="5"/>
  <c r="F68" i="5" a="1"/>
  <c r="F68" i="5"/>
  <c r="G68" i="5" a="1"/>
  <c r="G68" i="5"/>
  <c r="H68" i="5" a="1"/>
  <c r="H68" i="5"/>
  <c r="I68" i="5" a="1"/>
  <c r="I68" i="5"/>
  <c r="J68" i="5" a="1"/>
  <c r="J68" i="5"/>
  <c r="K68" i="5" a="1"/>
  <c r="K68" i="5"/>
  <c r="L68" i="5" a="1"/>
  <c r="L68" i="5"/>
  <c r="M68" i="5" a="1"/>
  <c r="M68" i="5"/>
  <c r="N68" i="5" a="1"/>
  <c r="N68" i="5"/>
  <c r="O68" i="5" a="1"/>
  <c r="O68" i="5"/>
  <c r="P68" i="5" a="1"/>
  <c r="P68" i="5"/>
  <c r="Q68" i="5" a="1"/>
  <c r="Q68" i="5"/>
  <c r="R68" i="5" a="1"/>
  <c r="R68" i="5"/>
  <c r="S68" i="5" a="1"/>
  <c r="S68" i="5"/>
  <c r="T68" i="5" a="1"/>
  <c r="T68" i="5"/>
  <c r="U68" i="5" a="1"/>
  <c r="U68" i="5"/>
  <c r="V68" i="5" a="1"/>
  <c r="V68" i="5"/>
  <c r="W68" i="5" a="1"/>
  <c r="W68" i="5"/>
  <c r="X68" i="5" a="1"/>
  <c r="X68" i="5"/>
  <c r="Y68" i="5" a="1"/>
  <c r="Y68" i="5"/>
  <c r="Z68" i="5" a="1"/>
  <c r="Z68" i="5"/>
  <c r="AA68" i="5" a="1"/>
  <c r="AA68" i="5"/>
  <c r="AB68" i="5" a="1"/>
  <c r="AB68" i="5"/>
  <c r="AC68" i="5" a="1"/>
  <c r="AC68" i="5"/>
  <c r="AD68" i="5" a="1"/>
  <c r="AD68" i="5"/>
  <c r="AE68" i="5" a="1"/>
  <c r="AE68" i="5"/>
  <c r="AF68" i="5" a="1"/>
  <c r="AF68" i="5"/>
  <c r="AG68" i="5" a="1"/>
  <c r="AG68" i="5"/>
  <c r="AH68" i="5" a="1"/>
  <c r="AH68" i="5"/>
  <c r="AI68" i="5" a="1"/>
  <c r="AI68" i="5"/>
  <c r="AJ68" i="5" a="1"/>
  <c r="AJ68" i="5"/>
  <c r="AK68" i="5" a="1"/>
  <c r="AK68" i="5"/>
  <c r="AL68" i="5" a="1"/>
  <c r="AL68" i="5"/>
  <c r="AM68" i="5" a="1"/>
  <c r="AM68" i="5"/>
  <c r="AN68" i="5" a="1"/>
  <c r="AN68" i="5"/>
  <c r="AO68" i="5" a="1"/>
  <c r="AO68" i="5"/>
  <c r="AP68" i="5" a="1"/>
  <c r="AP68" i="5"/>
  <c r="AQ68" i="5" a="1"/>
  <c r="AQ68" i="5"/>
  <c r="AR68" i="5" a="1"/>
  <c r="AR68" i="5"/>
  <c r="AS68" i="5" a="1"/>
  <c r="AS68" i="5"/>
  <c r="AT68" i="5" a="1"/>
  <c r="AT68" i="5"/>
  <c r="AU68" i="5" a="1"/>
  <c r="AU68" i="5"/>
  <c r="AV68" i="5" a="1"/>
  <c r="AV68" i="5"/>
  <c r="AW68" i="5" a="1"/>
  <c r="AW68" i="5"/>
  <c r="AX68" i="5" a="1"/>
  <c r="AX68" i="5"/>
  <c r="AY68" i="5" a="1"/>
  <c r="AY68" i="5"/>
  <c r="AZ68" i="5" a="1"/>
  <c r="AZ68" i="5"/>
  <c r="BA68" i="5" a="1"/>
  <c r="BA68" i="5"/>
  <c r="BB68" i="5" a="1"/>
  <c r="BB68" i="5"/>
  <c r="BC68" i="5" a="1"/>
  <c r="BC68" i="5"/>
  <c r="BD68" i="5" a="1"/>
  <c r="BD68" i="5"/>
  <c r="BE68" i="5" a="1"/>
  <c r="BE68" i="5"/>
  <c r="BF68" i="5" a="1"/>
  <c r="BF68" i="5"/>
  <c r="BG68" i="5" a="1"/>
  <c r="BG68" i="5"/>
  <c r="BH68" i="5" a="1"/>
  <c r="BH68" i="5"/>
  <c r="BI68" i="5" a="1"/>
  <c r="BI68" i="5"/>
  <c r="BJ68" i="5" a="1"/>
  <c r="BJ68" i="5"/>
  <c r="BK68" i="5" a="1"/>
  <c r="BK68" i="5"/>
  <c r="BL68" i="5" a="1"/>
  <c r="BL68" i="5"/>
  <c r="BM68" i="5" a="1"/>
  <c r="BM68" i="5"/>
  <c r="BN68" i="5" a="1"/>
  <c r="BN68" i="5"/>
  <c r="BO68" i="5" a="1"/>
  <c r="BO68" i="5"/>
  <c r="BP68" i="5" a="1"/>
  <c r="BP68" i="5"/>
  <c r="BQ68" i="5" a="1"/>
  <c r="BQ68" i="5"/>
  <c r="BR68" i="5" a="1"/>
  <c r="BR68" i="5"/>
  <c r="BS68" i="5" a="1"/>
  <c r="BS68" i="5"/>
  <c r="BT68" i="5" a="1"/>
  <c r="BT68" i="5"/>
  <c r="BU68" i="5" a="1"/>
  <c r="BU68" i="5"/>
  <c r="BV68" i="5" a="1"/>
  <c r="BV68" i="5"/>
  <c r="BW68" i="5" a="1"/>
  <c r="BW68" i="5"/>
  <c r="BX68" i="5" a="1"/>
  <c r="BX68" i="5"/>
  <c r="BY68" i="5" a="1"/>
  <c r="BY68" i="5"/>
  <c r="BZ68" i="5" a="1"/>
  <c r="BZ68" i="5"/>
  <c r="CA68" i="5" a="1"/>
  <c r="CA68" i="5"/>
  <c r="CB68" i="5"/>
  <c r="CC68" i="5"/>
  <c r="CD68" i="5"/>
  <c r="CE68" i="5"/>
  <c r="C69" i="5" a="1"/>
  <c r="C69" i="5"/>
  <c r="D69" i="5" a="1"/>
  <c r="D69" i="5"/>
  <c r="E69" i="5" a="1"/>
  <c r="E69" i="5"/>
  <c r="F69" i="5" a="1"/>
  <c r="F69" i="5"/>
  <c r="G69" i="5" a="1"/>
  <c r="G69" i="5"/>
  <c r="H69" i="5" a="1"/>
  <c r="H69" i="5"/>
  <c r="I69" i="5" a="1"/>
  <c r="I69" i="5"/>
  <c r="J69" i="5" a="1"/>
  <c r="J69" i="5"/>
  <c r="K69" i="5" a="1"/>
  <c r="K69" i="5"/>
  <c r="L69" i="5" a="1"/>
  <c r="L69" i="5"/>
  <c r="M69" i="5" a="1"/>
  <c r="M69" i="5"/>
  <c r="N69" i="5" a="1"/>
  <c r="N69" i="5"/>
  <c r="O69" i="5" a="1"/>
  <c r="O69" i="5"/>
  <c r="P69" i="5" a="1"/>
  <c r="P69" i="5"/>
  <c r="Q69" i="5" a="1"/>
  <c r="Q69" i="5"/>
  <c r="R69" i="5" a="1"/>
  <c r="R69" i="5"/>
  <c r="S69" i="5" a="1"/>
  <c r="S69" i="5"/>
  <c r="T69" i="5" a="1"/>
  <c r="T69" i="5"/>
  <c r="U69" i="5" a="1"/>
  <c r="U69" i="5"/>
  <c r="V69" i="5" a="1"/>
  <c r="V69" i="5"/>
  <c r="W69" i="5" a="1"/>
  <c r="W69" i="5"/>
  <c r="X69" i="5" a="1"/>
  <c r="X69" i="5"/>
  <c r="Y69" i="5" a="1"/>
  <c r="Y69" i="5"/>
  <c r="Z69" i="5" a="1"/>
  <c r="Z69" i="5"/>
  <c r="AA69" i="5" a="1"/>
  <c r="AA69" i="5"/>
  <c r="AB69" i="5" a="1"/>
  <c r="AB69" i="5"/>
  <c r="AC69" i="5" a="1"/>
  <c r="AC69" i="5"/>
  <c r="AD69" i="5" a="1"/>
  <c r="AD69" i="5"/>
  <c r="AE69" i="5" a="1"/>
  <c r="AE69" i="5"/>
  <c r="AF69" i="5" a="1"/>
  <c r="AF69" i="5"/>
  <c r="AG69" i="5" a="1"/>
  <c r="AG69" i="5"/>
  <c r="AH69" i="5" a="1"/>
  <c r="AH69" i="5"/>
  <c r="AI69" i="5" a="1"/>
  <c r="AI69" i="5"/>
  <c r="AJ69" i="5" a="1"/>
  <c r="AJ69" i="5"/>
  <c r="AK69" i="5" a="1"/>
  <c r="AK69" i="5"/>
  <c r="AL69" i="5" a="1"/>
  <c r="AL69" i="5"/>
  <c r="AM69" i="5" a="1"/>
  <c r="AM69" i="5"/>
  <c r="AN69" i="5" a="1"/>
  <c r="AN69" i="5"/>
  <c r="AO69" i="5" a="1"/>
  <c r="AO69" i="5"/>
  <c r="AP69" i="5" a="1"/>
  <c r="AP69" i="5"/>
  <c r="AQ69" i="5" a="1"/>
  <c r="AQ69" i="5"/>
  <c r="AR69" i="5" a="1"/>
  <c r="AR69" i="5"/>
  <c r="AS69" i="5" a="1"/>
  <c r="AS69" i="5"/>
  <c r="AT69" i="5" a="1"/>
  <c r="AT69" i="5"/>
  <c r="AU69" i="5" a="1"/>
  <c r="AU69" i="5"/>
  <c r="AV69" i="5" a="1"/>
  <c r="AV69" i="5"/>
  <c r="AW69" i="5" a="1"/>
  <c r="AW69" i="5"/>
  <c r="AX69" i="5" a="1"/>
  <c r="AX69" i="5"/>
  <c r="AY69" i="5" a="1"/>
  <c r="AY69" i="5"/>
  <c r="AZ69" i="5" a="1"/>
  <c r="AZ69" i="5"/>
  <c r="BA69" i="5" a="1"/>
  <c r="BA69" i="5"/>
  <c r="BB69" i="5" a="1"/>
  <c r="BB69" i="5"/>
  <c r="BC69" i="5" a="1"/>
  <c r="BC69" i="5"/>
  <c r="BD69" i="5" a="1"/>
  <c r="BD69" i="5"/>
  <c r="BE69" i="5" a="1"/>
  <c r="BE69" i="5"/>
  <c r="BF69" i="5" a="1"/>
  <c r="BF69" i="5"/>
  <c r="BG69" i="5" a="1"/>
  <c r="BG69" i="5"/>
  <c r="BH69" i="5" a="1"/>
  <c r="BH69" i="5"/>
  <c r="BI69" i="5" a="1"/>
  <c r="BI69" i="5"/>
  <c r="BJ69" i="5" a="1"/>
  <c r="BJ69" i="5"/>
  <c r="BK69" i="5" a="1"/>
  <c r="BK69" i="5"/>
  <c r="BL69" i="5" a="1"/>
  <c r="BL69" i="5"/>
  <c r="BM69" i="5" a="1"/>
  <c r="BM69" i="5"/>
  <c r="BN69" i="5" a="1"/>
  <c r="BN69" i="5"/>
  <c r="BO69" i="5" a="1"/>
  <c r="BO69" i="5"/>
  <c r="BP69" i="5" a="1"/>
  <c r="BP69" i="5"/>
  <c r="BQ69" i="5" a="1"/>
  <c r="BQ69" i="5"/>
  <c r="BR69" i="5" a="1"/>
  <c r="BR69" i="5"/>
  <c r="BS69" i="5" a="1"/>
  <c r="BS69" i="5"/>
  <c r="BT69" i="5" a="1"/>
  <c r="BT69" i="5"/>
  <c r="BU69" i="5" a="1"/>
  <c r="BU69" i="5"/>
  <c r="BV69" i="5" a="1"/>
  <c r="BV69" i="5"/>
  <c r="BW69" i="5" a="1"/>
  <c r="BW69" i="5"/>
  <c r="BX69" i="5" a="1"/>
  <c r="BX69" i="5"/>
  <c r="BY69" i="5" a="1"/>
  <c r="BY69" i="5"/>
  <c r="BZ69" i="5" a="1"/>
  <c r="BZ69" i="5"/>
  <c r="CA69" i="5" a="1"/>
  <c r="CA69" i="5"/>
  <c r="CB69" i="5"/>
  <c r="CC69" i="5"/>
  <c r="CD69" i="5"/>
  <c r="CE69" i="5"/>
  <c r="C70" i="5" a="1"/>
  <c r="C70" i="5"/>
  <c r="D70" i="5" a="1"/>
  <c r="D70" i="5"/>
  <c r="E70" i="5" a="1"/>
  <c r="E70" i="5"/>
  <c r="F70" i="5" a="1"/>
  <c r="F70" i="5"/>
  <c r="G70" i="5" a="1"/>
  <c r="G70" i="5"/>
  <c r="H70" i="5" a="1"/>
  <c r="H70" i="5"/>
  <c r="I70" i="5" a="1"/>
  <c r="I70" i="5"/>
  <c r="J70" i="5" a="1"/>
  <c r="J70" i="5"/>
  <c r="K70" i="5" a="1"/>
  <c r="K70" i="5"/>
  <c r="L70" i="5" a="1"/>
  <c r="L70" i="5"/>
  <c r="M70" i="5" a="1"/>
  <c r="M70" i="5"/>
  <c r="N70" i="5" a="1"/>
  <c r="N70" i="5"/>
  <c r="O70" i="5" a="1"/>
  <c r="O70" i="5"/>
  <c r="P70" i="5" a="1"/>
  <c r="P70" i="5"/>
  <c r="Q70" i="5" a="1"/>
  <c r="Q70" i="5"/>
  <c r="R70" i="5" a="1"/>
  <c r="R70" i="5"/>
  <c r="S70" i="5" a="1"/>
  <c r="S70" i="5"/>
  <c r="T70" i="5" a="1"/>
  <c r="T70" i="5"/>
  <c r="U70" i="5" a="1"/>
  <c r="U70" i="5"/>
  <c r="V70" i="5" a="1"/>
  <c r="V70" i="5"/>
  <c r="W70" i="5" a="1"/>
  <c r="W70" i="5"/>
  <c r="X70" i="5" a="1"/>
  <c r="X70" i="5"/>
  <c r="Y70" i="5" a="1"/>
  <c r="Y70" i="5"/>
  <c r="Z70" i="5" a="1"/>
  <c r="Z70" i="5"/>
  <c r="AA70" i="5" a="1"/>
  <c r="AA70" i="5"/>
  <c r="AB70" i="5" a="1"/>
  <c r="AB70" i="5"/>
  <c r="AC70" i="5" a="1"/>
  <c r="AC70" i="5"/>
  <c r="AD70" i="5" a="1"/>
  <c r="AD70" i="5"/>
  <c r="AE70" i="5" a="1"/>
  <c r="AE70" i="5"/>
  <c r="AF70" i="5" a="1"/>
  <c r="AF70" i="5"/>
  <c r="AG70" i="5" a="1"/>
  <c r="AG70" i="5"/>
  <c r="AH70" i="5" a="1"/>
  <c r="AH70" i="5"/>
  <c r="AI70" i="5" a="1"/>
  <c r="AI70" i="5"/>
  <c r="AJ70" i="5" a="1"/>
  <c r="AJ70" i="5"/>
  <c r="AK70" i="5" a="1"/>
  <c r="AK70" i="5"/>
  <c r="AL70" i="5" a="1"/>
  <c r="AL70" i="5"/>
  <c r="AM70" i="5" a="1"/>
  <c r="AM70" i="5"/>
  <c r="AN70" i="5" a="1"/>
  <c r="AN70" i="5"/>
  <c r="AO70" i="5" a="1"/>
  <c r="AO70" i="5"/>
  <c r="AP70" i="5" a="1"/>
  <c r="AP70" i="5"/>
  <c r="AQ70" i="5" a="1"/>
  <c r="AQ70" i="5"/>
  <c r="AR70" i="5" a="1"/>
  <c r="AR70" i="5"/>
  <c r="AS70" i="5" a="1"/>
  <c r="AS70" i="5"/>
  <c r="AT70" i="5" a="1"/>
  <c r="AT70" i="5"/>
  <c r="AU70" i="5" a="1"/>
  <c r="AU70" i="5"/>
  <c r="AV70" i="5" a="1"/>
  <c r="AV70" i="5"/>
  <c r="AW70" i="5" a="1"/>
  <c r="AW70" i="5"/>
  <c r="AX70" i="5" a="1"/>
  <c r="AX70" i="5"/>
  <c r="AY70" i="5" a="1"/>
  <c r="AY70" i="5"/>
  <c r="AZ70" i="5" a="1"/>
  <c r="AZ70" i="5"/>
  <c r="BA70" i="5" a="1"/>
  <c r="BA70" i="5"/>
  <c r="BB70" i="5" a="1"/>
  <c r="BB70" i="5"/>
  <c r="BC70" i="5" a="1"/>
  <c r="BC70" i="5"/>
  <c r="BD70" i="5" a="1"/>
  <c r="BD70" i="5"/>
  <c r="BE70" i="5" a="1"/>
  <c r="BE70" i="5"/>
  <c r="BF70" i="5" a="1"/>
  <c r="BF70" i="5"/>
  <c r="BG70" i="5" a="1"/>
  <c r="BG70" i="5"/>
  <c r="BH70" i="5" a="1"/>
  <c r="BH70" i="5"/>
  <c r="BI70" i="5" a="1"/>
  <c r="BI70" i="5"/>
  <c r="BJ70" i="5" a="1"/>
  <c r="BJ70" i="5"/>
  <c r="BK70" i="5" a="1"/>
  <c r="BK70" i="5"/>
  <c r="BL70" i="5" a="1"/>
  <c r="BL70" i="5"/>
  <c r="BM70" i="5" a="1"/>
  <c r="BM70" i="5"/>
  <c r="BN70" i="5" a="1"/>
  <c r="BN70" i="5"/>
  <c r="BO70" i="5" a="1"/>
  <c r="BO70" i="5"/>
  <c r="BP70" i="5" a="1"/>
  <c r="BP70" i="5"/>
  <c r="BQ70" i="5" a="1"/>
  <c r="BQ70" i="5"/>
  <c r="BR70" i="5" a="1"/>
  <c r="BR70" i="5"/>
  <c r="BS70" i="5" a="1"/>
  <c r="BS70" i="5"/>
  <c r="BT70" i="5" a="1"/>
  <c r="BT70" i="5"/>
  <c r="BU70" i="5" a="1"/>
  <c r="BU70" i="5"/>
  <c r="BV70" i="5" a="1"/>
  <c r="BV70" i="5"/>
  <c r="BW70" i="5" a="1"/>
  <c r="BW70" i="5"/>
  <c r="BX70" i="5" a="1"/>
  <c r="BX70" i="5"/>
  <c r="BY70" i="5" a="1"/>
  <c r="BY70" i="5"/>
  <c r="BZ70" i="5" a="1"/>
  <c r="BZ70" i="5"/>
  <c r="CA70" i="5" a="1"/>
  <c r="CA70" i="5"/>
  <c r="CB70" i="5"/>
  <c r="CC70" i="5"/>
  <c r="CD70" i="5"/>
  <c r="CE70" i="5"/>
  <c r="C71" i="5" a="1"/>
  <c r="C71" i="5"/>
  <c r="D71" i="5" a="1"/>
  <c r="D71" i="5"/>
  <c r="E71" i="5" a="1"/>
  <c r="E71" i="5"/>
  <c r="F71" i="5" a="1"/>
  <c r="F71" i="5"/>
  <c r="G71" i="5" a="1"/>
  <c r="G71" i="5"/>
  <c r="H71" i="5" a="1"/>
  <c r="H71" i="5"/>
  <c r="I71" i="5" a="1"/>
  <c r="I71" i="5"/>
  <c r="J71" i="5" a="1"/>
  <c r="J71" i="5"/>
  <c r="K71" i="5" a="1"/>
  <c r="K71" i="5"/>
  <c r="L71" i="5" a="1"/>
  <c r="L71" i="5"/>
  <c r="M71" i="5" a="1"/>
  <c r="M71" i="5"/>
  <c r="N71" i="5" a="1"/>
  <c r="N71" i="5"/>
  <c r="O71" i="5" a="1"/>
  <c r="O71" i="5"/>
  <c r="P71" i="5" a="1"/>
  <c r="P71" i="5"/>
  <c r="Q71" i="5" a="1"/>
  <c r="Q71" i="5"/>
  <c r="R71" i="5" a="1"/>
  <c r="R71" i="5"/>
  <c r="S71" i="5" a="1"/>
  <c r="S71" i="5"/>
  <c r="T71" i="5" a="1"/>
  <c r="T71" i="5"/>
  <c r="U71" i="5" a="1"/>
  <c r="U71" i="5"/>
  <c r="V71" i="5" a="1"/>
  <c r="V71" i="5"/>
  <c r="W71" i="5" a="1"/>
  <c r="W71" i="5"/>
  <c r="X71" i="5" a="1"/>
  <c r="X71" i="5"/>
  <c r="Y71" i="5" a="1"/>
  <c r="Y71" i="5"/>
  <c r="Z71" i="5" a="1"/>
  <c r="Z71" i="5"/>
  <c r="AA71" i="5" a="1"/>
  <c r="AA71" i="5"/>
  <c r="AB71" i="5" a="1"/>
  <c r="AB71" i="5"/>
  <c r="AC71" i="5" a="1"/>
  <c r="AC71" i="5"/>
  <c r="AD71" i="5" a="1"/>
  <c r="AD71" i="5"/>
  <c r="AE71" i="5" a="1"/>
  <c r="AE71" i="5"/>
  <c r="AF71" i="5" a="1"/>
  <c r="AF71" i="5"/>
  <c r="AG71" i="5" a="1"/>
  <c r="AG71" i="5"/>
  <c r="AH71" i="5" a="1"/>
  <c r="AH71" i="5"/>
  <c r="AI71" i="5" a="1"/>
  <c r="AI71" i="5"/>
  <c r="AJ71" i="5" a="1"/>
  <c r="AJ71" i="5"/>
  <c r="AK71" i="5" a="1"/>
  <c r="AK71" i="5"/>
  <c r="AL71" i="5" a="1"/>
  <c r="AL71" i="5"/>
  <c r="AM71" i="5" a="1"/>
  <c r="AM71" i="5"/>
  <c r="AN71" i="5" a="1"/>
  <c r="AN71" i="5"/>
  <c r="AO71" i="5" a="1"/>
  <c r="AO71" i="5"/>
  <c r="AP71" i="5" a="1"/>
  <c r="AP71" i="5"/>
  <c r="AQ71" i="5" a="1"/>
  <c r="AQ71" i="5"/>
  <c r="AR71" i="5" a="1"/>
  <c r="AR71" i="5"/>
  <c r="AS71" i="5" a="1"/>
  <c r="AS71" i="5"/>
  <c r="AT71" i="5" a="1"/>
  <c r="AT71" i="5"/>
  <c r="AU71" i="5" a="1"/>
  <c r="AU71" i="5"/>
  <c r="AV71" i="5" a="1"/>
  <c r="AV71" i="5"/>
  <c r="AW71" i="5" a="1"/>
  <c r="AW71" i="5"/>
  <c r="AX71" i="5" a="1"/>
  <c r="AX71" i="5"/>
  <c r="AY71" i="5" a="1"/>
  <c r="AY71" i="5"/>
  <c r="AZ71" i="5" a="1"/>
  <c r="AZ71" i="5"/>
  <c r="BA71" i="5" a="1"/>
  <c r="BA71" i="5"/>
  <c r="BB71" i="5" a="1"/>
  <c r="BB71" i="5"/>
  <c r="BC71" i="5" a="1"/>
  <c r="BC71" i="5"/>
  <c r="BD71" i="5" a="1"/>
  <c r="BD71" i="5"/>
  <c r="BE71" i="5" a="1"/>
  <c r="BE71" i="5"/>
  <c r="BF71" i="5" a="1"/>
  <c r="BF71" i="5"/>
  <c r="BG71" i="5" a="1"/>
  <c r="BG71" i="5"/>
  <c r="BH71" i="5" a="1"/>
  <c r="BH71" i="5"/>
  <c r="BI71" i="5" a="1"/>
  <c r="BI71" i="5"/>
  <c r="BJ71" i="5" a="1"/>
  <c r="BJ71" i="5"/>
  <c r="BK71" i="5" a="1"/>
  <c r="BK71" i="5"/>
  <c r="BL71" i="5" a="1"/>
  <c r="BL71" i="5"/>
  <c r="BM71" i="5" a="1"/>
  <c r="BM71" i="5"/>
  <c r="BN71" i="5" a="1"/>
  <c r="BN71" i="5"/>
  <c r="BO71" i="5" a="1"/>
  <c r="BO71" i="5"/>
  <c r="BP71" i="5" a="1"/>
  <c r="BP71" i="5"/>
  <c r="BQ71" i="5" a="1"/>
  <c r="BQ71" i="5"/>
  <c r="BR71" i="5" a="1"/>
  <c r="BR71" i="5"/>
  <c r="BS71" i="5" a="1"/>
  <c r="BS71" i="5"/>
  <c r="BT71" i="5" a="1"/>
  <c r="BT71" i="5"/>
  <c r="BU71" i="5" a="1"/>
  <c r="BU71" i="5"/>
  <c r="BV71" i="5" a="1"/>
  <c r="BV71" i="5"/>
  <c r="BW71" i="5" a="1"/>
  <c r="BW71" i="5"/>
  <c r="BX71" i="5" a="1"/>
  <c r="BX71" i="5"/>
  <c r="BY71" i="5" a="1"/>
  <c r="BY71" i="5"/>
  <c r="BZ71" i="5" a="1"/>
  <c r="BZ71" i="5"/>
  <c r="CA71" i="5" a="1"/>
  <c r="CA71" i="5"/>
  <c r="CB71" i="5"/>
  <c r="CC71" i="5"/>
  <c r="CD71" i="5"/>
  <c r="CE71" i="5"/>
  <c r="C72" i="5" a="1"/>
  <c r="C72" i="5"/>
  <c r="D72" i="5" a="1"/>
  <c r="D72" i="5"/>
  <c r="E72" i="5" a="1"/>
  <c r="E72" i="5"/>
  <c r="F72" i="5" a="1"/>
  <c r="F72" i="5"/>
  <c r="G72" i="5" a="1"/>
  <c r="G72" i="5"/>
  <c r="H72" i="5" a="1"/>
  <c r="H72" i="5"/>
  <c r="I72" i="5" a="1"/>
  <c r="I72" i="5"/>
  <c r="J72" i="5" a="1"/>
  <c r="J72" i="5"/>
  <c r="K72" i="5" a="1"/>
  <c r="K72" i="5"/>
  <c r="L72" i="5" a="1"/>
  <c r="L72" i="5"/>
  <c r="M72" i="5" a="1"/>
  <c r="M72" i="5"/>
  <c r="N72" i="5" a="1"/>
  <c r="N72" i="5"/>
  <c r="O72" i="5" a="1"/>
  <c r="O72" i="5"/>
  <c r="P72" i="5" a="1"/>
  <c r="P72" i="5"/>
  <c r="Q72" i="5" a="1"/>
  <c r="Q72" i="5"/>
  <c r="R72" i="5" a="1"/>
  <c r="R72" i="5"/>
  <c r="S72" i="5" a="1"/>
  <c r="S72" i="5"/>
  <c r="T72" i="5" a="1"/>
  <c r="T72" i="5"/>
  <c r="U72" i="5" a="1"/>
  <c r="U72" i="5"/>
  <c r="V72" i="5" a="1"/>
  <c r="V72" i="5"/>
  <c r="W72" i="5" a="1"/>
  <c r="W72" i="5"/>
  <c r="X72" i="5" a="1"/>
  <c r="X72" i="5"/>
  <c r="Y72" i="5" a="1"/>
  <c r="Y72" i="5"/>
  <c r="Z72" i="5" a="1"/>
  <c r="Z72" i="5"/>
  <c r="AA72" i="5" a="1"/>
  <c r="AA72" i="5"/>
  <c r="AB72" i="5" a="1"/>
  <c r="AB72" i="5"/>
  <c r="AC72" i="5" a="1"/>
  <c r="AC72" i="5"/>
  <c r="AD72" i="5" a="1"/>
  <c r="AD72" i="5"/>
  <c r="AE72" i="5" a="1"/>
  <c r="AE72" i="5"/>
  <c r="AF72" i="5" a="1"/>
  <c r="AF72" i="5"/>
  <c r="AG72" i="5" a="1"/>
  <c r="AG72" i="5"/>
  <c r="AH72" i="5" a="1"/>
  <c r="AH72" i="5"/>
  <c r="AI72" i="5" a="1"/>
  <c r="AI72" i="5"/>
  <c r="AJ72" i="5" a="1"/>
  <c r="AJ72" i="5"/>
  <c r="AK72" i="5" a="1"/>
  <c r="AK72" i="5"/>
  <c r="AL72" i="5" a="1"/>
  <c r="AL72" i="5"/>
  <c r="AM72" i="5" a="1"/>
  <c r="AM72" i="5"/>
  <c r="AN72" i="5" a="1"/>
  <c r="AN72" i="5"/>
  <c r="AO72" i="5" a="1"/>
  <c r="AO72" i="5"/>
  <c r="AP72" i="5" a="1"/>
  <c r="AP72" i="5"/>
  <c r="AQ72" i="5" a="1"/>
  <c r="AQ72" i="5"/>
  <c r="AR72" i="5" a="1"/>
  <c r="AR72" i="5"/>
  <c r="AS72" i="5" a="1"/>
  <c r="AS72" i="5"/>
  <c r="AT72" i="5" a="1"/>
  <c r="AT72" i="5"/>
  <c r="AU72" i="5" a="1"/>
  <c r="AU72" i="5"/>
  <c r="AV72" i="5" a="1"/>
  <c r="AV72" i="5"/>
  <c r="AW72" i="5" a="1"/>
  <c r="AW72" i="5"/>
  <c r="AX72" i="5" a="1"/>
  <c r="AX72" i="5"/>
  <c r="AY72" i="5" a="1"/>
  <c r="AY72" i="5"/>
  <c r="AZ72" i="5" a="1"/>
  <c r="AZ72" i="5"/>
  <c r="BA72" i="5" a="1"/>
  <c r="BA72" i="5"/>
  <c r="BB72" i="5" a="1"/>
  <c r="BB72" i="5"/>
  <c r="BC72" i="5" a="1"/>
  <c r="BC72" i="5"/>
  <c r="BD72" i="5" a="1"/>
  <c r="BD72" i="5"/>
  <c r="BE72" i="5" a="1"/>
  <c r="BE72" i="5"/>
  <c r="BF72" i="5" a="1"/>
  <c r="BF72" i="5"/>
  <c r="BG72" i="5" a="1"/>
  <c r="BG72" i="5"/>
  <c r="BH72" i="5" a="1"/>
  <c r="BH72" i="5"/>
  <c r="BI72" i="5" a="1"/>
  <c r="BI72" i="5"/>
  <c r="BJ72" i="5" a="1"/>
  <c r="BJ72" i="5"/>
  <c r="BK72" i="5" a="1"/>
  <c r="BK72" i="5"/>
  <c r="BL72" i="5" a="1"/>
  <c r="BL72" i="5"/>
  <c r="BM72" i="5" a="1"/>
  <c r="BM72" i="5"/>
  <c r="BN72" i="5" a="1"/>
  <c r="BN72" i="5"/>
  <c r="BO72" i="5" a="1"/>
  <c r="BO72" i="5"/>
  <c r="BP72" i="5" a="1"/>
  <c r="BP72" i="5"/>
  <c r="BQ72" i="5" a="1"/>
  <c r="BQ72" i="5"/>
  <c r="BR72" i="5" a="1"/>
  <c r="BR72" i="5"/>
  <c r="BS72" i="5" a="1"/>
  <c r="BS72" i="5"/>
  <c r="BT72" i="5" a="1"/>
  <c r="BT72" i="5"/>
  <c r="BU72" i="5" a="1"/>
  <c r="BU72" i="5"/>
  <c r="BV72" i="5" a="1"/>
  <c r="BV72" i="5"/>
  <c r="BW72" i="5" a="1"/>
  <c r="BW72" i="5"/>
  <c r="BX72" i="5" a="1"/>
  <c r="BX72" i="5"/>
  <c r="BY72" i="5" a="1"/>
  <c r="BY72" i="5"/>
  <c r="BZ72" i="5" a="1"/>
  <c r="BZ72" i="5"/>
  <c r="CA72" i="5" a="1"/>
  <c r="CA72" i="5"/>
  <c r="CB72" i="5"/>
  <c r="CC72" i="5"/>
  <c r="CD72" i="5"/>
  <c r="CE72" i="5"/>
  <c r="C73" i="5" a="1"/>
  <c r="C73" i="5"/>
  <c r="D73" i="5" a="1"/>
  <c r="D73" i="5"/>
  <c r="E73" i="5" a="1"/>
  <c r="E73" i="5"/>
  <c r="F73" i="5" a="1"/>
  <c r="F73" i="5"/>
  <c r="G73" i="5" a="1"/>
  <c r="G73" i="5"/>
  <c r="H73" i="5" a="1"/>
  <c r="H73" i="5"/>
  <c r="I73" i="5" a="1"/>
  <c r="I73" i="5"/>
  <c r="J73" i="5" a="1"/>
  <c r="J73" i="5"/>
  <c r="K73" i="5" a="1"/>
  <c r="K73" i="5"/>
  <c r="L73" i="5" a="1"/>
  <c r="L73" i="5"/>
  <c r="M73" i="5" a="1"/>
  <c r="M73" i="5"/>
  <c r="N73" i="5" a="1"/>
  <c r="N73" i="5"/>
  <c r="O73" i="5" a="1"/>
  <c r="O73" i="5"/>
  <c r="P73" i="5" a="1"/>
  <c r="P73" i="5"/>
  <c r="Q73" i="5" a="1"/>
  <c r="Q73" i="5"/>
  <c r="R73" i="5" a="1"/>
  <c r="R73" i="5"/>
  <c r="S73" i="5" a="1"/>
  <c r="S73" i="5"/>
  <c r="T73" i="5" a="1"/>
  <c r="T73" i="5"/>
  <c r="U73" i="5" a="1"/>
  <c r="U73" i="5"/>
  <c r="V73" i="5" a="1"/>
  <c r="V73" i="5"/>
  <c r="W73" i="5" a="1"/>
  <c r="W73" i="5"/>
  <c r="X73" i="5" a="1"/>
  <c r="X73" i="5"/>
  <c r="Y73" i="5" a="1"/>
  <c r="Y73" i="5"/>
  <c r="Z73" i="5" a="1"/>
  <c r="Z73" i="5"/>
  <c r="AA73" i="5" a="1"/>
  <c r="AA73" i="5"/>
  <c r="AB73" i="5" a="1"/>
  <c r="AB73" i="5"/>
  <c r="AC73" i="5" a="1"/>
  <c r="AC73" i="5"/>
  <c r="AD73" i="5" a="1"/>
  <c r="AD73" i="5"/>
  <c r="AE73" i="5" a="1"/>
  <c r="AE73" i="5"/>
  <c r="AF73" i="5" a="1"/>
  <c r="AF73" i="5"/>
  <c r="AG73" i="5" a="1"/>
  <c r="AG73" i="5"/>
  <c r="AH73" i="5" a="1"/>
  <c r="AH73" i="5"/>
  <c r="AI73" i="5" a="1"/>
  <c r="AI73" i="5"/>
  <c r="AJ73" i="5" a="1"/>
  <c r="AJ73" i="5"/>
  <c r="AK73" i="5" a="1"/>
  <c r="AK73" i="5"/>
  <c r="AL73" i="5" a="1"/>
  <c r="AL73" i="5"/>
  <c r="AM73" i="5" a="1"/>
  <c r="AM73" i="5"/>
  <c r="AN73" i="5" a="1"/>
  <c r="AN73" i="5"/>
  <c r="AO73" i="5" a="1"/>
  <c r="AO73" i="5"/>
  <c r="AP73" i="5" a="1"/>
  <c r="AP73" i="5"/>
  <c r="AQ73" i="5" a="1"/>
  <c r="AQ73" i="5"/>
  <c r="AR73" i="5" a="1"/>
  <c r="AR73" i="5"/>
  <c r="AS73" i="5" a="1"/>
  <c r="AS73" i="5"/>
  <c r="AT73" i="5" a="1"/>
  <c r="AT73" i="5"/>
  <c r="AU73" i="5" a="1"/>
  <c r="AU73" i="5"/>
  <c r="AV73" i="5" a="1"/>
  <c r="AV73" i="5"/>
  <c r="AW73" i="5" a="1"/>
  <c r="AW73" i="5"/>
  <c r="AX73" i="5" a="1"/>
  <c r="AX73" i="5"/>
  <c r="AY73" i="5" a="1"/>
  <c r="AY73" i="5"/>
  <c r="AZ73" i="5" a="1"/>
  <c r="AZ73" i="5"/>
  <c r="BA73" i="5" a="1"/>
  <c r="BA73" i="5"/>
  <c r="BB73" i="5" a="1"/>
  <c r="BB73" i="5"/>
  <c r="BC73" i="5" a="1"/>
  <c r="BC73" i="5"/>
  <c r="BD73" i="5" a="1"/>
  <c r="BD73" i="5"/>
  <c r="BE73" i="5" a="1"/>
  <c r="BE73" i="5"/>
  <c r="BF73" i="5" a="1"/>
  <c r="BF73" i="5"/>
  <c r="BG73" i="5" a="1"/>
  <c r="BG73" i="5"/>
  <c r="BH73" i="5" a="1"/>
  <c r="BH73" i="5"/>
  <c r="BI73" i="5" a="1"/>
  <c r="BI73" i="5"/>
  <c r="BJ73" i="5" a="1"/>
  <c r="BJ73" i="5"/>
  <c r="BK73" i="5" a="1"/>
  <c r="BK73" i="5"/>
  <c r="BL73" i="5" a="1"/>
  <c r="BL73" i="5"/>
  <c r="BM73" i="5" a="1"/>
  <c r="BM73" i="5"/>
  <c r="BN73" i="5" a="1"/>
  <c r="BN73" i="5"/>
  <c r="BO73" i="5" a="1"/>
  <c r="BO73" i="5"/>
  <c r="BP73" i="5" a="1"/>
  <c r="BP73" i="5"/>
  <c r="BQ73" i="5" a="1"/>
  <c r="BQ73" i="5"/>
  <c r="BR73" i="5" a="1"/>
  <c r="BR73" i="5"/>
  <c r="BS73" i="5" a="1"/>
  <c r="BS73" i="5"/>
  <c r="BT73" i="5" a="1"/>
  <c r="BT73" i="5"/>
  <c r="BU73" i="5" a="1"/>
  <c r="BU73" i="5"/>
  <c r="BV73" i="5" a="1"/>
  <c r="BV73" i="5"/>
  <c r="BW73" i="5" a="1"/>
  <c r="BW73" i="5"/>
  <c r="BX73" i="5" a="1"/>
  <c r="BX73" i="5"/>
  <c r="BY73" i="5" a="1"/>
  <c r="BY73" i="5"/>
  <c r="BZ73" i="5" a="1"/>
  <c r="BZ73" i="5"/>
  <c r="CA73" i="5" a="1"/>
  <c r="CA73" i="5"/>
  <c r="CB73" i="5"/>
  <c r="CC73" i="5"/>
  <c r="CD73" i="5"/>
  <c r="CE73" i="5"/>
  <c r="C74" i="5" a="1"/>
  <c r="C74" i="5"/>
  <c r="D74" i="5" a="1"/>
  <c r="D74" i="5"/>
  <c r="E74" i="5" a="1"/>
  <c r="E74" i="5"/>
  <c r="F74" i="5" a="1"/>
  <c r="F74" i="5"/>
  <c r="G74" i="5" a="1"/>
  <c r="G74" i="5"/>
  <c r="H74" i="5" a="1"/>
  <c r="H74" i="5"/>
  <c r="I74" i="5" a="1"/>
  <c r="I74" i="5"/>
  <c r="J74" i="5" a="1"/>
  <c r="J74" i="5"/>
  <c r="K74" i="5" a="1"/>
  <c r="K74" i="5"/>
  <c r="L74" i="5" a="1"/>
  <c r="L74" i="5"/>
  <c r="M74" i="5" a="1"/>
  <c r="M74" i="5"/>
  <c r="N74" i="5" a="1"/>
  <c r="N74" i="5"/>
  <c r="O74" i="5" a="1"/>
  <c r="O74" i="5"/>
  <c r="P74" i="5" a="1"/>
  <c r="P74" i="5"/>
  <c r="Q74" i="5" a="1"/>
  <c r="Q74" i="5"/>
  <c r="R74" i="5" a="1"/>
  <c r="R74" i="5"/>
  <c r="S74" i="5" a="1"/>
  <c r="S74" i="5"/>
  <c r="T74" i="5" a="1"/>
  <c r="T74" i="5"/>
  <c r="U74" i="5" a="1"/>
  <c r="U74" i="5"/>
  <c r="V74" i="5" a="1"/>
  <c r="V74" i="5"/>
  <c r="W74" i="5" a="1"/>
  <c r="W74" i="5"/>
  <c r="X74" i="5" a="1"/>
  <c r="X74" i="5"/>
  <c r="Y74" i="5" a="1"/>
  <c r="Y74" i="5"/>
  <c r="Z74" i="5" a="1"/>
  <c r="Z74" i="5"/>
  <c r="AA74" i="5" a="1"/>
  <c r="AA74" i="5"/>
  <c r="AB74" i="5" a="1"/>
  <c r="AB74" i="5"/>
  <c r="AC74" i="5" a="1"/>
  <c r="AC74" i="5"/>
  <c r="AD74" i="5" a="1"/>
  <c r="AD74" i="5"/>
  <c r="AE74" i="5" a="1"/>
  <c r="AE74" i="5"/>
  <c r="AF74" i="5" a="1"/>
  <c r="AF74" i="5"/>
  <c r="AG74" i="5" a="1"/>
  <c r="AG74" i="5"/>
  <c r="AH74" i="5" a="1"/>
  <c r="AH74" i="5"/>
  <c r="AI74" i="5" a="1"/>
  <c r="AI74" i="5"/>
  <c r="AJ74" i="5" a="1"/>
  <c r="AJ74" i="5"/>
  <c r="AK74" i="5" a="1"/>
  <c r="AK74" i="5"/>
  <c r="AL74" i="5" a="1"/>
  <c r="AL74" i="5"/>
  <c r="AM74" i="5" a="1"/>
  <c r="AM74" i="5"/>
  <c r="AN74" i="5" a="1"/>
  <c r="AN74" i="5"/>
  <c r="AO74" i="5" a="1"/>
  <c r="AO74" i="5"/>
  <c r="AP74" i="5" a="1"/>
  <c r="AP74" i="5"/>
  <c r="AQ74" i="5" a="1"/>
  <c r="AQ74" i="5"/>
  <c r="AR74" i="5" a="1"/>
  <c r="AR74" i="5"/>
  <c r="AS74" i="5" a="1"/>
  <c r="AS74" i="5"/>
  <c r="AT74" i="5" a="1"/>
  <c r="AT74" i="5"/>
  <c r="AU74" i="5" a="1"/>
  <c r="AU74" i="5"/>
  <c r="AV74" i="5" a="1"/>
  <c r="AV74" i="5"/>
  <c r="AW74" i="5" a="1"/>
  <c r="AW74" i="5"/>
  <c r="AX74" i="5" a="1"/>
  <c r="AX74" i="5"/>
  <c r="AY74" i="5" a="1"/>
  <c r="AY74" i="5"/>
  <c r="AZ74" i="5" a="1"/>
  <c r="AZ74" i="5"/>
  <c r="BA74" i="5" a="1"/>
  <c r="BA74" i="5"/>
  <c r="BB74" i="5" a="1"/>
  <c r="BB74" i="5"/>
  <c r="BC74" i="5" a="1"/>
  <c r="BC74" i="5"/>
  <c r="BD74" i="5" a="1"/>
  <c r="BD74" i="5"/>
  <c r="BE74" i="5" a="1"/>
  <c r="BE74" i="5"/>
  <c r="BF74" i="5" a="1"/>
  <c r="BF74" i="5"/>
  <c r="BG74" i="5" a="1"/>
  <c r="BG74" i="5"/>
  <c r="BH74" i="5" a="1"/>
  <c r="BH74" i="5"/>
  <c r="BI74" i="5" a="1"/>
  <c r="BI74" i="5"/>
  <c r="BJ74" i="5" a="1"/>
  <c r="BJ74" i="5"/>
  <c r="BK74" i="5" a="1"/>
  <c r="BK74" i="5"/>
  <c r="BL74" i="5" a="1"/>
  <c r="BL74" i="5"/>
  <c r="BM74" i="5" a="1"/>
  <c r="BM74" i="5"/>
  <c r="BN74" i="5" a="1"/>
  <c r="BN74" i="5"/>
  <c r="BO74" i="5" a="1"/>
  <c r="BO74" i="5"/>
  <c r="BP74" i="5" a="1"/>
  <c r="BP74" i="5"/>
  <c r="BQ74" i="5" a="1"/>
  <c r="BQ74" i="5"/>
  <c r="BR74" i="5" a="1"/>
  <c r="BR74" i="5"/>
  <c r="BS74" i="5" a="1"/>
  <c r="BS74" i="5"/>
  <c r="BT74" i="5" a="1"/>
  <c r="BT74" i="5"/>
  <c r="BU74" i="5" a="1"/>
  <c r="BU74" i="5"/>
  <c r="BV74" i="5" a="1"/>
  <c r="BV74" i="5"/>
  <c r="BW74" i="5" a="1"/>
  <c r="BW74" i="5"/>
  <c r="BX74" i="5" a="1"/>
  <c r="BX74" i="5"/>
  <c r="BY74" i="5" a="1"/>
  <c r="BY74" i="5"/>
  <c r="BZ74" i="5" a="1"/>
  <c r="BZ74" i="5"/>
  <c r="CA74" i="5" a="1"/>
  <c r="CA74" i="5"/>
  <c r="CB74" i="5"/>
  <c r="CC74" i="5"/>
  <c r="CD74" i="5"/>
  <c r="CE74" i="5"/>
  <c r="C75" i="5" a="1"/>
  <c r="C75" i="5"/>
  <c r="D75" i="5" a="1"/>
  <c r="D75" i="5"/>
  <c r="E75" i="5" a="1"/>
  <c r="E75" i="5"/>
  <c r="F75" i="5" a="1"/>
  <c r="F75" i="5"/>
  <c r="G75" i="5" a="1"/>
  <c r="G75" i="5"/>
  <c r="H75" i="5" a="1"/>
  <c r="H75" i="5"/>
  <c r="I75" i="5" a="1"/>
  <c r="I75" i="5"/>
  <c r="J75" i="5" a="1"/>
  <c r="J75" i="5"/>
  <c r="K75" i="5" a="1"/>
  <c r="K75" i="5"/>
  <c r="L75" i="5" a="1"/>
  <c r="L75" i="5"/>
  <c r="M75" i="5" a="1"/>
  <c r="M75" i="5"/>
  <c r="N75" i="5" a="1"/>
  <c r="N75" i="5"/>
  <c r="O75" i="5" a="1"/>
  <c r="O75" i="5"/>
  <c r="P75" i="5" a="1"/>
  <c r="P75" i="5"/>
  <c r="Q75" i="5" a="1"/>
  <c r="Q75" i="5"/>
  <c r="R75" i="5" a="1"/>
  <c r="R75" i="5"/>
  <c r="S75" i="5" a="1"/>
  <c r="S75" i="5"/>
  <c r="T75" i="5" a="1"/>
  <c r="T75" i="5"/>
  <c r="U75" i="5" a="1"/>
  <c r="U75" i="5"/>
  <c r="V75" i="5" a="1"/>
  <c r="V75" i="5"/>
  <c r="W75" i="5" a="1"/>
  <c r="W75" i="5"/>
  <c r="X75" i="5" a="1"/>
  <c r="X75" i="5"/>
  <c r="Y75" i="5" a="1"/>
  <c r="Y75" i="5"/>
  <c r="Z75" i="5" a="1"/>
  <c r="Z75" i="5"/>
  <c r="AA75" i="5" a="1"/>
  <c r="AA75" i="5"/>
  <c r="AB75" i="5" a="1"/>
  <c r="AB75" i="5"/>
  <c r="AC75" i="5" a="1"/>
  <c r="AC75" i="5"/>
  <c r="AD75" i="5" a="1"/>
  <c r="AD75" i="5"/>
  <c r="AE75" i="5" a="1"/>
  <c r="AE75" i="5"/>
  <c r="AF75" i="5" a="1"/>
  <c r="AF75" i="5"/>
  <c r="AG75" i="5" a="1"/>
  <c r="AG75" i="5"/>
  <c r="AH75" i="5" a="1"/>
  <c r="AH75" i="5"/>
  <c r="AI75" i="5" a="1"/>
  <c r="AI75" i="5"/>
  <c r="AJ75" i="5" a="1"/>
  <c r="AJ75" i="5"/>
  <c r="AK75" i="5" a="1"/>
  <c r="AK75" i="5"/>
  <c r="AL75" i="5" a="1"/>
  <c r="AL75" i="5"/>
  <c r="AM75" i="5" a="1"/>
  <c r="AM75" i="5"/>
  <c r="AN75" i="5" a="1"/>
  <c r="AN75" i="5"/>
  <c r="AO75" i="5" a="1"/>
  <c r="AO75" i="5"/>
  <c r="AP75" i="5" a="1"/>
  <c r="AP75" i="5"/>
  <c r="AQ75" i="5" a="1"/>
  <c r="AQ75" i="5"/>
  <c r="AR75" i="5" a="1"/>
  <c r="AR75" i="5"/>
  <c r="AS75" i="5" a="1"/>
  <c r="AS75" i="5"/>
  <c r="AT75" i="5" a="1"/>
  <c r="AT75" i="5"/>
  <c r="AU75" i="5" a="1"/>
  <c r="AU75" i="5"/>
  <c r="AV75" i="5" a="1"/>
  <c r="AV75" i="5"/>
  <c r="AW75" i="5" a="1"/>
  <c r="AW75" i="5"/>
  <c r="AX75" i="5" a="1"/>
  <c r="AX75" i="5"/>
  <c r="AY75" i="5" a="1"/>
  <c r="AY75" i="5"/>
  <c r="AZ75" i="5" a="1"/>
  <c r="AZ75" i="5"/>
  <c r="BA75" i="5" a="1"/>
  <c r="BA75" i="5"/>
  <c r="BB75" i="5" a="1"/>
  <c r="BB75" i="5"/>
  <c r="BC75" i="5" a="1"/>
  <c r="BC75" i="5"/>
  <c r="BD75" i="5" a="1"/>
  <c r="BD75" i="5"/>
  <c r="BE75" i="5" a="1"/>
  <c r="BE75" i="5"/>
  <c r="BF75" i="5" a="1"/>
  <c r="BF75" i="5"/>
  <c r="BG75" i="5" a="1"/>
  <c r="BG75" i="5"/>
  <c r="BH75" i="5" a="1"/>
  <c r="BH75" i="5"/>
  <c r="BI75" i="5" a="1"/>
  <c r="BI75" i="5"/>
  <c r="BJ75" i="5" a="1"/>
  <c r="BJ75" i="5"/>
  <c r="BK75" i="5" a="1"/>
  <c r="BK75" i="5"/>
  <c r="BL75" i="5" a="1"/>
  <c r="BL75" i="5"/>
  <c r="BM75" i="5" a="1"/>
  <c r="BM75" i="5"/>
  <c r="BN75" i="5" a="1"/>
  <c r="BN75" i="5"/>
  <c r="BO75" i="5" a="1"/>
  <c r="BO75" i="5"/>
  <c r="BP75" i="5" a="1"/>
  <c r="BP75" i="5"/>
  <c r="BQ75" i="5" a="1"/>
  <c r="BQ75" i="5"/>
  <c r="BR75" i="5" a="1"/>
  <c r="BR75" i="5"/>
  <c r="BS75" i="5" a="1"/>
  <c r="BS75" i="5"/>
  <c r="BT75" i="5" a="1"/>
  <c r="BT75" i="5"/>
  <c r="BU75" i="5" a="1"/>
  <c r="BU75" i="5"/>
  <c r="BV75" i="5" a="1"/>
  <c r="BV75" i="5"/>
  <c r="BW75" i="5" a="1"/>
  <c r="BW75" i="5"/>
  <c r="BX75" i="5" a="1"/>
  <c r="BX75" i="5"/>
  <c r="BY75" i="5" a="1"/>
  <c r="BY75" i="5"/>
  <c r="BZ75" i="5" a="1"/>
  <c r="BZ75" i="5"/>
  <c r="CA75" i="5" a="1"/>
  <c r="CA75" i="5"/>
  <c r="CB75" i="5"/>
  <c r="CC75" i="5"/>
  <c r="CD75" i="5"/>
  <c r="CE75" i="5"/>
  <c r="C76" i="5" a="1"/>
  <c r="C76" i="5"/>
  <c r="D76" i="5" a="1"/>
  <c r="D76" i="5"/>
  <c r="E76" i="5" a="1"/>
  <c r="E76" i="5"/>
  <c r="F76" i="5" a="1"/>
  <c r="F76" i="5"/>
  <c r="G76" i="5" a="1"/>
  <c r="G76" i="5"/>
  <c r="H76" i="5" a="1"/>
  <c r="H76" i="5"/>
  <c r="I76" i="5" a="1"/>
  <c r="I76" i="5"/>
  <c r="J76" i="5" a="1"/>
  <c r="J76" i="5"/>
  <c r="K76" i="5" a="1"/>
  <c r="K76" i="5"/>
  <c r="L76" i="5" a="1"/>
  <c r="L76" i="5"/>
  <c r="M76" i="5" a="1"/>
  <c r="M76" i="5"/>
  <c r="N76" i="5" a="1"/>
  <c r="N76" i="5"/>
  <c r="O76" i="5" a="1"/>
  <c r="O76" i="5"/>
  <c r="P76" i="5" a="1"/>
  <c r="P76" i="5"/>
  <c r="Q76" i="5" a="1"/>
  <c r="Q76" i="5"/>
  <c r="R76" i="5" a="1"/>
  <c r="R76" i="5"/>
  <c r="S76" i="5" a="1"/>
  <c r="S76" i="5"/>
  <c r="T76" i="5" a="1"/>
  <c r="T76" i="5"/>
  <c r="U76" i="5" a="1"/>
  <c r="U76" i="5"/>
  <c r="V76" i="5" a="1"/>
  <c r="V76" i="5"/>
  <c r="W76" i="5" a="1"/>
  <c r="W76" i="5"/>
  <c r="X76" i="5" a="1"/>
  <c r="X76" i="5"/>
  <c r="Y76" i="5" a="1"/>
  <c r="Y76" i="5"/>
  <c r="Z76" i="5" a="1"/>
  <c r="Z76" i="5"/>
  <c r="AA76" i="5" a="1"/>
  <c r="AA76" i="5"/>
  <c r="AB76" i="5" a="1"/>
  <c r="AB76" i="5"/>
  <c r="AC76" i="5" a="1"/>
  <c r="AC76" i="5"/>
  <c r="AD76" i="5" a="1"/>
  <c r="AD76" i="5"/>
  <c r="AE76" i="5" a="1"/>
  <c r="AE76" i="5"/>
  <c r="AF76" i="5" a="1"/>
  <c r="AF76" i="5"/>
  <c r="AG76" i="5" a="1"/>
  <c r="AG76" i="5"/>
  <c r="AH76" i="5" a="1"/>
  <c r="AH76" i="5"/>
  <c r="AI76" i="5" a="1"/>
  <c r="AI76" i="5"/>
  <c r="AJ76" i="5" a="1"/>
  <c r="AJ76" i="5"/>
  <c r="AK76" i="5" a="1"/>
  <c r="AK76" i="5"/>
  <c r="AL76" i="5" a="1"/>
  <c r="AL76" i="5"/>
  <c r="AM76" i="5" a="1"/>
  <c r="AM76" i="5"/>
  <c r="AN76" i="5" a="1"/>
  <c r="AN76" i="5"/>
  <c r="AO76" i="5" a="1"/>
  <c r="AO76" i="5"/>
  <c r="AP76" i="5" a="1"/>
  <c r="AP76" i="5"/>
  <c r="AQ76" i="5" a="1"/>
  <c r="AQ76" i="5"/>
  <c r="AR76" i="5" a="1"/>
  <c r="AR76" i="5"/>
  <c r="AS76" i="5" a="1"/>
  <c r="AS76" i="5"/>
  <c r="AT76" i="5" a="1"/>
  <c r="AT76" i="5"/>
  <c r="AU76" i="5" a="1"/>
  <c r="AU76" i="5"/>
  <c r="AV76" i="5" a="1"/>
  <c r="AV76" i="5"/>
  <c r="AW76" i="5" a="1"/>
  <c r="AW76" i="5"/>
  <c r="AX76" i="5" a="1"/>
  <c r="AX76" i="5"/>
  <c r="AY76" i="5" a="1"/>
  <c r="AY76" i="5"/>
  <c r="AZ76" i="5" a="1"/>
  <c r="AZ76" i="5"/>
  <c r="BA76" i="5" a="1"/>
  <c r="BA76" i="5"/>
  <c r="BB76" i="5" a="1"/>
  <c r="BB76" i="5"/>
  <c r="BC76" i="5" a="1"/>
  <c r="BC76" i="5"/>
  <c r="BD76" i="5" a="1"/>
  <c r="BD76" i="5"/>
  <c r="BE76" i="5" a="1"/>
  <c r="BE76" i="5"/>
  <c r="BF76" i="5" a="1"/>
  <c r="BF76" i="5"/>
  <c r="BG76" i="5" a="1"/>
  <c r="BG76" i="5"/>
  <c r="BH76" i="5" a="1"/>
  <c r="BH76" i="5"/>
  <c r="BI76" i="5" a="1"/>
  <c r="BI76" i="5"/>
  <c r="BJ76" i="5" a="1"/>
  <c r="BJ76" i="5"/>
  <c r="BK76" i="5" a="1"/>
  <c r="BK76" i="5"/>
  <c r="BL76" i="5" a="1"/>
  <c r="BL76" i="5"/>
  <c r="BM76" i="5" a="1"/>
  <c r="BM76" i="5"/>
  <c r="BN76" i="5" a="1"/>
  <c r="BN76" i="5"/>
  <c r="BO76" i="5" a="1"/>
  <c r="BO76" i="5"/>
  <c r="BP76" i="5" a="1"/>
  <c r="BP76" i="5"/>
  <c r="BQ76" i="5" a="1"/>
  <c r="BQ76" i="5"/>
  <c r="BR76" i="5" a="1"/>
  <c r="BR76" i="5"/>
  <c r="BS76" i="5" a="1"/>
  <c r="BS76" i="5"/>
  <c r="BT76" i="5" a="1"/>
  <c r="BT76" i="5"/>
  <c r="BU76" i="5" a="1"/>
  <c r="BU76" i="5"/>
  <c r="BV76" i="5" a="1"/>
  <c r="BV76" i="5"/>
  <c r="BW76" i="5" a="1"/>
  <c r="BW76" i="5"/>
  <c r="BX76" i="5" a="1"/>
  <c r="BX76" i="5"/>
  <c r="BY76" i="5" a="1"/>
  <c r="BY76" i="5"/>
  <c r="BZ76" i="5" a="1"/>
  <c r="BZ76" i="5"/>
  <c r="CA76" i="5" a="1"/>
  <c r="CA76" i="5"/>
  <c r="CB76" i="5"/>
  <c r="CC76" i="5"/>
  <c r="CD76" i="5"/>
  <c r="CE76" i="5"/>
  <c r="C77" i="5" a="1"/>
  <c r="C77" i="5"/>
  <c r="D77" i="5" a="1"/>
  <c r="D77" i="5"/>
  <c r="E77" i="5" a="1"/>
  <c r="E77" i="5"/>
  <c r="F77" i="5" a="1"/>
  <c r="F77" i="5"/>
  <c r="G77" i="5" a="1"/>
  <c r="G77" i="5"/>
  <c r="H77" i="5" a="1"/>
  <c r="H77" i="5"/>
  <c r="I77" i="5" a="1"/>
  <c r="I77" i="5"/>
  <c r="J77" i="5" a="1"/>
  <c r="J77" i="5"/>
  <c r="K77" i="5" a="1"/>
  <c r="K77" i="5"/>
  <c r="L77" i="5" a="1"/>
  <c r="L77" i="5"/>
  <c r="M77" i="5" a="1"/>
  <c r="M77" i="5"/>
  <c r="N77" i="5" a="1"/>
  <c r="N77" i="5"/>
  <c r="O77" i="5" a="1"/>
  <c r="O77" i="5"/>
  <c r="P77" i="5" a="1"/>
  <c r="P77" i="5"/>
  <c r="Q77" i="5" a="1"/>
  <c r="Q77" i="5"/>
  <c r="R77" i="5" a="1"/>
  <c r="R77" i="5"/>
  <c r="S77" i="5" a="1"/>
  <c r="S77" i="5"/>
  <c r="T77" i="5" a="1"/>
  <c r="T77" i="5"/>
  <c r="U77" i="5" a="1"/>
  <c r="U77" i="5"/>
  <c r="V77" i="5" a="1"/>
  <c r="V77" i="5"/>
  <c r="W77" i="5" a="1"/>
  <c r="W77" i="5"/>
  <c r="X77" i="5" a="1"/>
  <c r="X77" i="5"/>
  <c r="Y77" i="5" a="1"/>
  <c r="Y77" i="5"/>
  <c r="Z77" i="5" a="1"/>
  <c r="Z77" i="5"/>
  <c r="AA77" i="5" a="1"/>
  <c r="AA77" i="5"/>
  <c r="AB77" i="5" a="1"/>
  <c r="AB77" i="5"/>
  <c r="AC77" i="5" a="1"/>
  <c r="AC77" i="5"/>
  <c r="AD77" i="5" a="1"/>
  <c r="AD77" i="5"/>
  <c r="AE77" i="5" a="1"/>
  <c r="AE77" i="5"/>
  <c r="AF77" i="5" a="1"/>
  <c r="AF77" i="5"/>
  <c r="AG77" i="5" a="1"/>
  <c r="AG77" i="5"/>
  <c r="AH77" i="5" a="1"/>
  <c r="AH77" i="5"/>
  <c r="AI77" i="5" a="1"/>
  <c r="AI77" i="5"/>
  <c r="AJ77" i="5" a="1"/>
  <c r="AJ77" i="5"/>
  <c r="AK77" i="5" a="1"/>
  <c r="AK77" i="5"/>
  <c r="AL77" i="5" a="1"/>
  <c r="AL77" i="5"/>
  <c r="AM77" i="5" a="1"/>
  <c r="AM77" i="5"/>
  <c r="AN77" i="5" a="1"/>
  <c r="AN77" i="5"/>
  <c r="AO77" i="5" a="1"/>
  <c r="AO77" i="5"/>
  <c r="AP77" i="5" a="1"/>
  <c r="AP77" i="5"/>
  <c r="AQ77" i="5" a="1"/>
  <c r="AQ77" i="5"/>
  <c r="AR77" i="5" a="1"/>
  <c r="AR77" i="5"/>
  <c r="AS77" i="5" a="1"/>
  <c r="AS77" i="5"/>
  <c r="AT77" i="5" a="1"/>
  <c r="AT77" i="5"/>
  <c r="AU77" i="5" a="1"/>
  <c r="AU77" i="5"/>
  <c r="AV77" i="5" a="1"/>
  <c r="AV77" i="5"/>
  <c r="AW77" i="5" a="1"/>
  <c r="AW77" i="5"/>
  <c r="AX77" i="5" a="1"/>
  <c r="AX77" i="5"/>
  <c r="AY77" i="5" a="1"/>
  <c r="AY77" i="5"/>
  <c r="AZ77" i="5" a="1"/>
  <c r="AZ77" i="5"/>
  <c r="BA77" i="5" a="1"/>
  <c r="BA77" i="5"/>
  <c r="BB77" i="5" a="1"/>
  <c r="BB77" i="5"/>
  <c r="BC77" i="5" a="1"/>
  <c r="BC77" i="5"/>
  <c r="BD77" i="5" a="1"/>
  <c r="BD77" i="5"/>
  <c r="BE77" i="5" a="1"/>
  <c r="BE77" i="5"/>
  <c r="BF77" i="5" a="1"/>
  <c r="BF77" i="5"/>
  <c r="BG77" i="5" a="1"/>
  <c r="BG77" i="5"/>
  <c r="BH77" i="5" a="1"/>
  <c r="BH77" i="5"/>
  <c r="BI77" i="5" a="1"/>
  <c r="BI77" i="5"/>
  <c r="BJ77" i="5" a="1"/>
  <c r="BJ77" i="5"/>
  <c r="BK77" i="5" a="1"/>
  <c r="BK77" i="5"/>
  <c r="BL77" i="5" a="1"/>
  <c r="BL77" i="5"/>
  <c r="BM77" i="5" a="1"/>
  <c r="BM77" i="5"/>
  <c r="BN77" i="5" a="1"/>
  <c r="BN77" i="5"/>
  <c r="BO77" i="5" a="1"/>
  <c r="BO77" i="5"/>
  <c r="BP77" i="5" a="1"/>
  <c r="BP77" i="5"/>
  <c r="BQ77" i="5" a="1"/>
  <c r="BQ77" i="5"/>
  <c r="BR77" i="5" a="1"/>
  <c r="BR77" i="5"/>
  <c r="BS77" i="5" a="1"/>
  <c r="BS77" i="5"/>
  <c r="BT77" i="5" a="1"/>
  <c r="BT77" i="5"/>
  <c r="BU77" i="5" a="1"/>
  <c r="BU77" i="5"/>
  <c r="BV77" i="5" a="1"/>
  <c r="BV77" i="5"/>
  <c r="BW77" i="5" a="1"/>
  <c r="BW77" i="5"/>
  <c r="BX77" i="5" a="1"/>
  <c r="BX77" i="5"/>
  <c r="BY77" i="5" a="1"/>
  <c r="BY77" i="5"/>
  <c r="BZ77" i="5" a="1"/>
  <c r="BZ77" i="5"/>
  <c r="CA77" i="5" a="1"/>
  <c r="CA77" i="5"/>
  <c r="CB77" i="5"/>
  <c r="CC77" i="5"/>
  <c r="CD77" i="5"/>
  <c r="CE77" i="5"/>
  <c r="C78" i="5" a="1"/>
  <c r="C78" i="5"/>
  <c r="D78" i="5" a="1"/>
  <c r="D78" i="5"/>
  <c r="E78" i="5" a="1"/>
  <c r="E78" i="5"/>
  <c r="F78" i="5" a="1"/>
  <c r="F78" i="5"/>
  <c r="G78" i="5" a="1"/>
  <c r="G78" i="5"/>
  <c r="H78" i="5" a="1"/>
  <c r="H78" i="5"/>
  <c r="I78" i="5" a="1"/>
  <c r="I78" i="5"/>
  <c r="J78" i="5" a="1"/>
  <c r="J78" i="5"/>
  <c r="K78" i="5" a="1"/>
  <c r="K78" i="5"/>
  <c r="L78" i="5" a="1"/>
  <c r="L78" i="5"/>
  <c r="M78" i="5" a="1"/>
  <c r="M78" i="5"/>
  <c r="N78" i="5" a="1"/>
  <c r="N78" i="5"/>
  <c r="O78" i="5" a="1"/>
  <c r="O78" i="5"/>
  <c r="P78" i="5" a="1"/>
  <c r="P78" i="5"/>
  <c r="Q78" i="5" a="1"/>
  <c r="Q78" i="5"/>
  <c r="R78" i="5" a="1"/>
  <c r="R78" i="5"/>
  <c r="S78" i="5" a="1"/>
  <c r="S78" i="5"/>
  <c r="T78" i="5" a="1"/>
  <c r="T78" i="5"/>
  <c r="U78" i="5" a="1"/>
  <c r="U78" i="5"/>
  <c r="V78" i="5" a="1"/>
  <c r="V78" i="5"/>
  <c r="W78" i="5" a="1"/>
  <c r="W78" i="5"/>
  <c r="X78" i="5" a="1"/>
  <c r="X78" i="5"/>
  <c r="Y78" i="5" a="1"/>
  <c r="Y78" i="5"/>
  <c r="Z78" i="5" a="1"/>
  <c r="Z78" i="5"/>
  <c r="AA78" i="5" a="1"/>
  <c r="AA78" i="5"/>
  <c r="AB78" i="5" a="1"/>
  <c r="AB78" i="5"/>
  <c r="AC78" i="5" a="1"/>
  <c r="AC78" i="5"/>
  <c r="AD78" i="5" a="1"/>
  <c r="AD78" i="5"/>
  <c r="AE78" i="5" a="1"/>
  <c r="AE78" i="5"/>
  <c r="AF78" i="5" a="1"/>
  <c r="AF78" i="5"/>
  <c r="AG78" i="5" a="1"/>
  <c r="AG78" i="5"/>
  <c r="AH78" i="5" a="1"/>
  <c r="AH78" i="5"/>
  <c r="AI78" i="5" a="1"/>
  <c r="AI78" i="5"/>
  <c r="AJ78" i="5" a="1"/>
  <c r="AJ78" i="5"/>
  <c r="AK78" i="5" a="1"/>
  <c r="AK78" i="5"/>
  <c r="AL78" i="5" a="1"/>
  <c r="AL78" i="5"/>
  <c r="AM78" i="5" a="1"/>
  <c r="AM78" i="5"/>
  <c r="AN78" i="5" a="1"/>
  <c r="AN78" i="5"/>
  <c r="AO78" i="5" a="1"/>
  <c r="AO78" i="5"/>
  <c r="AP78" i="5" a="1"/>
  <c r="AP78" i="5"/>
  <c r="AQ78" i="5" a="1"/>
  <c r="AQ78" i="5"/>
  <c r="AR78" i="5" a="1"/>
  <c r="AR78" i="5"/>
  <c r="AS78" i="5" a="1"/>
  <c r="AS78" i="5"/>
  <c r="AT78" i="5" a="1"/>
  <c r="AT78" i="5"/>
  <c r="AU78" i="5" a="1"/>
  <c r="AU78" i="5"/>
  <c r="AV78" i="5" a="1"/>
  <c r="AV78" i="5"/>
  <c r="AW78" i="5" a="1"/>
  <c r="AW78" i="5"/>
  <c r="AX78" i="5" a="1"/>
  <c r="AX78" i="5"/>
  <c r="AY78" i="5" a="1"/>
  <c r="AY78" i="5"/>
  <c r="AZ78" i="5" a="1"/>
  <c r="AZ78" i="5"/>
  <c r="BA78" i="5" a="1"/>
  <c r="BA78" i="5"/>
  <c r="BB78" i="5" a="1"/>
  <c r="BB78" i="5"/>
  <c r="BC78" i="5" a="1"/>
  <c r="BC78" i="5"/>
  <c r="BD78" i="5" a="1"/>
  <c r="BD78" i="5"/>
  <c r="BE78" i="5" a="1"/>
  <c r="BE78" i="5"/>
  <c r="BF78" i="5" a="1"/>
  <c r="BF78" i="5"/>
  <c r="BG78" i="5" a="1"/>
  <c r="BG78" i="5"/>
  <c r="BH78" i="5" a="1"/>
  <c r="BH78" i="5"/>
  <c r="BI78" i="5" a="1"/>
  <c r="BI78" i="5"/>
  <c r="BJ78" i="5" a="1"/>
  <c r="BJ78" i="5"/>
  <c r="BK78" i="5" a="1"/>
  <c r="BK78" i="5"/>
  <c r="BL78" i="5" a="1"/>
  <c r="BL78" i="5"/>
  <c r="BM78" i="5" a="1"/>
  <c r="BM78" i="5"/>
  <c r="BN78" i="5" a="1"/>
  <c r="BN78" i="5"/>
  <c r="BO78" i="5" a="1"/>
  <c r="BO78" i="5"/>
  <c r="BP78" i="5" a="1"/>
  <c r="BP78" i="5"/>
  <c r="BQ78" i="5" a="1"/>
  <c r="BQ78" i="5"/>
  <c r="BR78" i="5" a="1"/>
  <c r="BR78" i="5"/>
  <c r="BS78" i="5" a="1"/>
  <c r="BS78" i="5"/>
  <c r="BT78" i="5" a="1"/>
  <c r="BT78" i="5"/>
  <c r="BU78" i="5" a="1"/>
  <c r="BU78" i="5"/>
  <c r="BV78" i="5" a="1"/>
  <c r="BV78" i="5"/>
  <c r="BW78" i="5" a="1"/>
  <c r="BW78" i="5"/>
  <c r="BX78" i="5" a="1"/>
  <c r="BX78" i="5"/>
  <c r="BY78" i="5" a="1"/>
  <c r="BY78" i="5"/>
  <c r="BZ78" i="5" a="1"/>
  <c r="BZ78" i="5"/>
  <c r="CA78" i="5" a="1"/>
  <c r="CA78" i="5"/>
  <c r="CB78" i="5"/>
  <c r="CC78" i="5"/>
  <c r="CD78" i="5"/>
  <c r="CE78" i="5"/>
  <c r="C79" i="5" a="1"/>
  <c r="C79" i="5"/>
  <c r="D79" i="5" a="1"/>
  <c r="D79" i="5"/>
  <c r="E79" i="5" a="1"/>
  <c r="E79" i="5"/>
  <c r="F79" i="5" a="1"/>
  <c r="F79" i="5"/>
  <c r="G79" i="5" a="1"/>
  <c r="G79" i="5"/>
  <c r="H79" i="5" a="1"/>
  <c r="H79" i="5"/>
  <c r="I79" i="5" a="1"/>
  <c r="I79" i="5"/>
  <c r="J79" i="5" a="1"/>
  <c r="J79" i="5"/>
  <c r="K79" i="5" a="1"/>
  <c r="K79" i="5"/>
  <c r="L79" i="5" a="1"/>
  <c r="L79" i="5"/>
  <c r="M79" i="5" a="1"/>
  <c r="M79" i="5"/>
  <c r="N79" i="5" a="1"/>
  <c r="N79" i="5"/>
  <c r="O79" i="5" a="1"/>
  <c r="O79" i="5"/>
  <c r="P79" i="5" a="1"/>
  <c r="P79" i="5"/>
  <c r="Q79" i="5" a="1"/>
  <c r="Q79" i="5"/>
  <c r="R79" i="5" a="1"/>
  <c r="R79" i="5"/>
  <c r="S79" i="5" a="1"/>
  <c r="S79" i="5"/>
  <c r="T79" i="5" a="1"/>
  <c r="T79" i="5"/>
  <c r="U79" i="5" a="1"/>
  <c r="U79" i="5"/>
  <c r="V79" i="5" a="1"/>
  <c r="V79" i="5"/>
  <c r="W79" i="5" a="1"/>
  <c r="W79" i="5"/>
  <c r="X79" i="5" a="1"/>
  <c r="X79" i="5"/>
  <c r="Y79" i="5" a="1"/>
  <c r="Y79" i="5"/>
  <c r="Z79" i="5" a="1"/>
  <c r="Z79" i="5"/>
  <c r="AA79" i="5" a="1"/>
  <c r="AA79" i="5"/>
  <c r="AB79" i="5" a="1"/>
  <c r="AB79" i="5"/>
  <c r="AC79" i="5" a="1"/>
  <c r="AC79" i="5"/>
  <c r="AD79" i="5" a="1"/>
  <c r="AD79" i="5"/>
  <c r="AE79" i="5" a="1"/>
  <c r="AE79" i="5"/>
  <c r="AF79" i="5" a="1"/>
  <c r="AF79" i="5"/>
  <c r="AG79" i="5" a="1"/>
  <c r="AG79" i="5"/>
  <c r="AH79" i="5" a="1"/>
  <c r="AH79" i="5"/>
  <c r="AI79" i="5" a="1"/>
  <c r="AI79" i="5"/>
  <c r="AJ79" i="5" a="1"/>
  <c r="AJ79" i="5"/>
  <c r="AK79" i="5" a="1"/>
  <c r="AK79" i="5"/>
  <c r="AL79" i="5" a="1"/>
  <c r="AL79" i="5"/>
  <c r="AM79" i="5" a="1"/>
  <c r="AM79" i="5"/>
  <c r="AN79" i="5" a="1"/>
  <c r="AN79" i="5"/>
  <c r="AO79" i="5" a="1"/>
  <c r="AO79" i="5"/>
  <c r="AP79" i="5" a="1"/>
  <c r="AP79" i="5"/>
  <c r="AQ79" i="5" a="1"/>
  <c r="AQ79" i="5"/>
  <c r="AR79" i="5" a="1"/>
  <c r="AR79" i="5"/>
  <c r="AS79" i="5" a="1"/>
  <c r="AS79" i="5"/>
  <c r="AT79" i="5" a="1"/>
  <c r="AT79" i="5"/>
  <c r="AU79" i="5" a="1"/>
  <c r="AU79" i="5"/>
  <c r="AV79" i="5" a="1"/>
  <c r="AV79" i="5"/>
  <c r="AW79" i="5" a="1"/>
  <c r="AW79" i="5"/>
  <c r="AX79" i="5" a="1"/>
  <c r="AX79" i="5"/>
  <c r="AY79" i="5" a="1"/>
  <c r="AY79" i="5"/>
  <c r="AZ79" i="5" a="1"/>
  <c r="AZ79" i="5"/>
  <c r="BA79" i="5" a="1"/>
  <c r="BA79" i="5"/>
  <c r="BB79" i="5" a="1"/>
  <c r="BB79" i="5"/>
  <c r="BC79" i="5" a="1"/>
  <c r="BC79" i="5"/>
  <c r="BD79" i="5" a="1"/>
  <c r="BD79" i="5"/>
  <c r="BE79" i="5" a="1"/>
  <c r="BE79" i="5"/>
  <c r="BF79" i="5" a="1"/>
  <c r="BF79" i="5"/>
  <c r="BG79" i="5" a="1"/>
  <c r="BG79" i="5"/>
  <c r="BH79" i="5" a="1"/>
  <c r="BH79" i="5"/>
  <c r="BI79" i="5" a="1"/>
  <c r="BI79" i="5"/>
  <c r="BJ79" i="5" a="1"/>
  <c r="BJ79" i="5"/>
  <c r="BK79" i="5" a="1"/>
  <c r="BK79" i="5"/>
  <c r="BL79" i="5" a="1"/>
  <c r="BL79" i="5"/>
  <c r="BM79" i="5" a="1"/>
  <c r="BM79" i="5"/>
  <c r="BN79" i="5" a="1"/>
  <c r="BN79" i="5"/>
  <c r="BO79" i="5" a="1"/>
  <c r="BO79" i="5"/>
  <c r="BP79" i="5" a="1"/>
  <c r="BP79" i="5"/>
  <c r="BQ79" i="5" a="1"/>
  <c r="BQ79" i="5"/>
  <c r="BR79" i="5" a="1"/>
  <c r="BR79" i="5"/>
  <c r="BS79" i="5" a="1"/>
  <c r="BS79" i="5"/>
  <c r="BT79" i="5" a="1"/>
  <c r="BT79" i="5"/>
  <c r="BU79" i="5" a="1"/>
  <c r="BU79" i="5"/>
  <c r="BV79" i="5" a="1"/>
  <c r="BV79" i="5"/>
  <c r="BW79" i="5" a="1"/>
  <c r="BW79" i="5"/>
  <c r="BX79" i="5" a="1"/>
  <c r="BX79" i="5"/>
  <c r="BY79" i="5" a="1"/>
  <c r="BY79" i="5"/>
  <c r="BZ79" i="5" a="1"/>
  <c r="BZ79" i="5"/>
  <c r="CA79" i="5" a="1"/>
  <c r="CA79" i="5"/>
  <c r="CB79" i="5"/>
  <c r="CC79" i="5"/>
  <c r="CD79" i="5"/>
  <c r="CE79" i="5"/>
  <c r="C80" i="5" a="1"/>
  <c r="C80" i="5"/>
  <c r="D80" i="5" a="1"/>
  <c r="D80" i="5"/>
  <c r="E80" i="5" a="1"/>
  <c r="E80" i="5"/>
  <c r="F80" i="5" a="1"/>
  <c r="F80" i="5"/>
  <c r="G80" i="5" a="1"/>
  <c r="G80" i="5"/>
  <c r="H80" i="5" a="1"/>
  <c r="H80" i="5"/>
  <c r="I80" i="5" a="1"/>
  <c r="I80" i="5"/>
  <c r="J80" i="5" a="1"/>
  <c r="J80" i="5"/>
  <c r="K80" i="5" a="1"/>
  <c r="K80" i="5"/>
  <c r="L80" i="5" a="1"/>
  <c r="L80" i="5"/>
  <c r="M80" i="5" a="1"/>
  <c r="M80" i="5"/>
  <c r="N80" i="5" a="1"/>
  <c r="N80" i="5"/>
  <c r="O80" i="5" a="1"/>
  <c r="O80" i="5"/>
  <c r="P80" i="5" a="1"/>
  <c r="P80" i="5"/>
  <c r="Q80" i="5" a="1"/>
  <c r="Q80" i="5"/>
  <c r="R80" i="5" a="1"/>
  <c r="R80" i="5"/>
  <c r="S80" i="5" a="1"/>
  <c r="S80" i="5"/>
  <c r="T80" i="5" a="1"/>
  <c r="T80" i="5"/>
  <c r="U80" i="5" a="1"/>
  <c r="U80" i="5"/>
  <c r="V80" i="5" a="1"/>
  <c r="V80" i="5"/>
  <c r="W80" i="5" a="1"/>
  <c r="W80" i="5"/>
  <c r="X80" i="5" a="1"/>
  <c r="X80" i="5"/>
  <c r="Y80" i="5" a="1"/>
  <c r="Y80" i="5"/>
  <c r="Z80" i="5" a="1"/>
  <c r="Z80" i="5"/>
  <c r="AA80" i="5" a="1"/>
  <c r="AA80" i="5"/>
  <c r="AB80" i="5" a="1"/>
  <c r="AB80" i="5"/>
  <c r="AC80" i="5" a="1"/>
  <c r="AC80" i="5"/>
  <c r="AD80" i="5" a="1"/>
  <c r="AD80" i="5"/>
  <c r="AE80" i="5" a="1"/>
  <c r="AE80" i="5"/>
  <c r="AF80" i="5" a="1"/>
  <c r="AF80" i="5"/>
  <c r="AG80" i="5" a="1"/>
  <c r="AG80" i="5"/>
  <c r="AH80" i="5" a="1"/>
  <c r="AH80" i="5"/>
  <c r="AI80" i="5" a="1"/>
  <c r="AI80" i="5"/>
  <c r="AJ80" i="5" a="1"/>
  <c r="AJ80" i="5"/>
  <c r="AK80" i="5" a="1"/>
  <c r="AK80" i="5"/>
  <c r="AL80" i="5" a="1"/>
  <c r="AL80" i="5"/>
  <c r="AM80" i="5" a="1"/>
  <c r="AM80" i="5"/>
  <c r="AN80" i="5" a="1"/>
  <c r="AN80" i="5"/>
  <c r="AO80" i="5" a="1"/>
  <c r="AO80" i="5"/>
  <c r="AP80" i="5" a="1"/>
  <c r="AP80" i="5"/>
  <c r="AQ80" i="5" a="1"/>
  <c r="AQ80" i="5"/>
  <c r="AR80" i="5" a="1"/>
  <c r="AR80" i="5"/>
  <c r="AS80" i="5" a="1"/>
  <c r="AS80" i="5"/>
  <c r="AT80" i="5" a="1"/>
  <c r="AT80" i="5"/>
  <c r="AU80" i="5" a="1"/>
  <c r="AU80" i="5"/>
  <c r="AV80" i="5" a="1"/>
  <c r="AV80" i="5"/>
  <c r="AW80" i="5" a="1"/>
  <c r="AW80" i="5"/>
  <c r="AX80" i="5" a="1"/>
  <c r="AX80" i="5"/>
  <c r="AY80" i="5" a="1"/>
  <c r="AY80" i="5"/>
  <c r="AZ80" i="5" a="1"/>
  <c r="AZ80" i="5"/>
  <c r="BA80" i="5" a="1"/>
  <c r="BA80" i="5"/>
  <c r="BB80" i="5" a="1"/>
  <c r="BB80" i="5"/>
  <c r="BC80" i="5" a="1"/>
  <c r="BC80" i="5"/>
  <c r="BD80" i="5" a="1"/>
  <c r="BD80" i="5"/>
  <c r="BE80" i="5" a="1"/>
  <c r="BE80" i="5"/>
  <c r="BF80" i="5" a="1"/>
  <c r="BF80" i="5"/>
  <c r="BG80" i="5" a="1"/>
  <c r="BG80" i="5"/>
  <c r="BH80" i="5" a="1"/>
  <c r="BH80" i="5"/>
  <c r="BI80" i="5" a="1"/>
  <c r="BI80" i="5"/>
  <c r="BJ80" i="5" a="1"/>
  <c r="BJ80" i="5"/>
  <c r="BK80" i="5" a="1"/>
  <c r="BK80" i="5"/>
  <c r="BL80" i="5" a="1"/>
  <c r="BL80" i="5"/>
  <c r="BM80" i="5" a="1"/>
  <c r="BM80" i="5"/>
  <c r="BN80" i="5" a="1"/>
  <c r="BN80" i="5"/>
  <c r="BO80" i="5" a="1"/>
  <c r="BO80" i="5"/>
  <c r="BP80" i="5" a="1"/>
  <c r="BP80" i="5"/>
  <c r="BQ80" i="5" a="1"/>
  <c r="BQ80" i="5"/>
  <c r="BR80" i="5" a="1"/>
  <c r="BR80" i="5"/>
  <c r="BS80" i="5" a="1"/>
  <c r="BS80" i="5"/>
  <c r="BT80" i="5" a="1"/>
  <c r="BT80" i="5"/>
  <c r="BU80" i="5" a="1"/>
  <c r="BU80" i="5"/>
  <c r="BV80" i="5" a="1"/>
  <c r="BV80" i="5"/>
  <c r="BW80" i="5" a="1"/>
  <c r="BW80" i="5"/>
  <c r="BX80" i="5" a="1"/>
  <c r="BX80" i="5"/>
  <c r="BY80" i="5" a="1"/>
  <c r="BY80" i="5"/>
  <c r="BZ80" i="5" a="1"/>
  <c r="BZ80" i="5"/>
  <c r="CA80" i="5" a="1"/>
  <c r="CA80" i="5"/>
  <c r="CB80" i="5"/>
  <c r="CC80" i="5"/>
  <c r="CD80" i="5"/>
  <c r="CE80" i="5"/>
  <c r="C81" i="5" a="1"/>
  <c r="C81" i="5"/>
  <c r="D81" i="5" a="1"/>
  <c r="D81" i="5"/>
  <c r="E81" i="5" a="1"/>
  <c r="E81" i="5"/>
  <c r="F81" i="5" a="1"/>
  <c r="F81" i="5"/>
  <c r="G81" i="5" a="1"/>
  <c r="G81" i="5"/>
  <c r="H81" i="5" a="1"/>
  <c r="H81" i="5"/>
  <c r="I81" i="5" a="1"/>
  <c r="I81" i="5"/>
  <c r="J81" i="5" a="1"/>
  <c r="J81" i="5"/>
  <c r="K81" i="5" a="1"/>
  <c r="K81" i="5"/>
  <c r="L81" i="5" a="1"/>
  <c r="L81" i="5"/>
  <c r="M81" i="5" a="1"/>
  <c r="M81" i="5"/>
  <c r="N81" i="5" a="1"/>
  <c r="N81" i="5"/>
  <c r="O81" i="5" a="1"/>
  <c r="O81" i="5"/>
  <c r="P81" i="5" a="1"/>
  <c r="P81" i="5"/>
  <c r="Q81" i="5" a="1"/>
  <c r="Q81" i="5"/>
  <c r="R81" i="5" a="1"/>
  <c r="R81" i="5"/>
  <c r="S81" i="5" a="1"/>
  <c r="S81" i="5"/>
  <c r="T81" i="5" a="1"/>
  <c r="T81" i="5"/>
  <c r="U81" i="5" a="1"/>
  <c r="U81" i="5"/>
  <c r="V81" i="5" a="1"/>
  <c r="V81" i="5"/>
  <c r="W81" i="5" a="1"/>
  <c r="W81" i="5"/>
  <c r="X81" i="5" a="1"/>
  <c r="X81" i="5"/>
  <c r="Y81" i="5" a="1"/>
  <c r="Y81" i="5"/>
  <c r="Z81" i="5" a="1"/>
  <c r="Z81" i="5"/>
  <c r="AA81" i="5" a="1"/>
  <c r="AA81" i="5"/>
  <c r="AB81" i="5" a="1"/>
  <c r="AB81" i="5"/>
  <c r="AC81" i="5" a="1"/>
  <c r="AC81" i="5"/>
  <c r="AD81" i="5" a="1"/>
  <c r="AD81" i="5"/>
  <c r="AE81" i="5" a="1"/>
  <c r="AE81" i="5"/>
  <c r="AF81" i="5" a="1"/>
  <c r="AF81" i="5"/>
  <c r="AG81" i="5" a="1"/>
  <c r="AG81" i="5"/>
  <c r="AH81" i="5" a="1"/>
  <c r="AH81" i="5"/>
  <c r="AI81" i="5" a="1"/>
  <c r="AI81" i="5"/>
  <c r="AJ81" i="5" a="1"/>
  <c r="AJ81" i="5"/>
  <c r="AK81" i="5" a="1"/>
  <c r="AK81" i="5"/>
  <c r="AL81" i="5" a="1"/>
  <c r="AL81" i="5"/>
  <c r="AM81" i="5" a="1"/>
  <c r="AM81" i="5"/>
  <c r="AN81" i="5" a="1"/>
  <c r="AN81" i="5"/>
  <c r="AO81" i="5" a="1"/>
  <c r="AO81" i="5"/>
  <c r="AP81" i="5" a="1"/>
  <c r="AP81" i="5"/>
  <c r="AQ81" i="5" a="1"/>
  <c r="AQ81" i="5"/>
  <c r="AR81" i="5" a="1"/>
  <c r="AR81" i="5"/>
  <c r="AS81" i="5" a="1"/>
  <c r="AS81" i="5"/>
  <c r="AT81" i="5" a="1"/>
  <c r="AT81" i="5"/>
  <c r="AU81" i="5" a="1"/>
  <c r="AU81" i="5"/>
  <c r="AV81" i="5" a="1"/>
  <c r="AV81" i="5"/>
  <c r="AW81" i="5" a="1"/>
  <c r="AW81" i="5"/>
  <c r="AX81" i="5" a="1"/>
  <c r="AX81" i="5"/>
  <c r="AY81" i="5" a="1"/>
  <c r="AY81" i="5"/>
  <c r="AZ81" i="5" a="1"/>
  <c r="AZ81" i="5"/>
  <c r="BA81" i="5" a="1"/>
  <c r="BA81" i="5"/>
  <c r="BB81" i="5" a="1"/>
  <c r="BB81" i="5"/>
  <c r="BC81" i="5" a="1"/>
  <c r="BC81" i="5"/>
  <c r="BD81" i="5" a="1"/>
  <c r="BD81" i="5"/>
  <c r="BE81" i="5" a="1"/>
  <c r="BE81" i="5"/>
  <c r="BF81" i="5" a="1"/>
  <c r="BF81" i="5"/>
  <c r="BG81" i="5" a="1"/>
  <c r="BG81" i="5"/>
  <c r="BH81" i="5" a="1"/>
  <c r="BH81" i="5"/>
  <c r="BI81" i="5" a="1"/>
  <c r="BI81" i="5"/>
  <c r="BJ81" i="5" a="1"/>
  <c r="BJ81" i="5"/>
  <c r="BK81" i="5" a="1"/>
  <c r="BK81" i="5"/>
  <c r="BL81" i="5" a="1"/>
  <c r="BL81" i="5"/>
  <c r="BM81" i="5" a="1"/>
  <c r="BM81" i="5"/>
  <c r="BN81" i="5" a="1"/>
  <c r="BN81" i="5"/>
  <c r="BO81" i="5" a="1"/>
  <c r="BO81" i="5"/>
  <c r="BP81" i="5" a="1"/>
  <c r="BP81" i="5"/>
  <c r="BQ81" i="5" a="1"/>
  <c r="BQ81" i="5"/>
  <c r="BR81" i="5" a="1"/>
  <c r="BR81" i="5"/>
  <c r="BS81" i="5" a="1"/>
  <c r="BS81" i="5"/>
  <c r="BT81" i="5" a="1"/>
  <c r="BT81" i="5"/>
  <c r="BU81" i="5" a="1"/>
  <c r="BU81" i="5"/>
  <c r="BV81" i="5" a="1"/>
  <c r="BV81" i="5"/>
  <c r="BW81" i="5" a="1"/>
  <c r="BW81" i="5"/>
  <c r="BX81" i="5" a="1"/>
  <c r="BX81" i="5"/>
  <c r="BY81" i="5" a="1"/>
  <c r="BY81" i="5"/>
  <c r="BZ81" i="5" a="1"/>
  <c r="BZ81" i="5"/>
  <c r="CA81" i="5" a="1"/>
  <c r="CA81" i="5"/>
  <c r="CB81" i="5"/>
  <c r="CC81" i="5"/>
  <c r="CD81" i="5"/>
  <c r="CE81" i="5"/>
  <c r="C82" i="5" a="1"/>
  <c r="C82" i="5"/>
  <c r="D82" i="5" a="1"/>
  <c r="D82" i="5"/>
  <c r="E82" i="5" a="1"/>
  <c r="E82" i="5"/>
  <c r="F82" i="5" a="1"/>
  <c r="F82" i="5"/>
  <c r="G82" i="5" a="1"/>
  <c r="G82" i="5"/>
  <c r="H82" i="5" a="1"/>
  <c r="H82" i="5"/>
  <c r="I82" i="5" a="1"/>
  <c r="I82" i="5"/>
  <c r="J82" i="5" a="1"/>
  <c r="J82" i="5"/>
  <c r="K82" i="5" a="1"/>
  <c r="K82" i="5"/>
  <c r="L82" i="5" a="1"/>
  <c r="L82" i="5"/>
  <c r="M82" i="5" a="1"/>
  <c r="M82" i="5"/>
  <c r="N82" i="5" a="1"/>
  <c r="N82" i="5"/>
  <c r="O82" i="5" a="1"/>
  <c r="O82" i="5"/>
  <c r="P82" i="5" a="1"/>
  <c r="P82" i="5"/>
  <c r="Q82" i="5" a="1"/>
  <c r="Q82" i="5"/>
  <c r="R82" i="5" a="1"/>
  <c r="R82" i="5"/>
  <c r="S82" i="5" a="1"/>
  <c r="S82" i="5"/>
  <c r="T82" i="5" a="1"/>
  <c r="T82" i="5"/>
  <c r="U82" i="5" a="1"/>
  <c r="U82" i="5"/>
  <c r="V82" i="5" a="1"/>
  <c r="V82" i="5"/>
  <c r="W82" i="5" a="1"/>
  <c r="W82" i="5"/>
  <c r="X82" i="5" a="1"/>
  <c r="X82" i="5"/>
  <c r="Y82" i="5" a="1"/>
  <c r="Y82" i="5"/>
  <c r="Z82" i="5" a="1"/>
  <c r="Z82" i="5"/>
  <c r="AA82" i="5" a="1"/>
  <c r="AA82" i="5"/>
  <c r="AB82" i="5" a="1"/>
  <c r="AB82" i="5"/>
  <c r="AC82" i="5" a="1"/>
  <c r="AC82" i="5"/>
  <c r="AD82" i="5" a="1"/>
  <c r="AD82" i="5"/>
  <c r="AE82" i="5" a="1"/>
  <c r="AE82" i="5"/>
  <c r="AF82" i="5" a="1"/>
  <c r="AF82" i="5"/>
  <c r="AG82" i="5" a="1"/>
  <c r="AG82" i="5"/>
  <c r="AH82" i="5" a="1"/>
  <c r="AH82" i="5"/>
  <c r="AI82" i="5" a="1"/>
  <c r="AI82" i="5"/>
  <c r="AJ82" i="5" a="1"/>
  <c r="AJ82" i="5"/>
  <c r="AK82" i="5" a="1"/>
  <c r="AK82" i="5"/>
  <c r="AL82" i="5" a="1"/>
  <c r="AL82" i="5"/>
  <c r="AM82" i="5" a="1"/>
  <c r="AM82" i="5"/>
  <c r="AN82" i="5" a="1"/>
  <c r="AN82" i="5"/>
  <c r="AO82" i="5" a="1"/>
  <c r="AO82" i="5"/>
  <c r="AP82" i="5" a="1"/>
  <c r="AP82" i="5"/>
  <c r="AQ82" i="5" a="1"/>
  <c r="AQ82" i="5"/>
  <c r="AR82" i="5" a="1"/>
  <c r="AR82" i="5"/>
  <c r="AS82" i="5" a="1"/>
  <c r="AS82" i="5"/>
  <c r="AT82" i="5" a="1"/>
  <c r="AT82" i="5"/>
  <c r="AU82" i="5" a="1"/>
  <c r="AU82" i="5"/>
  <c r="AV82" i="5" a="1"/>
  <c r="AV82" i="5"/>
  <c r="AW82" i="5" a="1"/>
  <c r="AW82" i="5"/>
  <c r="AX82" i="5" a="1"/>
  <c r="AX82" i="5"/>
  <c r="AY82" i="5" a="1"/>
  <c r="AY82" i="5"/>
  <c r="AZ82" i="5" a="1"/>
  <c r="AZ82" i="5"/>
  <c r="BA82" i="5" a="1"/>
  <c r="BA82" i="5"/>
  <c r="BB82" i="5" a="1"/>
  <c r="BB82" i="5"/>
  <c r="BC82" i="5" a="1"/>
  <c r="BC82" i="5"/>
  <c r="BD82" i="5" a="1"/>
  <c r="BD82" i="5"/>
  <c r="BE82" i="5" a="1"/>
  <c r="BE82" i="5"/>
  <c r="BF82" i="5" a="1"/>
  <c r="BF82" i="5"/>
  <c r="BG82" i="5" a="1"/>
  <c r="BG82" i="5"/>
  <c r="BH82" i="5" a="1"/>
  <c r="BH82" i="5"/>
  <c r="BI82" i="5" a="1"/>
  <c r="BI82" i="5"/>
  <c r="BJ82" i="5" a="1"/>
  <c r="BJ82" i="5"/>
  <c r="BK82" i="5" a="1"/>
  <c r="BK82" i="5"/>
  <c r="BL82" i="5" a="1"/>
  <c r="BL82" i="5"/>
  <c r="BM82" i="5" a="1"/>
  <c r="BM82" i="5"/>
  <c r="BN82" i="5" a="1"/>
  <c r="BN82" i="5"/>
  <c r="BO82" i="5" a="1"/>
  <c r="BO82" i="5"/>
  <c r="BP82" i="5" a="1"/>
  <c r="BP82" i="5"/>
  <c r="BQ82" i="5" a="1"/>
  <c r="BQ82" i="5"/>
  <c r="BR82" i="5" a="1"/>
  <c r="BR82" i="5"/>
  <c r="BS82" i="5" a="1"/>
  <c r="BS82" i="5"/>
  <c r="BT82" i="5" a="1"/>
  <c r="BT82" i="5"/>
  <c r="BU82" i="5" a="1"/>
  <c r="BU82" i="5"/>
  <c r="BV82" i="5" a="1"/>
  <c r="BV82" i="5"/>
  <c r="BW82" i="5" a="1"/>
  <c r="BW82" i="5"/>
  <c r="BX82" i="5" a="1"/>
  <c r="BX82" i="5"/>
  <c r="BY82" i="5" a="1"/>
  <c r="BY82" i="5"/>
  <c r="BZ82" i="5" a="1"/>
  <c r="BZ82" i="5"/>
  <c r="CA82" i="5" a="1"/>
  <c r="CA82" i="5"/>
  <c r="CB82" i="5"/>
  <c r="CC82" i="5"/>
  <c r="CD82" i="5"/>
  <c r="CE82" i="5"/>
  <c r="C83" i="5" a="1"/>
  <c r="C83" i="5"/>
  <c r="D83" i="5" a="1"/>
  <c r="D83" i="5"/>
  <c r="E83" i="5" a="1"/>
  <c r="E83" i="5"/>
  <c r="F83" i="5" a="1"/>
  <c r="F83" i="5"/>
  <c r="G83" i="5" a="1"/>
  <c r="G83" i="5"/>
  <c r="H83" i="5" a="1"/>
  <c r="H83" i="5"/>
  <c r="I83" i="5" a="1"/>
  <c r="I83" i="5"/>
  <c r="J83" i="5" a="1"/>
  <c r="J83" i="5"/>
  <c r="K83" i="5" a="1"/>
  <c r="K83" i="5"/>
  <c r="L83" i="5" a="1"/>
  <c r="L83" i="5"/>
  <c r="M83" i="5" a="1"/>
  <c r="M83" i="5"/>
  <c r="N83" i="5" a="1"/>
  <c r="N83" i="5"/>
  <c r="O83" i="5" a="1"/>
  <c r="O83" i="5"/>
  <c r="P83" i="5" a="1"/>
  <c r="P83" i="5"/>
  <c r="Q83" i="5" a="1"/>
  <c r="Q83" i="5"/>
  <c r="R83" i="5" a="1"/>
  <c r="R83" i="5"/>
  <c r="S83" i="5" a="1"/>
  <c r="S83" i="5"/>
  <c r="T83" i="5" a="1"/>
  <c r="T83" i="5"/>
  <c r="U83" i="5" a="1"/>
  <c r="U83" i="5"/>
  <c r="V83" i="5" a="1"/>
  <c r="V83" i="5"/>
  <c r="W83" i="5" a="1"/>
  <c r="W83" i="5"/>
  <c r="X83" i="5" a="1"/>
  <c r="X83" i="5"/>
  <c r="Y83" i="5" a="1"/>
  <c r="Y83" i="5"/>
  <c r="Z83" i="5" a="1"/>
  <c r="Z83" i="5"/>
  <c r="AA83" i="5" a="1"/>
  <c r="AA83" i="5"/>
  <c r="AB83" i="5" a="1"/>
  <c r="AB83" i="5"/>
  <c r="AC83" i="5" a="1"/>
  <c r="AC83" i="5"/>
  <c r="AD83" i="5" a="1"/>
  <c r="AD83" i="5"/>
  <c r="AE83" i="5" a="1"/>
  <c r="AE83" i="5"/>
  <c r="AF83" i="5" a="1"/>
  <c r="AF83" i="5"/>
  <c r="AG83" i="5" a="1"/>
  <c r="AG83" i="5"/>
  <c r="AH83" i="5" a="1"/>
  <c r="AH83" i="5"/>
  <c r="AI83" i="5" a="1"/>
  <c r="AI83" i="5"/>
  <c r="AJ83" i="5" a="1"/>
  <c r="AJ83" i="5"/>
  <c r="AK83" i="5" a="1"/>
  <c r="AK83" i="5"/>
  <c r="AL83" i="5" a="1"/>
  <c r="AL83" i="5"/>
  <c r="AM83" i="5" a="1"/>
  <c r="AM83" i="5"/>
  <c r="AN83" i="5" a="1"/>
  <c r="AN83" i="5"/>
  <c r="AO83" i="5" a="1"/>
  <c r="AO83" i="5"/>
  <c r="AP83" i="5" a="1"/>
  <c r="AP83" i="5"/>
  <c r="AQ83" i="5" a="1"/>
  <c r="AQ83" i="5"/>
  <c r="AR83" i="5" a="1"/>
  <c r="AR83" i="5"/>
  <c r="AS83" i="5" a="1"/>
  <c r="AS83" i="5"/>
  <c r="AT83" i="5" a="1"/>
  <c r="AT83" i="5"/>
  <c r="AU83" i="5" a="1"/>
  <c r="AU83" i="5"/>
  <c r="AV83" i="5" a="1"/>
  <c r="AV83" i="5"/>
  <c r="AW83" i="5" a="1"/>
  <c r="AW83" i="5"/>
  <c r="AX83" i="5" a="1"/>
  <c r="AX83" i="5"/>
  <c r="AY83" i="5" a="1"/>
  <c r="AY83" i="5"/>
  <c r="AZ83" i="5" a="1"/>
  <c r="AZ83" i="5"/>
  <c r="BA83" i="5" a="1"/>
  <c r="BA83" i="5"/>
  <c r="BB83" i="5" a="1"/>
  <c r="BB83" i="5"/>
  <c r="BC83" i="5" a="1"/>
  <c r="BC83" i="5"/>
  <c r="BD83" i="5" a="1"/>
  <c r="BD83" i="5"/>
  <c r="BE83" i="5" a="1"/>
  <c r="BE83" i="5"/>
  <c r="BF83" i="5" a="1"/>
  <c r="BF83" i="5"/>
  <c r="BG83" i="5" a="1"/>
  <c r="BG83" i="5"/>
  <c r="BH83" i="5" a="1"/>
  <c r="BH83" i="5"/>
  <c r="BI83" i="5" a="1"/>
  <c r="BI83" i="5"/>
  <c r="BJ83" i="5" a="1"/>
  <c r="BJ83" i="5"/>
  <c r="BK83" i="5" a="1"/>
  <c r="BK83" i="5"/>
  <c r="BL83" i="5" a="1"/>
  <c r="BL83" i="5"/>
  <c r="BM83" i="5" a="1"/>
  <c r="BM83" i="5"/>
  <c r="BN83" i="5" a="1"/>
  <c r="BN83" i="5"/>
  <c r="BO83" i="5" a="1"/>
  <c r="BO83" i="5"/>
  <c r="BP83" i="5" a="1"/>
  <c r="BP83" i="5"/>
  <c r="BQ83" i="5" a="1"/>
  <c r="BQ83" i="5"/>
  <c r="BR83" i="5" a="1"/>
  <c r="BR83" i="5"/>
  <c r="BS83" i="5" a="1"/>
  <c r="BS83" i="5"/>
  <c r="BT83" i="5" a="1"/>
  <c r="BT83" i="5"/>
  <c r="BU83" i="5" a="1"/>
  <c r="BU83" i="5"/>
  <c r="BV83" i="5" a="1"/>
  <c r="BV83" i="5"/>
  <c r="BW83" i="5" a="1"/>
  <c r="BW83" i="5"/>
  <c r="BX83" i="5" a="1"/>
  <c r="BX83" i="5"/>
  <c r="BY83" i="5" a="1"/>
  <c r="BY83" i="5"/>
  <c r="BZ83" i="5" a="1"/>
  <c r="BZ83" i="5"/>
  <c r="CA83" i="5" a="1"/>
  <c r="CA83" i="5"/>
  <c r="CB83" i="5"/>
  <c r="CC83" i="5"/>
  <c r="CD83" i="5"/>
  <c r="CE83" i="5"/>
  <c r="C84" i="5" a="1"/>
  <c r="C84" i="5"/>
  <c r="D84" i="5" a="1"/>
  <c r="D84" i="5"/>
  <c r="E84" i="5" a="1"/>
  <c r="E84" i="5"/>
  <c r="F84" i="5" a="1"/>
  <c r="F84" i="5"/>
  <c r="G84" i="5" a="1"/>
  <c r="G84" i="5"/>
  <c r="H84" i="5" a="1"/>
  <c r="H84" i="5"/>
  <c r="I84" i="5" a="1"/>
  <c r="I84" i="5"/>
  <c r="J84" i="5" a="1"/>
  <c r="J84" i="5"/>
  <c r="K84" i="5" a="1"/>
  <c r="K84" i="5"/>
  <c r="L84" i="5" a="1"/>
  <c r="L84" i="5"/>
  <c r="M84" i="5" a="1"/>
  <c r="M84" i="5"/>
  <c r="N84" i="5" a="1"/>
  <c r="N84" i="5"/>
  <c r="O84" i="5" a="1"/>
  <c r="O84" i="5"/>
  <c r="P84" i="5" a="1"/>
  <c r="P84" i="5"/>
  <c r="Q84" i="5" a="1"/>
  <c r="Q84" i="5"/>
  <c r="R84" i="5" a="1"/>
  <c r="R84" i="5"/>
  <c r="S84" i="5" a="1"/>
  <c r="S84" i="5"/>
  <c r="T84" i="5" a="1"/>
  <c r="T84" i="5"/>
  <c r="U84" i="5" a="1"/>
  <c r="U84" i="5"/>
  <c r="V84" i="5" a="1"/>
  <c r="V84" i="5"/>
  <c r="W84" i="5" a="1"/>
  <c r="W84" i="5"/>
  <c r="X84" i="5" a="1"/>
  <c r="X84" i="5"/>
  <c r="Y84" i="5" a="1"/>
  <c r="Y84" i="5"/>
  <c r="Z84" i="5" a="1"/>
  <c r="Z84" i="5"/>
  <c r="AA84" i="5" a="1"/>
  <c r="AA84" i="5"/>
  <c r="AB84" i="5" a="1"/>
  <c r="AB84" i="5"/>
  <c r="AC84" i="5" a="1"/>
  <c r="AC84" i="5"/>
  <c r="AD84" i="5" a="1"/>
  <c r="AD84" i="5"/>
  <c r="AE84" i="5" a="1"/>
  <c r="AE84" i="5"/>
  <c r="AF84" i="5" a="1"/>
  <c r="AF84" i="5"/>
  <c r="AG84" i="5" a="1"/>
  <c r="AG84" i="5"/>
  <c r="AH84" i="5" a="1"/>
  <c r="AH84" i="5"/>
  <c r="AI84" i="5" a="1"/>
  <c r="AI84" i="5"/>
  <c r="AJ84" i="5" a="1"/>
  <c r="AJ84" i="5"/>
  <c r="AK84" i="5" a="1"/>
  <c r="AK84" i="5"/>
  <c r="AL84" i="5" a="1"/>
  <c r="AL84" i="5"/>
  <c r="AM84" i="5" a="1"/>
  <c r="AM84" i="5"/>
  <c r="AN84" i="5" a="1"/>
  <c r="AN84" i="5"/>
  <c r="AO84" i="5" a="1"/>
  <c r="AO84" i="5"/>
  <c r="AP84" i="5" a="1"/>
  <c r="AP84" i="5"/>
  <c r="AQ84" i="5" a="1"/>
  <c r="AQ84" i="5"/>
  <c r="AR84" i="5" a="1"/>
  <c r="AR84" i="5"/>
  <c r="AS84" i="5" a="1"/>
  <c r="AS84" i="5"/>
  <c r="AT84" i="5" a="1"/>
  <c r="AT84" i="5"/>
  <c r="AU84" i="5" a="1"/>
  <c r="AU84" i="5"/>
  <c r="AV84" i="5" a="1"/>
  <c r="AV84" i="5"/>
  <c r="AW84" i="5" a="1"/>
  <c r="AW84" i="5"/>
  <c r="AX84" i="5" a="1"/>
  <c r="AX84" i="5"/>
  <c r="AY84" i="5" a="1"/>
  <c r="AY84" i="5"/>
  <c r="AZ84" i="5" a="1"/>
  <c r="AZ84" i="5"/>
  <c r="BA84" i="5" a="1"/>
  <c r="BA84" i="5"/>
  <c r="BB84" i="5" a="1"/>
  <c r="BB84" i="5"/>
  <c r="BC84" i="5" a="1"/>
  <c r="BC84" i="5"/>
  <c r="BD84" i="5" a="1"/>
  <c r="BD84" i="5"/>
  <c r="BE84" i="5" a="1"/>
  <c r="BE84" i="5"/>
  <c r="BF84" i="5" a="1"/>
  <c r="BF84" i="5"/>
  <c r="BG84" i="5" a="1"/>
  <c r="BG84" i="5"/>
  <c r="BH84" i="5" a="1"/>
  <c r="BH84" i="5"/>
  <c r="BI84" i="5" a="1"/>
  <c r="BI84" i="5"/>
  <c r="BJ84" i="5" a="1"/>
  <c r="BJ84" i="5"/>
  <c r="BK84" i="5" a="1"/>
  <c r="BK84" i="5"/>
  <c r="BL84" i="5" a="1"/>
  <c r="BL84" i="5"/>
  <c r="BM84" i="5" a="1"/>
  <c r="BM84" i="5"/>
  <c r="BN84" i="5" a="1"/>
  <c r="BN84" i="5"/>
  <c r="BO84" i="5" a="1"/>
  <c r="BO84" i="5"/>
  <c r="BP84" i="5" a="1"/>
  <c r="BP84" i="5"/>
  <c r="BQ84" i="5" a="1"/>
  <c r="BQ84" i="5"/>
  <c r="BR84" i="5" a="1"/>
  <c r="BR84" i="5"/>
  <c r="BS84" i="5" a="1"/>
  <c r="BS84" i="5"/>
  <c r="BT84" i="5" a="1"/>
  <c r="BT84" i="5"/>
  <c r="BU84" i="5" a="1"/>
  <c r="BU84" i="5"/>
  <c r="BV84" i="5" a="1"/>
  <c r="BV84" i="5"/>
  <c r="BW84" i="5" a="1"/>
  <c r="BW84" i="5"/>
  <c r="BX84" i="5" a="1"/>
  <c r="BX84" i="5"/>
  <c r="BY84" i="5" a="1"/>
  <c r="BY84" i="5"/>
  <c r="BZ84" i="5" a="1"/>
  <c r="BZ84" i="5"/>
  <c r="CA84" i="5" a="1"/>
  <c r="CA84" i="5"/>
  <c r="CB84" i="5"/>
  <c r="CC84" i="5"/>
  <c r="CD84" i="5"/>
  <c r="CE84" i="5"/>
  <c r="C85" i="5" a="1"/>
  <c r="C85" i="5"/>
  <c r="D85" i="5" a="1"/>
  <c r="D85" i="5"/>
  <c r="E85" i="5" a="1"/>
  <c r="E85" i="5"/>
  <c r="F85" i="5" a="1"/>
  <c r="F85" i="5"/>
  <c r="G85" i="5" a="1"/>
  <c r="G85" i="5"/>
  <c r="H85" i="5" a="1"/>
  <c r="H85" i="5"/>
  <c r="I85" i="5" a="1"/>
  <c r="I85" i="5"/>
  <c r="J85" i="5" a="1"/>
  <c r="J85" i="5"/>
  <c r="K85" i="5" a="1"/>
  <c r="K85" i="5"/>
  <c r="L85" i="5" a="1"/>
  <c r="L85" i="5"/>
  <c r="M85" i="5" a="1"/>
  <c r="M85" i="5"/>
  <c r="N85" i="5" a="1"/>
  <c r="N85" i="5"/>
  <c r="O85" i="5" a="1"/>
  <c r="O85" i="5"/>
  <c r="P85" i="5" a="1"/>
  <c r="P85" i="5"/>
  <c r="Q85" i="5" a="1"/>
  <c r="Q85" i="5"/>
  <c r="R85" i="5" a="1"/>
  <c r="R85" i="5"/>
  <c r="S85" i="5" a="1"/>
  <c r="S85" i="5"/>
  <c r="T85" i="5" a="1"/>
  <c r="T85" i="5"/>
  <c r="U85" i="5" a="1"/>
  <c r="U85" i="5"/>
  <c r="V85" i="5" a="1"/>
  <c r="V85" i="5"/>
  <c r="W85" i="5" a="1"/>
  <c r="W85" i="5"/>
  <c r="X85" i="5" a="1"/>
  <c r="X85" i="5"/>
  <c r="Y85" i="5" a="1"/>
  <c r="Y85" i="5"/>
  <c r="Z85" i="5" a="1"/>
  <c r="Z85" i="5"/>
  <c r="AA85" i="5" a="1"/>
  <c r="AA85" i="5"/>
  <c r="AB85" i="5" a="1"/>
  <c r="AB85" i="5"/>
  <c r="AC85" i="5" a="1"/>
  <c r="AC85" i="5"/>
  <c r="AD85" i="5" a="1"/>
  <c r="AD85" i="5"/>
  <c r="AE85" i="5" a="1"/>
  <c r="AE85" i="5"/>
  <c r="AF85" i="5" a="1"/>
  <c r="AF85" i="5"/>
  <c r="AG85" i="5" a="1"/>
  <c r="AG85" i="5"/>
  <c r="AH85" i="5" a="1"/>
  <c r="AH85" i="5"/>
  <c r="AI85" i="5" a="1"/>
  <c r="AI85" i="5"/>
  <c r="AJ85" i="5" a="1"/>
  <c r="AJ85" i="5"/>
  <c r="AK85" i="5" a="1"/>
  <c r="AK85" i="5"/>
  <c r="AL85" i="5" a="1"/>
  <c r="AL85" i="5"/>
  <c r="AM85" i="5" a="1"/>
  <c r="AM85" i="5"/>
  <c r="AN85" i="5" a="1"/>
  <c r="AN85" i="5"/>
  <c r="AO85" i="5" a="1"/>
  <c r="AO85" i="5"/>
  <c r="AP85" i="5" a="1"/>
  <c r="AP85" i="5"/>
  <c r="AQ85" i="5" a="1"/>
  <c r="AQ85" i="5"/>
  <c r="AR85" i="5" a="1"/>
  <c r="AR85" i="5"/>
  <c r="AS85" i="5" a="1"/>
  <c r="AS85" i="5"/>
  <c r="AT85" i="5" a="1"/>
  <c r="AT85" i="5"/>
  <c r="AU85" i="5" a="1"/>
  <c r="AU85" i="5"/>
  <c r="AV85" i="5" a="1"/>
  <c r="AV85" i="5"/>
  <c r="AW85" i="5" a="1"/>
  <c r="AW85" i="5"/>
  <c r="AX85" i="5" a="1"/>
  <c r="AX85" i="5"/>
  <c r="AY85" i="5" a="1"/>
  <c r="AY85" i="5"/>
  <c r="AZ85" i="5" a="1"/>
  <c r="AZ85" i="5"/>
  <c r="BA85" i="5" a="1"/>
  <c r="BA85" i="5"/>
  <c r="BB85" i="5" a="1"/>
  <c r="BB85" i="5"/>
  <c r="BC85" i="5" a="1"/>
  <c r="BC85" i="5"/>
  <c r="BD85" i="5" a="1"/>
  <c r="BD85" i="5"/>
  <c r="BE85" i="5" a="1"/>
  <c r="BE85" i="5"/>
  <c r="BF85" i="5" a="1"/>
  <c r="BF85" i="5"/>
  <c r="BG85" i="5" a="1"/>
  <c r="BG85" i="5"/>
  <c r="BH85" i="5" a="1"/>
  <c r="BH85" i="5"/>
  <c r="BI85" i="5" a="1"/>
  <c r="BI85" i="5"/>
  <c r="BJ85" i="5" a="1"/>
  <c r="BJ85" i="5"/>
  <c r="BK85" i="5" a="1"/>
  <c r="BK85" i="5"/>
  <c r="BL85" i="5" a="1"/>
  <c r="BL85" i="5"/>
  <c r="BM85" i="5" a="1"/>
  <c r="BM85" i="5"/>
  <c r="BN85" i="5" a="1"/>
  <c r="BN85" i="5"/>
  <c r="BO85" i="5" a="1"/>
  <c r="BO85" i="5"/>
  <c r="BP85" i="5" a="1"/>
  <c r="BP85" i="5"/>
  <c r="BQ85" i="5" a="1"/>
  <c r="BQ85" i="5"/>
  <c r="BR85" i="5" a="1"/>
  <c r="BR85" i="5"/>
  <c r="BS85" i="5" a="1"/>
  <c r="BS85" i="5"/>
  <c r="BT85" i="5" a="1"/>
  <c r="BT85" i="5"/>
  <c r="BU85" i="5" a="1"/>
  <c r="BU85" i="5"/>
  <c r="BV85" i="5" a="1"/>
  <c r="BV85" i="5"/>
  <c r="BW85" i="5" a="1"/>
  <c r="BW85" i="5"/>
  <c r="BX85" i="5" a="1"/>
  <c r="BX85" i="5"/>
  <c r="BY85" i="5" a="1"/>
  <c r="BY85" i="5"/>
  <c r="BZ85" i="5" a="1"/>
  <c r="BZ85" i="5"/>
  <c r="CA85" i="5" a="1"/>
  <c r="CA85" i="5"/>
  <c r="CB85" i="5"/>
  <c r="CC85" i="5"/>
  <c r="CD85" i="5"/>
  <c r="CE85" i="5"/>
  <c r="C86" i="5" a="1"/>
  <c r="C86" i="5"/>
  <c r="D86" i="5" a="1"/>
  <c r="D86" i="5"/>
  <c r="E86" i="5" a="1"/>
  <c r="E86" i="5"/>
  <c r="F86" i="5" a="1"/>
  <c r="F86" i="5"/>
  <c r="G86" i="5" a="1"/>
  <c r="G86" i="5"/>
  <c r="H86" i="5" a="1"/>
  <c r="H86" i="5"/>
  <c r="I86" i="5" a="1"/>
  <c r="I86" i="5"/>
  <c r="J86" i="5" a="1"/>
  <c r="J86" i="5"/>
  <c r="K86" i="5" a="1"/>
  <c r="K86" i="5"/>
  <c r="L86" i="5" a="1"/>
  <c r="L86" i="5"/>
  <c r="M86" i="5" a="1"/>
  <c r="M86" i="5"/>
  <c r="N86" i="5" a="1"/>
  <c r="N86" i="5"/>
  <c r="O86" i="5" a="1"/>
  <c r="O86" i="5"/>
  <c r="P86" i="5" a="1"/>
  <c r="P86" i="5"/>
  <c r="Q86" i="5" a="1"/>
  <c r="Q86" i="5"/>
  <c r="R86" i="5" a="1"/>
  <c r="R86" i="5"/>
  <c r="S86" i="5" a="1"/>
  <c r="S86" i="5"/>
  <c r="T86" i="5" a="1"/>
  <c r="T86" i="5"/>
  <c r="U86" i="5" a="1"/>
  <c r="U86" i="5"/>
  <c r="V86" i="5" a="1"/>
  <c r="V86" i="5"/>
  <c r="W86" i="5" a="1"/>
  <c r="W86" i="5"/>
  <c r="X86" i="5" a="1"/>
  <c r="X86" i="5"/>
  <c r="Y86" i="5" a="1"/>
  <c r="Y86" i="5"/>
  <c r="Z86" i="5" a="1"/>
  <c r="Z86" i="5"/>
  <c r="AA86" i="5" a="1"/>
  <c r="AA86" i="5"/>
  <c r="AB86" i="5" a="1"/>
  <c r="AB86" i="5"/>
  <c r="AC86" i="5" a="1"/>
  <c r="AC86" i="5"/>
  <c r="AD86" i="5" a="1"/>
  <c r="AD86" i="5"/>
  <c r="AE86" i="5" a="1"/>
  <c r="AE86" i="5"/>
  <c r="AF86" i="5" a="1"/>
  <c r="AF86" i="5"/>
  <c r="AG86" i="5" a="1"/>
  <c r="AG86" i="5"/>
  <c r="AH86" i="5" a="1"/>
  <c r="AH86" i="5"/>
  <c r="AI86" i="5" a="1"/>
  <c r="AI86" i="5"/>
  <c r="AJ86" i="5" a="1"/>
  <c r="AJ86" i="5"/>
  <c r="AK86" i="5" a="1"/>
  <c r="AK86" i="5"/>
  <c r="AL86" i="5" a="1"/>
  <c r="AL86" i="5"/>
  <c r="AM86" i="5" a="1"/>
  <c r="AM86" i="5"/>
  <c r="AN86" i="5" a="1"/>
  <c r="AN86" i="5"/>
  <c r="AO86" i="5" a="1"/>
  <c r="AO86" i="5"/>
  <c r="AP86" i="5" a="1"/>
  <c r="AP86" i="5"/>
  <c r="AQ86" i="5" a="1"/>
  <c r="AQ86" i="5"/>
  <c r="AR86" i="5" a="1"/>
  <c r="AR86" i="5"/>
  <c r="AS86" i="5" a="1"/>
  <c r="AS86" i="5"/>
  <c r="AT86" i="5" a="1"/>
  <c r="AT86" i="5"/>
  <c r="AU86" i="5" a="1"/>
  <c r="AU86" i="5"/>
  <c r="AV86" i="5" a="1"/>
  <c r="AV86" i="5"/>
  <c r="AW86" i="5" a="1"/>
  <c r="AW86" i="5"/>
  <c r="AX86" i="5" a="1"/>
  <c r="AX86" i="5"/>
  <c r="AY86" i="5" a="1"/>
  <c r="AY86" i="5"/>
  <c r="AZ86" i="5" a="1"/>
  <c r="AZ86" i="5"/>
  <c r="BA86" i="5" a="1"/>
  <c r="BA86" i="5"/>
  <c r="BB86" i="5" a="1"/>
  <c r="BB86" i="5"/>
  <c r="BC86" i="5" a="1"/>
  <c r="BC86" i="5"/>
  <c r="BD86" i="5" a="1"/>
  <c r="BD86" i="5"/>
  <c r="BE86" i="5" a="1"/>
  <c r="BE86" i="5"/>
  <c r="BF86" i="5" a="1"/>
  <c r="BF86" i="5"/>
  <c r="BG86" i="5" a="1"/>
  <c r="BG86" i="5"/>
  <c r="BH86" i="5" a="1"/>
  <c r="BH86" i="5"/>
  <c r="BI86" i="5" a="1"/>
  <c r="BI86" i="5"/>
  <c r="BJ86" i="5" a="1"/>
  <c r="BJ86" i="5"/>
  <c r="BK86" i="5" a="1"/>
  <c r="BK86" i="5"/>
  <c r="BL86" i="5" a="1"/>
  <c r="BL86" i="5"/>
  <c r="BM86" i="5" a="1"/>
  <c r="BM86" i="5"/>
  <c r="BN86" i="5" a="1"/>
  <c r="BN86" i="5"/>
  <c r="BO86" i="5" a="1"/>
  <c r="BO86" i="5"/>
  <c r="BP86" i="5" a="1"/>
  <c r="BP86" i="5"/>
  <c r="BQ86" i="5" a="1"/>
  <c r="BQ86" i="5"/>
  <c r="BR86" i="5" a="1"/>
  <c r="BR86" i="5"/>
  <c r="BS86" i="5" a="1"/>
  <c r="BS86" i="5"/>
  <c r="BT86" i="5" a="1"/>
  <c r="BT86" i="5"/>
  <c r="BU86" i="5" a="1"/>
  <c r="BU86" i="5"/>
  <c r="BV86" i="5" a="1"/>
  <c r="BV86" i="5"/>
  <c r="BW86" i="5" a="1"/>
  <c r="BW86" i="5"/>
  <c r="BX86" i="5" a="1"/>
  <c r="BX86" i="5"/>
  <c r="BY86" i="5" a="1"/>
  <c r="BY86" i="5"/>
  <c r="BZ86" i="5" a="1"/>
  <c r="BZ86" i="5"/>
  <c r="CA86" i="5" a="1"/>
  <c r="CA86" i="5"/>
  <c r="CB86" i="5"/>
  <c r="CC86" i="5"/>
  <c r="CD86" i="5"/>
  <c r="CE86" i="5"/>
  <c r="C87" i="5" a="1"/>
  <c r="C87" i="5"/>
  <c r="D87" i="5" a="1"/>
  <c r="D87" i="5"/>
  <c r="E87" i="5" a="1"/>
  <c r="E87" i="5"/>
  <c r="F87" i="5" a="1"/>
  <c r="F87" i="5"/>
  <c r="G87" i="5" a="1"/>
  <c r="G87" i="5"/>
  <c r="H87" i="5" a="1"/>
  <c r="H87" i="5"/>
  <c r="I87" i="5" a="1"/>
  <c r="I87" i="5"/>
  <c r="J87" i="5" a="1"/>
  <c r="J87" i="5"/>
  <c r="K87" i="5" a="1"/>
  <c r="K87" i="5"/>
  <c r="L87" i="5" a="1"/>
  <c r="L87" i="5"/>
  <c r="M87" i="5" a="1"/>
  <c r="M87" i="5"/>
  <c r="N87" i="5" a="1"/>
  <c r="N87" i="5"/>
  <c r="O87" i="5" a="1"/>
  <c r="O87" i="5"/>
  <c r="P87" i="5" a="1"/>
  <c r="P87" i="5"/>
  <c r="Q87" i="5" a="1"/>
  <c r="Q87" i="5"/>
  <c r="R87" i="5" a="1"/>
  <c r="R87" i="5"/>
  <c r="S87" i="5" a="1"/>
  <c r="S87" i="5"/>
  <c r="T87" i="5" a="1"/>
  <c r="T87" i="5"/>
  <c r="U87" i="5" a="1"/>
  <c r="U87" i="5"/>
  <c r="V87" i="5" a="1"/>
  <c r="V87" i="5"/>
  <c r="W87" i="5" a="1"/>
  <c r="W87" i="5"/>
  <c r="X87" i="5" a="1"/>
  <c r="X87" i="5"/>
  <c r="Y87" i="5" a="1"/>
  <c r="Y87" i="5"/>
  <c r="Z87" i="5" a="1"/>
  <c r="Z87" i="5"/>
  <c r="AA87" i="5" a="1"/>
  <c r="AA87" i="5"/>
  <c r="AB87" i="5" a="1"/>
  <c r="AB87" i="5"/>
  <c r="AC87" i="5" a="1"/>
  <c r="AC87" i="5"/>
  <c r="AD87" i="5" a="1"/>
  <c r="AD87" i="5"/>
  <c r="AE87" i="5" a="1"/>
  <c r="AE87" i="5"/>
  <c r="AF87" i="5" a="1"/>
  <c r="AF87" i="5"/>
  <c r="AG87" i="5" a="1"/>
  <c r="AG87" i="5"/>
  <c r="AH87" i="5" a="1"/>
  <c r="AH87" i="5"/>
  <c r="AI87" i="5" a="1"/>
  <c r="AI87" i="5"/>
  <c r="AJ87" i="5" a="1"/>
  <c r="AJ87" i="5"/>
  <c r="AK87" i="5" a="1"/>
  <c r="AK87" i="5"/>
  <c r="AL87" i="5" a="1"/>
  <c r="AL87" i="5"/>
  <c r="AM87" i="5" a="1"/>
  <c r="AM87" i="5"/>
  <c r="AN87" i="5" a="1"/>
  <c r="AN87" i="5"/>
  <c r="AO87" i="5" a="1"/>
  <c r="AO87" i="5"/>
  <c r="AP87" i="5" a="1"/>
  <c r="AP87" i="5"/>
  <c r="AQ87" i="5" a="1"/>
  <c r="AQ87" i="5"/>
  <c r="AR87" i="5" a="1"/>
  <c r="AR87" i="5"/>
  <c r="AS87" i="5" a="1"/>
  <c r="AS87" i="5"/>
  <c r="AT87" i="5" a="1"/>
  <c r="AT87" i="5"/>
  <c r="AU87" i="5" a="1"/>
  <c r="AU87" i="5"/>
  <c r="AV87" i="5" a="1"/>
  <c r="AV87" i="5"/>
  <c r="AW87" i="5" a="1"/>
  <c r="AW87" i="5"/>
  <c r="AX87" i="5" a="1"/>
  <c r="AX87" i="5"/>
  <c r="AY87" i="5" a="1"/>
  <c r="AY87" i="5"/>
  <c r="AZ87" i="5" a="1"/>
  <c r="AZ87" i="5"/>
  <c r="BA87" i="5" a="1"/>
  <c r="BA87" i="5"/>
  <c r="BB87" i="5" a="1"/>
  <c r="BB87" i="5"/>
  <c r="BC87" i="5" a="1"/>
  <c r="BC87" i="5"/>
  <c r="BD87" i="5" a="1"/>
  <c r="BD87" i="5"/>
  <c r="BE87" i="5" a="1"/>
  <c r="BE87" i="5"/>
  <c r="BF87" i="5" a="1"/>
  <c r="BF87" i="5"/>
  <c r="BG87" i="5" a="1"/>
  <c r="BG87" i="5"/>
  <c r="BH87" i="5" a="1"/>
  <c r="BH87" i="5"/>
  <c r="BI87" i="5" a="1"/>
  <c r="BI87" i="5"/>
  <c r="BJ87" i="5" a="1"/>
  <c r="BJ87" i="5"/>
  <c r="BK87" i="5" a="1"/>
  <c r="BK87" i="5"/>
  <c r="BL87" i="5" a="1"/>
  <c r="BL87" i="5"/>
  <c r="BM87" i="5" a="1"/>
  <c r="BM87" i="5"/>
  <c r="BN87" i="5" a="1"/>
  <c r="BN87" i="5"/>
  <c r="BO87" i="5" a="1"/>
  <c r="BO87" i="5"/>
  <c r="BP87" i="5" a="1"/>
  <c r="BP87" i="5"/>
  <c r="BQ87" i="5" a="1"/>
  <c r="BQ87" i="5"/>
  <c r="BR87" i="5" a="1"/>
  <c r="BR87" i="5"/>
  <c r="BS87" i="5" a="1"/>
  <c r="BS87" i="5"/>
  <c r="BT87" i="5" a="1"/>
  <c r="BT87" i="5"/>
  <c r="BU87" i="5" a="1"/>
  <c r="BU87" i="5"/>
  <c r="BV87" i="5" a="1"/>
  <c r="BV87" i="5"/>
  <c r="BW87" i="5" a="1"/>
  <c r="BW87" i="5"/>
  <c r="BX87" i="5" a="1"/>
  <c r="BX87" i="5"/>
  <c r="BY87" i="5" a="1"/>
  <c r="BY87" i="5"/>
  <c r="BZ87" i="5" a="1"/>
  <c r="BZ87" i="5"/>
  <c r="CA87" i="5" a="1"/>
  <c r="CA87" i="5"/>
  <c r="CB87" i="5"/>
  <c r="CC87" i="5"/>
  <c r="CD87" i="5"/>
  <c r="CE87" i="5"/>
  <c r="C88" i="5" a="1"/>
  <c r="C88" i="5"/>
  <c r="D88" i="5" a="1"/>
  <c r="D88" i="5"/>
  <c r="E88" i="5" a="1"/>
  <c r="E88" i="5"/>
  <c r="F88" i="5" a="1"/>
  <c r="F88" i="5"/>
  <c r="G88" i="5" a="1"/>
  <c r="G88" i="5"/>
  <c r="H88" i="5" a="1"/>
  <c r="H88" i="5"/>
  <c r="I88" i="5" a="1"/>
  <c r="I88" i="5"/>
  <c r="J88" i="5" a="1"/>
  <c r="J88" i="5"/>
  <c r="K88" i="5" a="1"/>
  <c r="K88" i="5"/>
  <c r="L88" i="5" a="1"/>
  <c r="L88" i="5"/>
  <c r="M88" i="5" a="1"/>
  <c r="M88" i="5"/>
  <c r="N88" i="5" a="1"/>
  <c r="N88" i="5"/>
  <c r="O88" i="5" a="1"/>
  <c r="O88" i="5"/>
  <c r="P88" i="5" a="1"/>
  <c r="P88" i="5"/>
  <c r="Q88" i="5" a="1"/>
  <c r="Q88" i="5"/>
  <c r="R88" i="5" a="1"/>
  <c r="R88" i="5"/>
  <c r="S88" i="5" a="1"/>
  <c r="S88" i="5"/>
  <c r="T88" i="5" a="1"/>
  <c r="T88" i="5"/>
  <c r="U88" i="5" a="1"/>
  <c r="U88" i="5"/>
  <c r="V88" i="5" a="1"/>
  <c r="V88" i="5"/>
  <c r="W88" i="5" a="1"/>
  <c r="W88" i="5"/>
  <c r="X88" i="5" a="1"/>
  <c r="X88" i="5"/>
  <c r="Y88" i="5" a="1"/>
  <c r="Y88" i="5"/>
  <c r="Z88" i="5" a="1"/>
  <c r="Z88" i="5"/>
  <c r="AA88" i="5" a="1"/>
  <c r="AA88" i="5"/>
  <c r="AB88" i="5" a="1"/>
  <c r="AB88" i="5"/>
  <c r="AC88" i="5" a="1"/>
  <c r="AC88" i="5"/>
  <c r="AD88" i="5" a="1"/>
  <c r="AD88" i="5"/>
  <c r="AE88" i="5" a="1"/>
  <c r="AE88" i="5"/>
  <c r="AF88" i="5" a="1"/>
  <c r="AF88" i="5"/>
  <c r="AG88" i="5" a="1"/>
  <c r="AG88" i="5"/>
  <c r="AH88" i="5" a="1"/>
  <c r="AH88" i="5"/>
  <c r="AI88" i="5" a="1"/>
  <c r="AI88" i="5"/>
  <c r="AJ88" i="5" a="1"/>
  <c r="AJ88" i="5"/>
  <c r="AK88" i="5" a="1"/>
  <c r="AK88" i="5"/>
  <c r="AL88" i="5" a="1"/>
  <c r="AL88" i="5"/>
  <c r="AM88" i="5" a="1"/>
  <c r="AM88" i="5"/>
  <c r="AN88" i="5" a="1"/>
  <c r="AN88" i="5"/>
  <c r="AO88" i="5" a="1"/>
  <c r="AO88" i="5"/>
  <c r="AP88" i="5" a="1"/>
  <c r="AP88" i="5"/>
  <c r="AQ88" i="5" a="1"/>
  <c r="AQ88" i="5"/>
  <c r="AR88" i="5" a="1"/>
  <c r="AR88" i="5"/>
  <c r="AS88" i="5" a="1"/>
  <c r="AS88" i="5"/>
  <c r="AT88" i="5" a="1"/>
  <c r="AT88" i="5"/>
  <c r="AU88" i="5" a="1"/>
  <c r="AU88" i="5"/>
  <c r="AV88" i="5" a="1"/>
  <c r="AV88" i="5"/>
  <c r="AW88" i="5" a="1"/>
  <c r="AW88" i="5"/>
  <c r="AX88" i="5" a="1"/>
  <c r="AX88" i="5"/>
  <c r="AY88" i="5" a="1"/>
  <c r="AY88" i="5"/>
  <c r="AZ88" i="5" a="1"/>
  <c r="AZ88" i="5"/>
  <c r="BA88" i="5" a="1"/>
  <c r="BA88" i="5"/>
  <c r="BB88" i="5" a="1"/>
  <c r="BB88" i="5"/>
  <c r="BC88" i="5" a="1"/>
  <c r="BC88" i="5"/>
  <c r="BD88" i="5" a="1"/>
  <c r="BD88" i="5"/>
  <c r="BE88" i="5" a="1"/>
  <c r="BE88" i="5"/>
  <c r="BF88" i="5" a="1"/>
  <c r="BF88" i="5"/>
  <c r="BG88" i="5" a="1"/>
  <c r="BG88" i="5"/>
  <c r="BH88" i="5" a="1"/>
  <c r="BH88" i="5"/>
  <c r="BI88" i="5" a="1"/>
  <c r="BI88" i="5"/>
  <c r="BJ88" i="5" a="1"/>
  <c r="BJ88" i="5"/>
  <c r="BK88" i="5" a="1"/>
  <c r="BK88" i="5"/>
  <c r="BL88" i="5" a="1"/>
  <c r="BL88" i="5"/>
  <c r="BM88" i="5" a="1"/>
  <c r="BM88" i="5"/>
  <c r="BN88" i="5" a="1"/>
  <c r="BN88" i="5"/>
  <c r="BO88" i="5" a="1"/>
  <c r="BO88" i="5"/>
  <c r="BP88" i="5" a="1"/>
  <c r="BP88" i="5"/>
  <c r="BQ88" i="5" a="1"/>
  <c r="BQ88" i="5"/>
  <c r="BR88" i="5" a="1"/>
  <c r="BR88" i="5"/>
  <c r="BS88" i="5" a="1"/>
  <c r="BS88" i="5"/>
  <c r="BT88" i="5" a="1"/>
  <c r="BT88" i="5"/>
  <c r="BU88" i="5" a="1"/>
  <c r="BU88" i="5"/>
  <c r="BV88" i="5" a="1"/>
  <c r="BV88" i="5"/>
  <c r="BW88" i="5" a="1"/>
  <c r="BW88" i="5"/>
  <c r="BX88" i="5" a="1"/>
  <c r="BX88" i="5"/>
  <c r="BY88" i="5" a="1"/>
  <c r="BY88" i="5"/>
  <c r="BZ88" i="5" a="1"/>
  <c r="BZ88" i="5"/>
  <c r="CA88" i="5" a="1"/>
  <c r="CA88" i="5"/>
  <c r="CB88" i="5"/>
  <c r="CC88" i="5"/>
  <c r="CD88" i="5"/>
  <c r="CE88" i="5"/>
  <c r="C89" i="5" a="1"/>
  <c r="C89" i="5"/>
  <c r="D89" i="5" a="1"/>
  <c r="D89" i="5"/>
  <c r="E89" i="5" a="1"/>
  <c r="E89" i="5"/>
  <c r="F89" i="5" a="1"/>
  <c r="F89" i="5"/>
  <c r="G89" i="5" a="1"/>
  <c r="G89" i="5"/>
  <c r="H89" i="5" a="1"/>
  <c r="H89" i="5"/>
  <c r="I89" i="5" a="1"/>
  <c r="I89" i="5"/>
  <c r="J89" i="5" a="1"/>
  <c r="J89" i="5"/>
  <c r="K89" i="5" a="1"/>
  <c r="K89" i="5"/>
  <c r="L89" i="5" a="1"/>
  <c r="L89" i="5"/>
  <c r="M89" i="5" a="1"/>
  <c r="M89" i="5"/>
  <c r="N89" i="5" a="1"/>
  <c r="N89" i="5"/>
  <c r="O89" i="5" a="1"/>
  <c r="O89" i="5"/>
  <c r="P89" i="5" a="1"/>
  <c r="P89" i="5"/>
  <c r="Q89" i="5" a="1"/>
  <c r="Q89" i="5"/>
  <c r="R89" i="5" a="1"/>
  <c r="R89" i="5"/>
  <c r="S89" i="5" a="1"/>
  <c r="S89" i="5"/>
  <c r="T89" i="5" a="1"/>
  <c r="T89" i="5"/>
  <c r="U89" i="5" a="1"/>
  <c r="U89" i="5"/>
  <c r="V89" i="5" a="1"/>
  <c r="V89" i="5"/>
  <c r="W89" i="5" a="1"/>
  <c r="W89" i="5"/>
  <c r="X89" i="5" a="1"/>
  <c r="X89" i="5"/>
  <c r="Y89" i="5" a="1"/>
  <c r="Y89" i="5"/>
  <c r="Z89" i="5" a="1"/>
  <c r="Z89" i="5"/>
  <c r="AA89" i="5" a="1"/>
  <c r="AA89" i="5"/>
  <c r="AB89" i="5" a="1"/>
  <c r="AB89" i="5"/>
  <c r="AC89" i="5" a="1"/>
  <c r="AC89" i="5"/>
  <c r="AD89" i="5" a="1"/>
  <c r="AD89" i="5"/>
  <c r="AE89" i="5" a="1"/>
  <c r="AE89" i="5"/>
  <c r="AF89" i="5" a="1"/>
  <c r="AF89" i="5"/>
  <c r="AG89" i="5" a="1"/>
  <c r="AG89" i="5"/>
  <c r="AH89" i="5" a="1"/>
  <c r="AH89" i="5"/>
  <c r="AI89" i="5" a="1"/>
  <c r="AI89" i="5"/>
  <c r="AJ89" i="5" a="1"/>
  <c r="AJ89" i="5"/>
  <c r="AK89" i="5" a="1"/>
  <c r="AK89" i="5"/>
  <c r="AL89" i="5" a="1"/>
  <c r="AL89" i="5"/>
  <c r="AM89" i="5" a="1"/>
  <c r="AM89" i="5"/>
  <c r="AN89" i="5" a="1"/>
  <c r="AN89" i="5"/>
  <c r="AO89" i="5" a="1"/>
  <c r="AO89" i="5"/>
  <c r="AP89" i="5" a="1"/>
  <c r="AP89" i="5"/>
  <c r="AQ89" i="5" a="1"/>
  <c r="AQ89" i="5"/>
  <c r="AR89" i="5" a="1"/>
  <c r="AR89" i="5"/>
  <c r="AS89" i="5" a="1"/>
  <c r="AS89" i="5"/>
  <c r="AT89" i="5" a="1"/>
  <c r="AT89" i="5"/>
  <c r="AU89" i="5" a="1"/>
  <c r="AU89" i="5"/>
  <c r="AV89" i="5" a="1"/>
  <c r="AV89" i="5"/>
  <c r="AW89" i="5" a="1"/>
  <c r="AW89" i="5"/>
  <c r="AX89" i="5" a="1"/>
  <c r="AX89" i="5"/>
  <c r="AY89" i="5" a="1"/>
  <c r="AY89" i="5"/>
  <c r="AZ89" i="5" a="1"/>
  <c r="AZ89" i="5"/>
  <c r="BA89" i="5" a="1"/>
  <c r="BA89" i="5"/>
  <c r="BB89" i="5" a="1"/>
  <c r="BB89" i="5"/>
  <c r="BC89" i="5" a="1"/>
  <c r="BC89" i="5"/>
  <c r="BD89" i="5" a="1"/>
  <c r="BD89" i="5"/>
  <c r="BE89" i="5" a="1"/>
  <c r="BE89" i="5"/>
  <c r="BF89" i="5" a="1"/>
  <c r="BF89" i="5"/>
  <c r="BG89" i="5" a="1"/>
  <c r="BG89" i="5"/>
  <c r="BH89" i="5" a="1"/>
  <c r="BH89" i="5"/>
  <c r="BI89" i="5" a="1"/>
  <c r="BI89" i="5"/>
  <c r="BJ89" i="5" a="1"/>
  <c r="BJ89" i="5"/>
  <c r="BK89" i="5" a="1"/>
  <c r="BK89" i="5"/>
  <c r="BL89" i="5" a="1"/>
  <c r="BL89" i="5"/>
  <c r="BM89" i="5" a="1"/>
  <c r="BM89" i="5"/>
  <c r="BN89" i="5" a="1"/>
  <c r="BN89" i="5"/>
  <c r="BO89" i="5" a="1"/>
  <c r="BO89" i="5"/>
  <c r="BP89" i="5" a="1"/>
  <c r="BP89" i="5"/>
  <c r="BQ89" i="5" a="1"/>
  <c r="BQ89" i="5"/>
  <c r="BR89" i="5" a="1"/>
  <c r="BR89" i="5"/>
  <c r="BS89" i="5" a="1"/>
  <c r="BS89" i="5"/>
  <c r="BT89" i="5" a="1"/>
  <c r="BT89" i="5"/>
  <c r="BU89" i="5" a="1"/>
  <c r="BU89" i="5"/>
  <c r="BV89" i="5" a="1"/>
  <c r="BV89" i="5"/>
  <c r="BW89" i="5" a="1"/>
  <c r="BW89" i="5"/>
  <c r="BX89" i="5" a="1"/>
  <c r="BX89" i="5"/>
  <c r="BY89" i="5" a="1"/>
  <c r="BY89" i="5"/>
  <c r="BZ89" i="5" a="1"/>
  <c r="BZ89" i="5"/>
  <c r="CA89" i="5" a="1"/>
  <c r="CA89" i="5"/>
  <c r="CB89" i="5"/>
  <c r="CC89" i="5"/>
  <c r="CD89" i="5"/>
  <c r="CE89" i="5"/>
  <c r="C93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AZ93" i="5"/>
  <c r="BA93" i="5"/>
  <c r="BB93" i="5"/>
  <c r="BC93" i="5"/>
  <c r="BD93" i="5"/>
  <c r="BE93" i="5"/>
  <c r="BF93" i="5"/>
  <c r="BG93" i="5"/>
  <c r="BH93" i="5"/>
  <c r="BI93" i="5"/>
  <c r="BJ93" i="5"/>
  <c r="BK93" i="5"/>
  <c r="BL93" i="5"/>
  <c r="BM93" i="5"/>
  <c r="BN93" i="5"/>
  <c r="BO93" i="5"/>
  <c r="BP93" i="5"/>
  <c r="BQ93" i="5"/>
  <c r="BR93" i="5"/>
  <c r="BS93" i="5"/>
  <c r="BT93" i="5"/>
  <c r="BU93" i="5"/>
  <c r="BV93" i="5"/>
  <c r="BW93" i="5"/>
  <c r="BX93" i="5"/>
  <c r="BY93" i="5"/>
  <c r="BZ93" i="5"/>
  <c r="CA93" i="5"/>
  <c r="CB93" i="5"/>
  <c r="CC93" i="5"/>
  <c r="CD93" i="5"/>
  <c r="CE93" i="5"/>
  <c r="C95" i="5"/>
  <c r="D95" i="5"/>
  <c r="E95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<sst xmlns="http://schemas.openxmlformats.org/spreadsheetml/2006/main" count="684" uniqueCount="210">
  <si>
    <t>Produkty rolnictwa i łowiectwa</t>
  </si>
  <si>
    <t>Produkty gospodarki leśnej</t>
  </si>
  <si>
    <t>Ryby i pozostałe produkty rybactwa</t>
  </si>
  <si>
    <t>Węgiel kamienny i brunatny</t>
  </si>
  <si>
    <t>Ropa naftowa i gaz ziemny, rudy metali, produkty górnictwa pozostałe</t>
  </si>
  <si>
    <t>Artykuły spożywcze</t>
  </si>
  <si>
    <t>Napoje</t>
  </si>
  <si>
    <t>Wyroby tytoniowe</t>
  </si>
  <si>
    <t>Wyroby tekstylne</t>
  </si>
  <si>
    <t>Odzież</t>
  </si>
  <si>
    <t>Skóry i wyroby ze skór wyprawionych</t>
  </si>
  <si>
    <t>Drewno i wyroby z drewna</t>
  </si>
  <si>
    <t>Papier i wyroby z papieru</t>
  </si>
  <si>
    <t>Usługi poligraficzne i reprodukcyjne</t>
  </si>
  <si>
    <t>Koks, produkty rafinacji ropy naftowej</t>
  </si>
  <si>
    <t>Chemikalia, wyroby chemiczne</t>
  </si>
  <si>
    <t>Leki i wyroby farmaceut.</t>
  </si>
  <si>
    <t>Wyroby z gumy i tworzyw sztucznych</t>
  </si>
  <si>
    <t>Wyroby z pozost. surowców niemetalicznych</t>
  </si>
  <si>
    <t>Metale</t>
  </si>
  <si>
    <t>Wyroby metalowe gotowe</t>
  </si>
  <si>
    <t>Komputery, wyroby elektroniczne i optyczne</t>
  </si>
  <si>
    <t>Urządzenia elektr. i nieelektr., sprz. gosp. dom.</t>
  </si>
  <si>
    <t>Maszyny i urządzenia gdzie indziej niesklas.</t>
  </si>
  <si>
    <t>Pojazdy samochodowe, przyczepy i naczepy</t>
  </si>
  <si>
    <t>Pozostały sprzęt transportowy</t>
  </si>
  <si>
    <t>Meble</t>
  </si>
  <si>
    <t>Pozostałe wyroby</t>
  </si>
  <si>
    <t>Usł. naprawy, konserw. i instal. maszyn i urz.</t>
  </si>
  <si>
    <t>Energia elektrycz., gaz, para wodna i gorąca woda</t>
  </si>
  <si>
    <t>Woda; usł. zw. z uzdatn. i dostarczaniem wody</t>
  </si>
  <si>
    <t>Usł. związ. z odpadami; odzysk surowców</t>
  </si>
  <si>
    <t>Usługi związane ze ściekami; osady; usługi związane z rekultywacją</t>
  </si>
  <si>
    <t>Obiekty budowlane i roboty budowlane</t>
  </si>
  <si>
    <t>Sprzedaż pojazdów samochod.; napr. pojazdów</t>
  </si>
  <si>
    <t>Handel hurtowy</t>
  </si>
  <si>
    <t>Handel detaliczny</t>
  </si>
  <si>
    <t>Transport lądowy i rurociągowy</t>
  </si>
  <si>
    <t>Transport wodny i lotniczy</t>
  </si>
  <si>
    <t>Magazynowanie; usługi pocztowe i kurierskie</t>
  </si>
  <si>
    <t>Usługi związane z zakwaterowaniem</t>
  </si>
  <si>
    <t>Usługi związane z wyżywieniem</t>
  </si>
  <si>
    <t>Usługi związane z działalnością wydawniczą</t>
  </si>
  <si>
    <t>Usługi zw. z prod. filmów, progr. telew., nagrań</t>
  </si>
  <si>
    <t>Usługi zw. z nadawaniem programów</t>
  </si>
  <si>
    <t>Usługi telekomunikacyjne</t>
  </si>
  <si>
    <t>Usł. zw. z oprogr. i doradztwem w zakr. informatyki</t>
  </si>
  <si>
    <t>Usługi w zakresie informacji</t>
  </si>
  <si>
    <t>Usługi finansowe</t>
  </si>
  <si>
    <t>Usługi ubezpieczeniowe</t>
  </si>
  <si>
    <t>Usługi wspomagające usł. finansowe i ubezp.</t>
  </si>
  <si>
    <t>Usługi zw. z obsługą rynku nieruchomości</t>
  </si>
  <si>
    <t>Usługi prawne i rachunkowo-księgowe</t>
  </si>
  <si>
    <t>Usługi doradztwa w zarządzaniu</t>
  </si>
  <si>
    <t>Usł. architekt. i inżyn.; usł. badań i analiz techn.</t>
  </si>
  <si>
    <t>Usługi w zakresie badań nauk. i prac rozwojow.</t>
  </si>
  <si>
    <t>Usł. reklamowe; usł. badania rynku i opinii publ.</t>
  </si>
  <si>
    <t>Pozostałe usł. profesjon., naukowe i techniczne</t>
  </si>
  <si>
    <t>Usługi weterynaryjne</t>
  </si>
  <si>
    <t>Wynajem i dzierżawa</t>
  </si>
  <si>
    <t>Usługi związane z zatrudnieniem</t>
  </si>
  <si>
    <t>Usługi organizatorów turystyki</t>
  </si>
  <si>
    <t>Usługi detektywistyczne i ochroniarskie</t>
  </si>
  <si>
    <t>Usługi zw. z utrzymaniem porządku w obiektach</t>
  </si>
  <si>
    <t>Usł. zw. z administracyjną obsługą biura</t>
  </si>
  <si>
    <t>Usługi administracji publicznej</t>
  </si>
  <si>
    <t>Usługi w zakresie edukacji</t>
  </si>
  <si>
    <t>Usługi w zakresie opieki zdrowotnej</t>
  </si>
  <si>
    <t>Usługi pomocy społecznej</t>
  </si>
  <si>
    <t>Usługi kulturalne i rozrywkowe</t>
  </si>
  <si>
    <t>Usługi bibliotek, archiwów i muzeów</t>
  </si>
  <si>
    <t>Usługi związane z grami i zakładami wzajemn.</t>
  </si>
  <si>
    <t>Usługi związane ze sportem, rozryw. i rekr.</t>
  </si>
  <si>
    <t>Usługi organizacji członkow-skich</t>
  </si>
  <si>
    <t>Usł. napraw i konserw. komp. i art. użytku dom.</t>
  </si>
  <si>
    <t>Pozostałe usługi indywidualne</t>
  </si>
  <si>
    <t>Usługi świadczone przez gospodarstwa domowe</t>
  </si>
  <si>
    <t xml:space="preserve">razem 
</t>
  </si>
  <si>
    <t>-</t>
  </si>
  <si>
    <t>Konsumpcja gospodarstw domowych</t>
  </si>
  <si>
    <t>Wydatki rządowe i samorządowe</t>
  </si>
  <si>
    <t>Inwestycje</t>
  </si>
  <si>
    <t>Eksport</t>
  </si>
  <si>
    <t>Wartość globalna</t>
  </si>
  <si>
    <r>
      <t>x</t>
    </r>
    <r>
      <rPr>
        <vertAlign val="subscript"/>
        <sz val="14"/>
        <color theme="1"/>
        <rFont val="Times New Roman"/>
        <family val="1"/>
        <charset val="238"/>
      </rPr>
      <t>ij</t>
    </r>
  </si>
  <si>
    <r>
      <t>Y</t>
    </r>
    <r>
      <rPr>
        <vertAlign val="superscript"/>
        <sz val="14"/>
        <rFont val="Times New Roman"/>
        <family val="1"/>
        <charset val="238"/>
      </rPr>
      <t>k</t>
    </r>
    <r>
      <rPr>
        <vertAlign val="subscript"/>
        <sz val="14"/>
        <rFont val="Times New Roman"/>
        <family val="1"/>
        <charset val="238"/>
      </rPr>
      <t>i</t>
    </r>
  </si>
  <si>
    <t>Produkty razem</t>
  </si>
  <si>
    <r>
      <t>x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</si>
  <si>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t>Y</t>
    </r>
    <r>
      <rPr>
        <vertAlign val="superscript"/>
        <sz val="14"/>
        <rFont val="Times New Roman"/>
        <family val="1"/>
        <charset val="238"/>
      </rPr>
      <t>k</t>
    </r>
  </si>
  <si>
    <t>Wykorzystanie produktów pochodzących z importu, cif</t>
  </si>
  <si>
    <r>
      <t>x</t>
    </r>
    <r>
      <rPr>
        <vertAlign val="superscript"/>
        <sz val="14"/>
        <color theme="1"/>
        <rFont val="Times New Roman"/>
        <family val="1"/>
        <charset val="238"/>
      </rPr>
      <t>M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</si>
  <si>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t>Y</t>
    </r>
    <r>
      <rPr>
        <vertAlign val="superscript"/>
        <sz val="14"/>
        <rFont val="Times New Roman"/>
        <family val="1"/>
        <charset val="238"/>
      </rPr>
      <t>kM</t>
    </r>
  </si>
  <si>
    <t>Zysk</t>
  </si>
  <si>
    <r>
      <t>Z</t>
    </r>
    <r>
      <rPr>
        <vertAlign val="subscript"/>
        <sz val="14"/>
        <color theme="1"/>
        <rFont val="Times New Roman"/>
        <family val="1"/>
        <charset val="238"/>
      </rPr>
      <t>j</t>
    </r>
  </si>
  <si>
    <t>Koszty związane z zatrudnieniem</t>
  </si>
  <si>
    <r>
      <t>V</t>
    </r>
    <r>
      <rPr>
        <vertAlign val="subscript"/>
        <sz val="14"/>
        <color theme="1"/>
        <rFont val="Times New Roman"/>
        <family val="1"/>
        <charset val="238"/>
      </rPr>
      <t>j</t>
    </r>
  </si>
  <si>
    <t>Wartość dodana brutto w cenach bazowych</t>
  </si>
  <si>
    <t>Produkcja globalna ogółem w cenach bazowych</t>
  </si>
  <si>
    <r>
      <t>X</t>
    </r>
    <r>
      <rPr>
        <vertAlign val="subscript"/>
        <sz val="14"/>
        <color theme="1"/>
        <rFont val="Times New Roman"/>
        <family val="1"/>
        <charset val="238"/>
      </rPr>
      <t>j</t>
    </r>
    <r>
      <rPr>
        <sz val="14"/>
        <color theme="1"/>
        <rFont val="Times New Roman"/>
        <family val="1"/>
        <charset val="238"/>
      </rPr>
      <t xml:space="preserve"> </t>
    </r>
  </si>
  <si>
    <r>
      <t>X</t>
    </r>
    <r>
      <rPr>
        <vertAlign val="subscript"/>
        <sz val="14"/>
        <color theme="1"/>
        <rFont val="Times New Roman"/>
        <family val="1"/>
        <charset val="238"/>
      </rPr>
      <t>j</t>
    </r>
    <r>
      <rPr>
        <sz val="14"/>
        <color theme="1"/>
        <rFont val="Times New Roman"/>
        <family val="1"/>
        <charset val="238"/>
      </rPr>
      <t xml:space="preserve"> = Σx</t>
    </r>
    <r>
      <rPr>
        <vertAlign val="subscript"/>
        <sz val="14"/>
        <color theme="1"/>
        <rFont val="Times New Roman"/>
        <family val="1"/>
        <charset val="238"/>
      </rPr>
      <t xml:space="preserve">ij </t>
    </r>
    <r>
      <rPr>
        <sz val="14"/>
        <color theme="1"/>
        <rFont val="Times New Roman"/>
        <family val="1"/>
        <charset val="238"/>
      </rPr>
      <t>+ Σx</t>
    </r>
    <r>
      <rPr>
        <vertAlign val="superscript"/>
        <sz val="14"/>
        <color theme="1"/>
        <rFont val="Times New Roman"/>
        <family val="1"/>
        <charset val="238"/>
      </rPr>
      <t>M</t>
    </r>
    <r>
      <rPr>
        <vertAlign val="subscript"/>
        <sz val="14"/>
        <color theme="1"/>
        <rFont val="Times New Roman"/>
        <family val="1"/>
        <charset val="238"/>
      </rPr>
      <t>ij</t>
    </r>
    <r>
      <rPr>
        <sz val="14"/>
        <color theme="1"/>
        <rFont val="Times New Roman"/>
        <family val="1"/>
        <charset val="238"/>
      </rPr>
      <t xml:space="preserve"> + Z</t>
    </r>
    <r>
      <rPr>
        <vertAlign val="subscript"/>
        <sz val="14"/>
        <color theme="1"/>
        <rFont val="Times New Roman"/>
        <family val="1"/>
        <charset val="238"/>
      </rPr>
      <t xml:space="preserve">j </t>
    </r>
    <r>
      <rPr>
        <sz val="14"/>
        <color theme="1"/>
        <rFont val="Times New Roman"/>
        <family val="1"/>
        <charset val="238"/>
      </rPr>
      <t>+ V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</si>
  <si>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t>x</t>
    </r>
    <r>
      <rPr>
        <vertAlign val="superscript"/>
        <sz val="14"/>
        <color theme="1"/>
        <rFont val="Times New Roman"/>
        <family val="1"/>
        <charset val="238"/>
      </rPr>
      <t>M</t>
    </r>
    <r>
      <rPr>
        <vertAlign val="subscript"/>
        <sz val="14"/>
        <color theme="1"/>
        <rFont val="Times New Roman"/>
        <family val="1"/>
        <charset val="238"/>
      </rPr>
      <t>ij</t>
    </r>
  </si>
  <si>
    <r>
      <t>Y</t>
    </r>
    <r>
      <rPr>
        <vertAlign val="superscript"/>
        <sz val="14"/>
        <rFont val="Times New Roman"/>
        <family val="1"/>
        <charset val="238"/>
      </rPr>
      <t>kM</t>
    </r>
    <r>
      <rPr>
        <vertAlign val="subscript"/>
        <sz val="14"/>
        <rFont val="Times New Roman"/>
        <family val="1"/>
        <charset val="238"/>
      </rPr>
      <t>i</t>
    </r>
  </si>
  <si>
    <t xml:space="preserve">Pozostałe usługi indywidualne </t>
  </si>
  <si>
    <r>
      <t>a</t>
    </r>
    <r>
      <rPr>
        <vertAlign val="subscript"/>
        <sz val="14"/>
        <color theme="1"/>
        <rFont val="Times New Roman"/>
        <family val="1"/>
        <charset val="238"/>
      </rPr>
      <t>ij</t>
    </r>
  </si>
  <si>
    <r>
      <t>b</t>
    </r>
    <r>
      <rPr>
        <vertAlign val="superscript"/>
        <sz val="14"/>
        <color theme="1"/>
        <rFont val="Times New Roman"/>
        <family val="1"/>
        <charset val="238"/>
      </rPr>
      <t>k</t>
    </r>
    <r>
      <rPr>
        <vertAlign val="subscript"/>
        <sz val="14"/>
        <color theme="1"/>
        <rFont val="Times New Roman"/>
        <family val="1"/>
        <charset val="238"/>
      </rPr>
      <t>ij</t>
    </r>
  </si>
  <si>
    <r>
      <t>a</t>
    </r>
    <r>
      <rPr>
        <vertAlign val="superscript"/>
        <sz val="14"/>
        <color theme="1"/>
        <rFont val="Times New Roman"/>
        <family val="1"/>
        <charset val="238"/>
      </rPr>
      <t>M</t>
    </r>
    <r>
      <rPr>
        <vertAlign val="subscript"/>
        <sz val="14"/>
        <color theme="1"/>
        <rFont val="Times New Roman"/>
        <family val="1"/>
        <charset val="238"/>
      </rPr>
      <t>ij</t>
    </r>
  </si>
  <si>
    <r>
      <t>b</t>
    </r>
    <r>
      <rPr>
        <vertAlign val="superscript"/>
        <sz val="14"/>
        <color theme="1"/>
        <rFont val="Times New Roman"/>
        <family val="1"/>
        <charset val="238"/>
      </rPr>
      <t>kM</t>
    </r>
    <r>
      <rPr>
        <vertAlign val="subscript"/>
        <sz val="14"/>
        <color theme="1"/>
        <rFont val="Times New Roman"/>
        <family val="1"/>
        <charset val="238"/>
      </rPr>
      <t>ij</t>
    </r>
  </si>
  <si>
    <r>
      <t>z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</si>
  <si>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t>v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</si>
  <si>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rPr>
        <sz val="16"/>
        <color theme="1"/>
        <rFont val="Times New Roman"/>
        <family val="1"/>
        <charset val="238"/>
      </rPr>
      <t>Σa</t>
    </r>
    <r>
      <rPr>
        <vertAlign val="subscript"/>
        <sz val="14"/>
        <color theme="1"/>
        <rFont val="Times New Roman"/>
        <family val="1"/>
        <charset val="238"/>
      </rPr>
      <t xml:space="preserve">ij </t>
    </r>
    <r>
      <rPr>
        <sz val="14"/>
        <color theme="1"/>
        <rFont val="Times New Roman"/>
        <family val="1"/>
        <charset val="238"/>
      </rPr>
      <t xml:space="preserve">+ </t>
    </r>
    <r>
      <rPr>
        <sz val="16"/>
        <color theme="1"/>
        <rFont val="Times New Roman"/>
        <family val="1"/>
        <charset val="238"/>
      </rPr>
      <t>Σa</t>
    </r>
    <r>
      <rPr>
        <vertAlign val="superscript"/>
        <sz val="14"/>
        <color theme="1"/>
        <rFont val="Times New Roman"/>
        <family val="1"/>
        <charset val="238"/>
      </rPr>
      <t>M</t>
    </r>
    <r>
      <rPr>
        <vertAlign val="subscript"/>
        <sz val="14"/>
        <color theme="1"/>
        <rFont val="Times New Roman"/>
        <family val="1"/>
        <charset val="238"/>
      </rPr>
      <t>ij</t>
    </r>
    <r>
      <rPr>
        <sz val="14"/>
        <color theme="1"/>
        <rFont val="Times New Roman"/>
        <family val="1"/>
        <charset val="238"/>
      </rPr>
      <t xml:space="preserve"> + z</t>
    </r>
    <r>
      <rPr>
        <vertAlign val="subscript"/>
        <sz val="14"/>
        <color theme="1"/>
        <rFont val="Times New Roman"/>
        <family val="1"/>
        <charset val="238"/>
      </rPr>
      <t xml:space="preserve">j </t>
    </r>
    <r>
      <rPr>
        <sz val="14"/>
        <color theme="1"/>
        <rFont val="Times New Roman"/>
        <family val="1"/>
        <charset val="238"/>
      </rPr>
      <t>+ v</t>
    </r>
    <r>
      <rPr>
        <vertAlign val="subscript"/>
        <sz val="14"/>
        <color theme="1"/>
        <rFont val="Times New Roman"/>
        <family val="1"/>
        <charset val="238"/>
      </rPr>
      <t>j</t>
    </r>
    <r>
      <rPr>
        <sz val="14"/>
        <color theme="1"/>
        <rFont val="Times New Roman"/>
        <family val="1"/>
        <charset val="238"/>
      </rPr>
      <t xml:space="preserve"> = 1</t>
    </r>
  </si>
  <si>
    <r>
      <rPr>
        <sz val="16"/>
        <color theme="1"/>
        <rFont val="Times New Roman"/>
        <family val="1"/>
        <charset val="238"/>
      </rPr>
      <t>Σb</t>
    </r>
    <r>
      <rPr>
        <vertAlign val="superscript"/>
        <sz val="16"/>
        <color theme="1"/>
        <rFont val="Times New Roman"/>
        <family val="1"/>
        <charset val="238"/>
      </rPr>
      <t>k</t>
    </r>
    <r>
      <rPr>
        <vertAlign val="subscript"/>
        <sz val="14"/>
        <color theme="1"/>
        <rFont val="Times New Roman"/>
        <family val="1"/>
        <charset val="238"/>
      </rPr>
      <t xml:space="preserve">i </t>
    </r>
    <r>
      <rPr>
        <sz val="14"/>
        <color theme="1"/>
        <rFont val="Times New Roman"/>
        <family val="1"/>
        <charset val="238"/>
      </rPr>
      <t xml:space="preserve">+ </t>
    </r>
    <r>
      <rPr>
        <sz val="16"/>
        <color theme="1"/>
        <rFont val="Times New Roman"/>
        <family val="1"/>
        <charset val="238"/>
      </rPr>
      <t>Σb</t>
    </r>
    <r>
      <rPr>
        <vertAlign val="superscript"/>
        <sz val="16"/>
        <color theme="1"/>
        <rFont val="Times New Roman"/>
        <family val="1"/>
        <charset val="238"/>
      </rPr>
      <t>k</t>
    </r>
    <r>
      <rPr>
        <vertAlign val="superscript"/>
        <sz val="14"/>
        <color theme="1"/>
        <rFont val="Times New Roman"/>
        <family val="1"/>
        <charset val="238"/>
      </rPr>
      <t>M</t>
    </r>
    <r>
      <rPr>
        <vertAlign val="subscript"/>
        <sz val="14"/>
        <color theme="1"/>
        <rFont val="Times New Roman"/>
        <family val="1"/>
        <charset val="238"/>
      </rPr>
      <t>i</t>
    </r>
    <r>
      <rPr>
        <sz val="14"/>
        <color theme="1"/>
        <rFont val="Times New Roman"/>
        <family val="1"/>
        <charset val="238"/>
      </rPr>
      <t xml:space="preserve"> = 1</t>
    </r>
  </si>
  <si>
    <t>Produkty rolnictwa i łowiectwa ( 01 )</t>
  </si>
  <si>
    <t>Produkty gospodarki leśnej ( 02 )</t>
  </si>
  <si>
    <t>Ryby i pozostałe produkty rybactwa ( 03 )</t>
  </si>
  <si>
    <t>Węgiel kamienny i brunatny ( 05 )</t>
  </si>
  <si>
    <t>Ropa naftowa i gaz ziemny, rudy metali, produkty górnictwa pozostałe (06-09)</t>
  </si>
  <si>
    <t>Artykuły spożywcze ( 10 )</t>
  </si>
  <si>
    <t>Napoje ( 11 )</t>
  </si>
  <si>
    <t>Wyroby tytoniowe ( 12 )</t>
  </si>
  <si>
    <t>Wyroby tekstylne ( 13 )</t>
  </si>
  <si>
    <t>Odzież ( 14 )</t>
  </si>
  <si>
    <t>Skóry i wyroby ze skór wyprawionych ( 15 )</t>
  </si>
  <si>
    <t>Drewno i wyroby z drewna ( 16 )</t>
  </si>
  <si>
    <t>Papier i wyroby z papieru ( 17 )</t>
  </si>
  <si>
    <t>Usługi poligraficzne i reprodukcyjne ( 18 )</t>
  </si>
  <si>
    <t>Koks, produkty rafinacji ropy naftowej ( 19 )</t>
  </si>
  <si>
    <t>Chemikalia, wyroby chemiczne ( 20 )</t>
  </si>
  <si>
    <t>Leki i wyroby farmaceut. ( 21 )</t>
  </si>
  <si>
    <t>Wyroby z gumy i tworzyw sztucznych ( 22 )</t>
  </si>
  <si>
    <t>Wyroby z pozost. surowców niemetalicznych ( 23 )</t>
  </si>
  <si>
    <t>Metale ( 24 )</t>
  </si>
  <si>
    <t>Wyroby metalowe gotowe ( 25 )</t>
  </si>
  <si>
    <t>Komputery, wyroby elektroniczne i optyczne ( 26 )</t>
  </si>
  <si>
    <t>Urządzenia elektr. i nieelektr., sprz. gosp. dom. ( 27 )</t>
  </si>
  <si>
    <t>Maszyny i urządzenia gdzie indziej niesklas. ( 28 )</t>
  </si>
  <si>
    <t>Pojazdy samochodowe, przyczepy i naczepy ( 29 )</t>
  </si>
  <si>
    <t>Pozostały sprzęt transportowy ( 30 )</t>
  </si>
  <si>
    <t>Meble ( 31 )</t>
  </si>
  <si>
    <t>Pozostałe wyroby ( 32 )</t>
  </si>
  <si>
    <t>Usł. naprawy, konserw. i instal. maszyn i urz. ( 33 )</t>
  </si>
  <si>
    <t>Energia elektrycz., gaz, para wodna i gorąca woda ( 35 )</t>
  </si>
  <si>
    <t>Woda; usł. zw. z uzdatn. i dostarczaniem wody ( 36 )</t>
  </si>
  <si>
    <t>Usł. związ. z odpadami; odzysk surowców ( 38 )</t>
  </si>
  <si>
    <t>Usługi związane ze ściekami; osady; usługi związane z rekultywacją (37,39)</t>
  </si>
  <si>
    <t>Obiekty budowlane i roboty budowlane (41-43)</t>
  </si>
  <si>
    <t>Sprzedaż pojazdów samochod.; napr. pojazdów ( 45 )</t>
  </si>
  <si>
    <t>Handel hurtowy ( 46 )</t>
  </si>
  <si>
    <t>Handel detaliczny ( 47 )</t>
  </si>
  <si>
    <t>Transport lądowy i rurociągowy ( 49 )</t>
  </si>
  <si>
    <t>Transport wodny i lotniczy (50-51)</t>
  </si>
  <si>
    <t>Magazynowanie; usługi pocztowe i kurierskie (52-53)</t>
  </si>
  <si>
    <t>Usługi związane z zakwaterowaniem ( 55 )</t>
  </si>
  <si>
    <t>Usługi związane z wyżywieniem ( 56 )</t>
  </si>
  <si>
    <t>Usługi związane z działalnością wydawniczą ( 58 )</t>
  </si>
  <si>
    <t>Usługi zw. z prod. filmów, progr. telew., nagrań ( 59 )</t>
  </si>
  <si>
    <t>Usługi zw. z nadawaniem programów ( 60 )</t>
  </si>
  <si>
    <t>Usługi telekomunikacyjne ( 61 )</t>
  </si>
  <si>
    <t>Usł. zw. z oprogr. i doradztwem w zakr. informatyki ( 62 )</t>
  </si>
  <si>
    <t>Usługi w zakresie informacji ( 63 )</t>
  </si>
  <si>
    <t>Usługi finansowe ( 64 )</t>
  </si>
  <si>
    <t>Usługi ubezpieczeniowe ( 65 )</t>
  </si>
  <si>
    <t>Usługi wspomagające usł. finansowe i ubezp. ( 66 )</t>
  </si>
  <si>
    <t>Usługi zw. z obsługą rynku nieruchomości ( 68 )</t>
  </si>
  <si>
    <t>Usługi prawne i rachunkowo-księgowe ( 69 )</t>
  </si>
  <si>
    <t>Usługi doradztwa w zarządzaniu ( 70 )</t>
  </si>
  <si>
    <t>Usł. architekt. i inżyn.; usł. badań i analiz techn. ( 71 )</t>
  </si>
  <si>
    <t>Usługi w zakresie badań nauk. i prac rozwojow. ( 72 )</t>
  </si>
  <si>
    <t>Usł. reklamowe; usł. badania rynku i opinii publ. ( 73 )</t>
  </si>
  <si>
    <t>Pozostałe usł. profesjon., naukowe i techniczne ( 74 )</t>
  </si>
  <si>
    <t>Usługi weterynaryjne ( 75 )</t>
  </si>
  <si>
    <t>Wynajem i dzierżawa ( 77 )</t>
  </si>
  <si>
    <t>Usługi związane z zatrudnieniem ( 78 )</t>
  </si>
  <si>
    <t>Usługi organizatorów turystyki ( 79 )</t>
  </si>
  <si>
    <t>Usługi detektywistyczne i ochroniarskie ( 80 )</t>
  </si>
  <si>
    <t>Usługi zw. z utrzymaniem porządku w obiektach ( 81 )</t>
  </si>
  <si>
    <t>Usł. zw. z administracyjną obsługą biura ( 82 )</t>
  </si>
  <si>
    <t>Usługi administracji publicznej ( 84 )</t>
  </si>
  <si>
    <t>Usługi w zakresie edukacji ( 85 )</t>
  </si>
  <si>
    <t>Usługi w zakresie opieki zdrowotnej ( 86 )</t>
  </si>
  <si>
    <t>Usługi pomocy społecznej (87-88)</t>
  </si>
  <si>
    <t>Usługi kulturalne i rozrywkowe ( 90 )</t>
  </si>
  <si>
    <t>Usługi bibliotek, archiwów i muzeów ( 91 )</t>
  </si>
  <si>
    <t>Usługi związane z grami i zakładami wzajemn. ( 92 )</t>
  </si>
  <si>
    <t>Usługi związane ze sportem, rozryw. i rekr. ( 93 )</t>
  </si>
  <si>
    <t>Usługi organizacji członkow-skich ( 94 )</t>
  </si>
  <si>
    <t>Usł. napraw i konserw. komp. i art. użytku dom. ( 95 )</t>
  </si>
  <si>
    <t>Pozostałe usługi indywidualne ( 96 )</t>
  </si>
  <si>
    <t>Usługi świadczone przez gospodarstwa domowe (97-98)</t>
  </si>
  <si>
    <r>
      <t>p</t>
    </r>
    <r>
      <rPr>
        <vertAlign val="superscript"/>
        <sz val="14"/>
        <color theme="1"/>
        <rFont val="Times New Roman"/>
        <family val="1"/>
        <charset val="238"/>
      </rPr>
      <t>M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</si>
  <si>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t>Δ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</si>
  <si>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t>p</t>
    </r>
    <r>
      <rPr>
        <vertAlign val="superscript"/>
        <sz val="14"/>
        <color theme="1"/>
        <rFont val="Times New Roman"/>
        <family val="1"/>
        <charset val="238"/>
      </rPr>
      <t>0</t>
    </r>
    <r>
      <rPr>
        <vertAlign val="subscript"/>
        <sz val="14"/>
        <color theme="1"/>
        <rFont val="Times New Roman"/>
        <family val="1"/>
        <charset val="238"/>
      </rPr>
      <t>kons</t>
    </r>
  </si>
  <si>
    <r>
      <t>p</t>
    </r>
    <r>
      <rPr>
        <vertAlign val="superscript"/>
        <sz val="14"/>
        <color theme="1"/>
        <rFont val="Times New Roman"/>
        <family val="1"/>
        <charset val="238"/>
      </rPr>
      <t>0</t>
    </r>
    <r>
      <rPr>
        <vertAlign val="subscript"/>
        <sz val="14"/>
        <color theme="1"/>
        <rFont val="Times New Roman"/>
        <family val="1"/>
        <charset val="238"/>
      </rPr>
      <t>rząd</t>
    </r>
  </si>
  <si>
    <r>
      <t>p</t>
    </r>
    <r>
      <rPr>
        <vertAlign val="superscript"/>
        <sz val="14"/>
        <color theme="1"/>
        <rFont val="Times New Roman"/>
        <family val="1"/>
        <charset val="238"/>
      </rPr>
      <t>0</t>
    </r>
    <r>
      <rPr>
        <vertAlign val="subscript"/>
        <sz val="14"/>
        <color theme="1"/>
        <rFont val="Times New Roman"/>
        <family val="1"/>
        <charset val="238"/>
      </rPr>
      <t>inwest</t>
    </r>
  </si>
  <si>
    <r>
      <t>p</t>
    </r>
    <r>
      <rPr>
        <vertAlign val="superscript"/>
        <sz val="14"/>
        <color theme="1"/>
        <rFont val="Times New Roman"/>
        <family val="1"/>
        <charset val="238"/>
      </rPr>
      <t>0</t>
    </r>
    <r>
      <rPr>
        <vertAlign val="subscript"/>
        <sz val="14"/>
        <color theme="1"/>
        <rFont val="Times New Roman"/>
        <family val="1"/>
        <charset val="238"/>
      </rPr>
      <t>eksport</t>
    </r>
  </si>
  <si>
    <r>
      <t>p</t>
    </r>
    <r>
      <rPr>
        <vertAlign val="superscript"/>
        <sz val="14"/>
        <color theme="1"/>
        <rFont val="Times New Roman"/>
        <family val="1"/>
        <charset val="238"/>
      </rPr>
      <t>0M</t>
    </r>
    <r>
      <rPr>
        <vertAlign val="subscript"/>
        <sz val="14"/>
        <color theme="1"/>
        <rFont val="Times New Roman"/>
        <family val="1"/>
        <charset val="238"/>
      </rPr>
      <t>j</t>
    </r>
    <r>
      <rPr>
        <sz val="14"/>
        <color theme="1"/>
        <rFont val="Times New Roman"/>
        <family val="1"/>
        <charset val="238"/>
      </rPr>
      <t xml:space="preserve"> </t>
    </r>
  </si>
  <si>
    <r>
      <t>p</t>
    </r>
    <r>
      <rPr>
        <vertAlign val="superscript"/>
        <sz val="14"/>
        <color theme="1"/>
        <rFont val="Times New Roman"/>
        <family val="1"/>
        <charset val="238"/>
      </rPr>
      <t>0</t>
    </r>
    <r>
      <rPr>
        <vertAlign val="subscript"/>
        <sz val="14"/>
        <color theme="1"/>
        <rFont val="Times New Roman"/>
        <family val="1"/>
        <charset val="238"/>
      </rPr>
      <t>i</t>
    </r>
  </si>
  <si>
    <r>
      <t>z</t>
    </r>
    <r>
      <rPr>
        <vertAlign val="superscript"/>
        <sz val="14"/>
        <color theme="1"/>
        <rFont val="Times New Roman"/>
        <family val="1"/>
        <charset val="238"/>
      </rPr>
      <t>0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</si>
  <si>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t>d</t>
    </r>
    <r>
      <rPr>
        <vertAlign val="subscript"/>
        <sz val="14"/>
        <color theme="1"/>
        <rFont val="Times New Roman"/>
        <family val="1"/>
        <charset val="238"/>
      </rPr>
      <t>j</t>
    </r>
  </si>
  <si>
    <r>
      <t>km</t>
    </r>
    <r>
      <rPr>
        <vertAlign val="subscript"/>
        <sz val="14"/>
        <color theme="1"/>
        <rFont val="Times New Roman"/>
        <family val="1"/>
        <charset val="238"/>
      </rPr>
      <t>ij</t>
    </r>
  </si>
  <si>
    <r>
      <t>Σ</t>
    </r>
    <r>
      <rPr>
        <sz val="12"/>
        <rFont val="Times New Roman"/>
        <family val="1"/>
        <charset val="238"/>
      </rPr>
      <t>km</t>
    </r>
    <r>
      <rPr>
        <vertAlign val="superscript"/>
        <sz val="12"/>
        <rFont val="Times New Roman"/>
        <family val="1"/>
        <charset val="238"/>
      </rPr>
      <t>0</t>
    </r>
    <r>
      <rPr>
        <vertAlign val="subscript"/>
        <sz val="12"/>
        <rFont val="Times New Roman"/>
        <family val="1"/>
        <charset val="238"/>
      </rPr>
      <t>j</t>
    </r>
  </si>
  <si>
    <r>
      <t>p</t>
    </r>
    <r>
      <rPr>
        <vertAlign val="subscript"/>
        <sz val="14"/>
        <color theme="1"/>
        <rFont val="Times New Roman"/>
        <family val="1"/>
        <charset val="238"/>
      </rPr>
      <t>kons</t>
    </r>
  </si>
  <si>
    <r>
      <t>p</t>
    </r>
    <r>
      <rPr>
        <vertAlign val="subscript"/>
        <sz val="14"/>
        <color theme="1"/>
        <rFont val="Times New Roman"/>
        <family val="1"/>
        <charset val="238"/>
      </rPr>
      <t>rząd</t>
    </r>
  </si>
  <si>
    <r>
      <t>p</t>
    </r>
    <r>
      <rPr>
        <vertAlign val="subscript"/>
        <sz val="14"/>
        <color theme="1"/>
        <rFont val="Times New Roman"/>
        <family val="1"/>
        <charset val="238"/>
      </rPr>
      <t>inwest</t>
    </r>
  </si>
  <si>
    <r>
      <t>p</t>
    </r>
    <r>
      <rPr>
        <vertAlign val="subscript"/>
        <sz val="14"/>
        <color theme="1"/>
        <rFont val="Times New Roman"/>
        <family val="1"/>
        <charset val="238"/>
      </rPr>
      <t>eksport</t>
    </r>
  </si>
  <si>
    <r>
      <t>p</t>
    </r>
    <r>
      <rPr>
        <vertAlign val="subscript"/>
        <sz val="14"/>
        <color theme="1"/>
        <rFont val="Times New Roman"/>
        <family val="1"/>
        <charset val="238"/>
      </rPr>
      <t>j</t>
    </r>
  </si>
  <si>
    <t>Tempo zmian cen produkcji i odbiorców finalnych</t>
  </si>
  <si>
    <t>Autorem projektu jest Przemysław Szymczak EKAD II</t>
  </si>
  <si>
    <t>Sektor:</t>
  </si>
  <si>
    <r>
      <t>p</t>
    </r>
    <r>
      <rPr>
        <vertAlign val="superscript"/>
        <sz val="14"/>
        <color theme="1"/>
        <rFont val="Times New Roman"/>
        <family val="1"/>
        <charset val="238"/>
      </rPr>
      <t>M</t>
    </r>
    <r>
      <rPr>
        <vertAlign val="subscript"/>
        <sz val="14"/>
        <color theme="1"/>
        <rFont val="Times New Roman"/>
        <family val="1"/>
        <charset val="238"/>
      </rPr>
      <t>j</t>
    </r>
    <r>
      <rPr>
        <sz val="14"/>
        <color theme="1"/>
        <rFont val="Times New Roman"/>
        <family val="1"/>
        <charset val="238"/>
      </rPr>
      <t xml:space="preserve"> = </t>
    </r>
  </si>
  <si>
    <r>
      <t>Δ</t>
    </r>
    <r>
      <rPr>
        <vertAlign val="subscript"/>
        <sz val="14"/>
        <color theme="1"/>
        <rFont val="Times New Roman"/>
        <family val="1"/>
        <charset val="238"/>
      </rPr>
      <t>j</t>
    </r>
    <r>
      <rPr>
        <sz val="14"/>
        <color theme="1"/>
        <rFont val="Times New Roman"/>
        <family val="1"/>
        <charset val="238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</si>
</sst>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"/>
  </numFmts>
  <fonts count="18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charset val="238"/>
    </font>
    <font>
      <sz val="11"/>
      <color theme="1"/>
      <name val="Times New Roman"/>
      <family val="1"/>
      <charset val="238"/>
    </font>
    <font>
      <sz val="11"/>
      <name val="Times New Roman"/>
      <family val="1"/>
      <charset val="238"/>
    </font>
    <font>
      <sz val="14"/>
      <color theme="1"/>
      <name val="Times New Roman"/>
      <family val="1"/>
      <charset val="238"/>
    </font>
    <font>
      <vertAlign val="subscript"/>
      <sz val="14"/>
      <color theme="1"/>
      <name val="Times New Roman"/>
      <family val="1"/>
      <charset val="238"/>
    </font>
    <font>
      <vertAlign val="superscript"/>
      <sz val="14"/>
      <color theme="1"/>
      <name val="Times New Roman"/>
      <family val="1"/>
      <charset val="238"/>
    </font>
    <font>
      <sz val="16"/>
      <color theme="1"/>
      <name val="Times New Roman"/>
      <family val="1"/>
      <charset val="238"/>
    </font>
    <font>
      <vertAlign val="superscript"/>
      <sz val="16"/>
      <color theme="1"/>
      <name val="Times New Roman"/>
      <family val="1"/>
      <charset val="238"/>
    </font>
    <font>
      <sz val="14"/>
      <name val="Times New Roman"/>
      <family val="1"/>
      <charset val="238"/>
    </font>
    <font>
      <vertAlign val="superscript"/>
      <sz val="14"/>
      <name val="Times New Roman"/>
      <family val="1"/>
      <charset val="238"/>
    </font>
    <font>
      <vertAlign val="subscript"/>
      <sz val="14"/>
      <name val="Times New Roman"/>
      <family val="1"/>
      <charset val="238"/>
    </font>
    <font>
      <sz val="11"/>
      <color theme="1"/>
      <name val="Calibri"/>
      <family val="2"/>
      <scheme val="minor"/>
    </font>
    <font>
      <b/>
      <sz val="11"/>
      <color rgb="FFC00000"/>
      <name val="Times New Roman"/>
      <family val="1"/>
      <charset val="238"/>
    </font>
    <font>
      <sz val="12"/>
      <name val="Times New Roman"/>
      <family val="1"/>
      <charset val="238"/>
    </font>
    <font>
      <vertAlign val="subscript"/>
      <sz val="12"/>
      <name val="Times New Roman"/>
      <family val="1"/>
      <charset val="238"/>
    </font>
    <font>
      <vertAlign val="superscript"/>
      <sz val="12"/>
      <name val="Times New Roman"/>
      <family val="1"/>
      <charset val="238"/>
    </font>
    <font>
      <sz val="8"/>
      <color rgb="FF000000"/>
      <name val="Segoe UI"/>
      <family val="2"/>
      <charset val="238"/>
    </font>
  </fonts>
  <fills count="4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AFE58"/>
        <bgColor indexed="64"/>
      </patternFill>
    </fill>
    <fill>
      <patternFill patternType="solid">
        <fgColor rgb="FFD0D501"/>
        <bgColor indexed="64"/>
      </patternFill>
    </fill>
    <fill>
      <patternFill patternType="solid">
        <fgColor rgb="FFFDFFAF"/>
        <bgColor indexed="64"/>
      </patternFill>
    </fill>
    <fill>
      <patternFill patternType="solid">
        <fgColor rgb="FF79D2E7"/>
        <bgColor indexed="64"/>
      </patternFill>
    </fill>
    <fill>
      <patternFill patternType="solid">
        <fgColor rgb="FF27B7D9"/>
        <bgColor indexed="64"/>
      </patternFill>
    </fill>
    <fill>
      <patternFill patternType="solid">
        <fgColor rgb="FFAAE3F0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347"/>
        <bgColor indexed="64"/>
      </patternFill>
    </fill>
    <fill>
      <patternFill patternType="solid">
        <fgColor rgb="FFAB63E7"/>
        <bgColor indexed="64"/>
      </patternFill>
    </fill>
    <fill>
      <patternFill patternType="solid">
        <fgColor rgb="FFD1A8F2"/>
        <bgColor indexed="64"/>
      </patternFill>
    </fill>
    <fill>
      <patternFill patternType="solid">
        <fgColor rgb="FFE2C9F7"/>
        <bgColor indexed="64"/>
      </patternFill>
    </fill>
    <fill>
      <patternFill patternType="solid">
        <fgColor rgb="FFED5EFC"/>
        <bgColor indexed="64"/>
      </patternFill>
    </fill>
    <fill>
      <patternFill patternType="solid">
        <fgColor rgb="FFF6EA00"/>
        <bgColor indexed="64"/>
      </patternFill>
    </fill>
    <fill>
      <patternFill patternType="solid">
        <fgColor rgb="FF9ED561"/>
        <bgColor indexed="64"/>
      </patternFill>
    </fill>
    <fill>
      <patternFill patternType="solid">
        <fgColor rgb="FF83C937"/>
        <bgColor indexed="64"/>
      </patternFill>
    </fill>
    <fill>
      <patternFill patternType="solid">
        <fgColor rgb="FFBD34E8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84E8F"/>
        <bgColor indexed="64"/>
      </patternFill>
    </fill>
    <fill>
      <patternFill patternType="solid">
        <fgColor rgb="FFFA72A6"/>
        <bgColor indexed="64"/>
      </patternFill>
    </fill>
    <fill>
      <patternFill patternType="solid">
        <fgColor rgb="FFFC9EC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9F60CE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A727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1F06C"/>
        <bgColor indexed="64"/>
      </patternFill>
    </fill>
    <fill>
      <patternFill patternType="solid">
        <fgColor rgb="FFB8E820"/>
        <bgColor indexed="64"/>
      </patternFill>
    </fill>
    <fill>
      <patternFill patternType="solid">
        <fgColor rgb="FFAFEA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8403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DFFBD"/>
        <bgColor indexed="64"/>
      </patternFill>
    </fill>
  </fills>
  <borders count="4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3">
    <xf numFmtId="0" fontId="0" fillId="0" borderId="0"/>
    <xf numFmtId="0" fontId="1" fillId="0" borderId="0"/>
    <xf numFmtId="9" fontId="12" fillId="0" borderId="0" applyFont="0" applyFill="0" applyBorder="0" applyAlignment="0" applyProtection="0"/>
  </cellStyleXfs>
  <cellXfs count="286">
    <xf numFmtId="0" fontId="0" fillId="0" borderId="0" xfId="0"/>
    <xf numFmtId="0" fontId="2" fillId="0" borderId="0" xfId="0" applyFont="1" applyAlignment="1">
      <alignment horizontal="left"/>
    </xf>
    <xf numFmtId="49" fontId="3" fillId="0" borderId="23" xfId="0" applyNumberFormat="1" applyFont="1" applyBorder="1" applyAlignment="1" applyProtection="1">
      <alignment horizontal="center" vertical="center" wrapText="1"/>
      <protection locked="0"/>
    </xf>
    <xf numFmtId="0" fontId="3" fillId="0" borderId="2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" xfId="0" applyFont="1" applyBorder="1" applyAlignment="1" applyProtection="1">
      <alignment horizontal="left" wrapText="1"/>
      <protection locked="0"/>
    </xf>
    <xf numFmtId="0" fontId="3" fillId="0" borderId="12" xfId="0" applyFont="1" applyBorder="1" applyAlignment="1" applyProtection="1">
      <alignment horizontal="left" wrapText="1"/>
      <protection locked="0"/>
    </xf>
    <xf numFmtId="49" fontId="3" fillId="0" borderId="7" xfId="0" applyNumberFormat="1" applyFont="1" applyBorder="1" applyAlignment="1" applyProtection="1">
      <alignment horizontal="left" wrapText="1"/>
      <protection locked="0"/>
    </xf>
    <xf numFmtId="3" fontId="3" fillId="0" borderId="18" xfId="0" applyNumberFormat="1" applyFont="1" applyBorder="1" applyAlignment="1" applyProtection="1">
      <alignment horizontal="left" wrapText="1"/>
      <protection locked="0"/>
    </xf>
    <xf numFmtId="0" fontId="3" fillId="0" borderId="18" xfId="0" applyFont="1" applyBorder="1" applyAlignment="1" applyProtection="1">
      <alignment horizontal="left" wrapText="1"/>
      <protection locked="0"/>
    </xf>
    <xf numFmtId="0" fontId="2" fillId="0" borderId="14" xfId="0" applyFont="1" applyBorder="1" applyAlignment="1">
      <alignment horizontal="left"/>
    </xf>
    <xf numFmtId="0" fontId="2" fillId="0" borderId="14" xfId="0" applyFont="1" applyBorder="1" applyAlignment="1">
      <alignment horizontal="left" wrapText="1"/>
    </xf>
    <xf numFmtId="0" fontId="3" fillId="0" borderId="12" xfId="0" applyFont="1" applyBorder="1" applyAlignment="1" applyProtection="1">
      <alignment horizontal="left"/>
      <protection locked="0"/>
    </xf>
    <xf numFmtId="0" fontId="2" fillId="0" borderId="0" xfId="0" applyFont="1" applyAlignment="1">
      <alignment horizontal="left" wrapText="1"/>
    </xf>
    <xf numFmtId="49" fontId="3" fillId="0" borderId="21" xfId="0" applyNumberFormat="1" applyFont="1" applyBorder="1" applyAlignment="1" applyProtection="1">
      <alignment horizontal="left" wrapText="1"/>
      <protection locked="0"/>
    </xf>
    <xf numFmtId="3" fontId="3" fillId="0" borderId="27" xfId="0" applyNumberFormat="1" applyFont="1" applyBorder="1" applyAlignment="1" applyProtection="1">
      <alignment horizontal="left" wrapText="1"/>
      <protection locked="0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left" wrapText="1"/>
    </xf>
    <xf numFmtId="0" fontId="4" fillId="0" borderId="0" xfId="0" applyFont="1" applyAlignment="1">
      <alignment vertical="center" wrapText="1"/>
    </xf>
    <xf numFmtId="164" fontId="2" fillId="5" borderId="14" xfId="0" applyNumberFormat="1" applyFont="1" applyFill="1" applyBorder="1" applyAlignment="1">
      <alignment horizontal="left" vertical="center"/>
    </xf>
    <xf numFmtId="3" fontId="9" fillId="17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26" xfId="0" applyFont="1" applyBorder="1" applyAlignment="1">
      <alignment horizontal="center" vertical="center"/>
    </xf>
    <xf numFmtId="3" fontId="9" fillId="7" borderId="7" xfId="0" applyNumberFormat="1" applyFont="1" applyFill="1" applyBorder="1" applyAlignment="1" applyProtection="1">
      <alignment horizontal="center" vertical="center"/>
      <protection locked="0"/>
    </xf>
    <xf numFmtId="3" fontId="9" fillId="13" borderId="21" xfId="0" applyNumberFormat="1" applyFont="1" applyFill="1" applyBorder="1" applyAlignment="1" applyProtection="1">
      <alignment horizontal="center" vertical="center"/>
      <protection locked="0"/>
    </xf>
    <xf numFmtId="3" fontId="2" fillId="0" borderId="0" xfId="0" applyNumberFormat="1" applyFont="1" applyAlignment="1">
      <alignment horizontal="center" vertical="center"/>
    </xf>
    <xf numFmtId="3" fontId="9" fillId="12" borderId="25" xfId="0" applyNumberFormat="1" applyFont="1" applyFill="1" applyBorder="1" applyAlignment="1" applyProtection="1">
      <alignment horizontal="center" vertical="center"/>
      <protection locked="0"/>
    </xf>
    <xf numFmtId="3" fontId="9" fillId="2" borderId="0" xfId="0" applyNumberFormat="1" applyFont="1" applyFill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2" fillId="0" borderId="21" xfId="0" applyFont="1" applyBorder="1" applyAlignment="1">
      <alignment horizontal="left" wrapText="1"/>
    </xf>
    <xf numFmtId="3" fontId="9" fillId="9" borderId="4" xfId="0" applyNumberFormat="1" applyFont="1" applyFill="1" applyBorder="1" applyAlignment="1" applyProtection="1">
      <alignment horizontal="center" vertical="center"/>
      <protection locked="0"/>
    </xf>
    <xf numFmtId="3" fontId="4" fillId="24" borderId="2" xfId="0" applyNumberFormat="1" applyFont="1" applyFill="1" applyBorder="1" applyAlignment="1">
      <alignment horizontal="center" vertical="center"/>
    </xf>
    <xf numFmtId="3" fontId="9" fillId="24" borderId="9" xfId="0" applyNumberFormat="1" applyFont="1" applyFill="1" applyBorder="1" applyAlignment="1" applyProtection="1">
      <alignment horizontal="center" vertical="center"/>
      <protection locked="0"/>
    </xf>
    <xf numFmtId="164" fontId="4" fillId="25" borderId="2" xfId="0" applyNumberFormat="1" applyFont="1" applyFill="1" applyBorder="1" applyAlignment="1">
      <alignment horizontal="center" vertical="center"/>
    </xf>
    <xf numFmtId="164" fontId="4" fillId="25" borderId="9" xfId="0" applyNumberFormat="1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3" fontId="3" fillId="17" borderId="14" xfId="0" applyNumberFormat="1" applyFont="1" applyFill="1" applyBorder="1" applyAlignment="1" applyProtection="1">
      <alignment horizontal="left" vertical="center"/>
      <protection locked="0"/>
    </xf>
    <xf numFmtId="3" fontId="3" fillId="3" borderId="14" xfId="0" applyNumberFormat="1" applyFont="1" applyFill="1" applyBorder="1" applyAlignment="1">
      <alignment horizontal="left" vertical="center"/>
    </xf>
    <xf numFmtId="3" fontId="3" fillId="3" borderId="0" xfId="0" applyNumberFormat="1" applyFont="1" applyFill="1" applyAlignment="1">
      <alignment horizontal="left" vertical="center"/>
    </xf>
    <xf numFmtId="3" fontId="3" fillId="3" borderId="0" xfId="0" applyNumberFormat="1" applyFont="1" applyFill="1" applyAlignment="1" applyProtection="1">
      <alignment horizontal="left" vertical="center"/>
      <protection locked="0"/>
    </xf>
    <xf numFmtId="3" fontId="3" fillId="17" borderId="2" xfId="0" applyNumberFormat="1" applyFont="1" applyFill="1" applyBorder="1" applyAlignment="1" applyProtection="1">
      <alignment horizontal="left" vertical="center"/>
      <protection locked="0"/>
    </xf>
    <xf numFmtId="3" fontId="3" fillId="6" borderId="3" xfId="0" applyNumberFormat="1" applyFont="1" applyFill="1" applyBorder="1" applyAlignment="1" applyProtection="1">
      <alignment horizontal="left" vertical="center"/>
      <protection locked="0"/>
    </xf>
    <xf numFmtId="3" fontId="3" fillId="6" borderId="13" xfId="0" applyNumberFormat="1" applyFont="1" applyFill="1" applyBorder="1" applyAlignment="1" applyProtection="1">
      <alignment horizontal="left" vertical="center"/>
      <protection locked="0"/>
    </xf>
    <xf numFmtId="3" fontId="3" fillId="6" borderId="24" xfId="0" applyNumberFormat="1" applyFont="1" applyFill="1" applyBorder="1" applyAlignment="1" applyProtection="1">
      <alignment horizontal="left" vertical="center"/>
      <protection locked="0"/>
    </xf>
    <xf numFmtId="3" fontId="3" fillId="18" borderId="7" xfId="0" applyNumberFormat="1" applyFont="1" applyFill="1" applyBorder="1" applyAlignment="1" applyProtection="1">
      <alignment horizontal="left" vertical="center"/>
      <protection locked="0"/>
    </xf>
    <xf numFmtId="3" fontId="2" fillId="2" borderId="0" xfId="0" applyNumberFormat="1" applyFont="1" applyFill="1" applyAlignment="1">
      <alignment horizontal="left" vertical="center"/>
    </xf>
    <xf numFmtId="3" fontId="3" fillId="6" borderId="0" xfId="0" applyNumberFormat="1" applyFont="1" applyFill="1" applyAlignment="1" applyProtection="1">
      <alignment horizontal="left" vertical="center"/>
      <protection locked="0"/>
    </xf>
    <xf numFmtId="3" fontId="3" fillId="6" borderId="15" xfId="0" applyNumberFormat="1" applyFont="1" applyFill="1" applyBorder="1" applyAlignment="1" applyProtection="1">
      <alignment horizontal="left" vertical="center"/>
      <protection locked="0"/>
    </xf>
    <xf numFmtId="3" fontId="3" fillId="6" borderId="16" xfId="0" applyNumberFormat="1" applyFont="1" applyFill="1" applyBorder="1" applyAlignment="1" applyProtection="1">
      <alignment horizontal="left" vertical="center"/>
      <protection locked="0"/>
    </xf>
    <xf numFmtId="3" fontId="3" fillId="18" borderId="12" xfId="0" applyNumberFormat="1" applyFont="1" applyFill="1" applyBorder="1" applyAlignment="1" applyProtection="1">
      <alignment horizontal="left" vertical="center"/>
      <protection locked="0"/>
    </xf>
    <xf numFmtId="3" fontId="3" fillId="17" borderId="9" xfId="0" applyNumberFormat="1" applyFont="1" applyFill="1" applyBorder="1" applyAlignment="1" applyProtection="1">
      <alignment horizontal="left" vertical="center"/>
      <protection locked="0"/>
    </xf>
    <xf numFmtId="3" fontId="3" fillId="6" borderId="10" xfId="0" applyNumberFormat="1" applyFont="1" applyFill="1" applyBorder="1" applyAlignment="1" applyProtection="1">
      <alignment horizontal="left" vertical="center"/>
      <protection locked="0"/>
    </xf>
    <xf numFmtId="3" fontId="3" fillId="6" borderId="17" xfId="0" applyNumberFormat="1" applyFont="1" applyFill="1" applyBorder="1" applyAlignment="1" applyProtection="1">
      <alignment horizontal="left" vertical="center"/>
      <protection locked="0"/>
    </xf>
    <xf numFmtId="3" fontId="3" fillId="6" borderId="19" xfId="0" applyNumberFormat="1" applyFont="1" applyFill="1" applyBorder="1" applyAlignment="1" applyProtection="1">
      <alignment horizontal="left" vertical="center"/>
      <protection locked="0"/>
    </xf>
    <xf numFmtId="3" fontId="3" fillId="18" borderId="18" xfId="0" applyNumberFormat="1" applyFont="1" applyFill="1" applyBorder="1" applyAlignment="1" applyProtection="1">
      <alignment horizontal="left" vertical="center"/>
      <protection locked="0"/>
    </xf>
    <xf numFmtId="3" fontId="3" fillId="17" borderId="3" xfId="0" applyNumberFormat="1" applyFont="1" applyFill="1" applyBorder="1" applyAlignment="1" applyProtection="1">
      <alignment horizontal="left" vertical="center"/>
      <protection locked="0"/>
    </xf>
    <xf numFmtId="3" fontId="3" fillId="17" borderId="1" xfId="0" applyNumberFormat="1" applyFont="1" applyFill="1" applyBorder="1" applyAlignment="1" applyProtection="1">
      <alignment horizontal="left" vertical="center"/>
      <protection locked="0"/>
    </xf>
    <xf numFmtId="3" fontId="3" fillId="4" borderId="2" xfId="0" applyNumberFormat="1" applyFont="1" applyFill="1" applyBorder="1" applyAlignment="1" applyProtection="1">
      <alignment horizontal="left" vertical="center"/>
      <protection locked="0"/>
    </xf>
    <xf numFmtId="3" fontId="3" fillId="7" borderId="0" xfId="0" applyNumberFormat="1" applyFont="1" applyFill="1" applyAlignment="1" applyProtection="1">
      <alignment horizontal="left" vertical="center"/>
      <protection locked="0"/>
    </xf>
    <xf numFmtId="3" fontId="3" fillId="7" borderId="15" xfId="0" applyNumberFormat="1" applyFont="1" applyFill="1" applyBorder="1" applyAlignment="1" applyProtection="1">
      <alignment horizontal="left" vertical="center"/>
      <protection locked="0"/>
    </xf>
    <xf numFmtId="3" fontId="3" fillId="7" borderId="16" xfId="0" applyNumberFormat="1" applyFont="1" applyFill="1" applyBorder="1" applyAlignment="1" applyProtection="1">
      <alignment horizontal="left" vertical="center"/>
      <protection locked="0"/>
    </xf>
    <xf numFmtId="3" fontId="3" fillId="19" borderId="7" xfId="0" applyNumberFormat="1" applyFont="1" applyFill="1" applyBorder="1" applyAlignment="1" applyProtection="1">
      <alignment horizontal="left" vertical="center"/>
      <protection locked="0"/>
    </xf>
    <xf numFmtId="3" fontId="3" fillId="9" borderId="4" xfId="0" applyNumberFormat="1" applyFont="1" applyFill="1" applyBorder="1" applyAlignment="1" applyProtection="1">
      <alignment horizontal="left" vertical="center"/>
      <protection locked="0"/>
    </xf>
    <xf numFmtId="3" fontId="3" fillId="9" borderId="5" xfId="0" applyNumberFormat="1" applyFont="1" applyFill="1" applyBorder="1" applyAlignment="1" applyProtection="1">
      <alignment horizontal="left" vertical="center"/>
      <protection locked="0"/>
    </xf>
    <xf numFmtId="3" fontId="3" fillId="9" borderId="6" xfId="0" applyNumberFormat="1" applyFont="1" applyFill="1" applyBorder="1" applyAlignment="1" applyProtection="1">
      <alignment horizontal="left" vertical="center"/>
      <protection locked="0"/>
    </xf>
    <xf numFmtId="3" fontId="3" fillId="10" borderId="4" xfId="0" applyNumberFormat="1" applyFont="1" applyFill="1" applyBorder="1" applyAlignment="1" applyProtection="1">
      <alignment horizontal="left" vertical="center"/>
      <protection locked="0"/>
    </xf>
    <xf numFmtId="3" fontId="3" fillId="13" borderId="5" xfId="0" applyNumberFormat="1" applyFont="1" applyFill="1" applyBorder="1" applyAlignment="1" applyProtection="1">
      <alignment horizontal="left" vertical="center"/>
      <protection locked="0"/>
    </xf>
    <xf numFmtId="3" fontId="3" fillId="13" borderId="20" xfId="0" applyNumberFormat="1" applyFont="1" applyFill="1" applyBorder="1" applyAlignment="1" applyProtection="1">
      <alignment horizontal="left" vertical="center"/>
      <protection locked="0"/>
    </xf>
    <xf numFmtId="3" fontId="3" fillId="13" borderId="22" xfId="0" applyNumberFormat="1" applyFont="1" applyFill="1" applyBorder="1" applyAlignment="1" applyProtection="1">
      <alignment horizontal="left" vertical="center"/>
      <protection locked="0"/>
    </xf>
    <xf numFmtId="3" fontId="3" fillId="20" borderId="21" xfId="0" applyNumberFormat="1" applyFont="1" applyFill="1" applyBorder="1" applyAlignment="1" applyProtection="1">
      <alignment horizontal="left" vertical="center"/>
      <protection locked="0"/>
    </xf>
    <xf numFmtId="3" fontId="2" fillId="24" borderId="2" xfId="0" applyNumberFormat="1" applyFont="1" applyFill="1" applyBorder="1" applyAlignment="1">
      <alignment horizontal="left" vertical="center"/>
    </xf>
    <xf numFmtId="3" fontId="2" fillId="24" borderId="3" xfId="0" applyNumberFormat="1" applyFont="1" applyFill="1" applyBorder="1" applyAlignment="1">
      <alignment horizontal="left" vertical="center"/>
    </xf>
    <xf numFmtId="3" fontId="2" fillId="24" borderId="1" xfId="0" applyNumberFormat="1" applyFont="1" applyFill="1" applyBorder="1" applyAlignment="1">
      <alignment horizontal="left" vertical="center"/>
    </xf>
    <xf numFmtId="3" fontId="2" fillId="23" borderId="7" xfId="0" applyNumberFormat="1" applyFont="1" applyFill="1" applyBorder="1" applyAlignment="1">
      <alignment horizontal="left" vertical="center"/>
    </xf>
    <xf numFmtId="3" fontId="3" fillId="0" borderId="0" xfId="0" applyNumberFormat="1" applyFont="1" applyAlignment="1" applyProtection="1">
      <alignment horizontal="left" vertical="center"/>
      <protection locked="0"/>
    </xf>
    <xf numFmtId="3" fontId="2" fillId="0" borderId="0" xfId="0" applyNumberFormat="1" applyFont="1" applyAlignment="1">
      <alignment horizontal="left" vertical="center"/>
    </xf>
    <xf numFmtId="3" fontId="3" fillId="24" borderId="9" xfId="0" applyNumberFormat="1" applyFont="1" applyFill="1" applyBorder="1" applyAlignment="1" applyProtection="1">
      <alignment horizontal="left" vertical="center"/>
      <protection locked="0"/>
    </xf>
    <xf numFmtId="3" fontId="3" fillId="24" borderId="10" xfId="0" applyNumberFormat="1" applyFont="1" applyFill="1" applyBorder="1" applyAlignment="1" applyProtection="1">
      <alignment horizontal="left" vertical="center"/>
      <protection locked="0"/>
    </xf>
    <xf numFmtId="3" fontId="3" fillId="24" borderId="11" xfId="0" applyNumberFormat="1" applyFont="1" applyFill="1" applyBorder="1" applyAlignment="1" applyProtection="1">
      <alignment horizontal="left" vertical="center"/>
      <protection locked="0"/>
    </xf>
    <xf numFmtId="3" fontId="3" fillId="23" borderId="18" xfId="0" applyNumberFormat="1" applyFont="1" applyFill="1" applyBorder="1" applyAlignment="1" applyProtection="1">
      <alignment horizontal="left" vertical="center"/>
      <protection locked="0"/>
    </xf>
    <xf numFmtId="165" fontId="3" fillId="0" borderId="0" xfId="0" applyNumberFormat="1" applyFont="1" applyAlignment="1" applyProtection="1">
      <alignment horizontal="left" vertical="center"/>
      <protection locked="0"/>
    </xf>
    <xf numFmtId="3" fontId="3" fillId="0" borderId="28" xfId="0" applyNumberFormat="1" applyFont="1" applyBorder="1" applyAlignment="1" applyProtection="1">
      <alignment horizontal="left" vertical="center"/>
      <protection locked="0"/>
    </xf>
    <xf numFmtId="3" fontId="3" fillId="0" borderId="29" xfId="0" applyNumberFormat="1" applyFont="1" applyBorder="1" applyAlignment="1" applyProtection="1">
      <alignment horizontal="left" vertical="center"/>
      <protection locked="0"/>
    </xf>
    <xf numFmtId="3" fontId="3" fillId="0" borderId="30" xfId="0" applyNumberFormat="1" applyFont="1" applyBorder="1" applyAlignment="1" applyProtection="1">
      <alignment horizontal="left" vertical="center"/>
      <protection locked="0"/>
    </xf>
    <xf numFmtId="3" fontId="3" fillId="0" borderId="27" xfId="0" applyNumberFormat="1" applyFont="1" applyBorder="1" applyAlignment="1" applyProtection="1">
      <alignment horizontal="left" vertical="center"/>
      <protection locked="0"/>
    </xf>
    <xf numFmtId="3" fontId="3" fillId="12" borderId="9" xfId="0" applyNumberFormat="1" applyFont="1" applyFill="1" applyBorder="1" applyAlignment="1" applyProtection="1">
      <alignment horizontal="left" vertical="center"/>
      <protection locked="0"/>
    </xf>
    <xf numFmtId="3" fontId="3" fillId="12" borderId="10" xfId="0" applyNumberFormat="1" applyFont="1" applyFill="1" applyBorder="1" applyAlignment="1" applyProtection="1">
      <alignment horizontal="left" vertical="center"/>
      <protection locked="0"/>
    </xf>
    <xf numFmtId="3" fontId="3" fillId="12" borderId="11" xfId="0" applyNumberFormat="1" applyFont="1" applyFill="1" applyBorder="1" applyAlignment="1" applyProtection="1">
      <alignment horizontal="left" vertical="center"/>
      <protection locked="0"/>
    </xf>
    <xf numFmtId="3" fontId="3" fillId="11" borderId="18" xfId="0" applyNumberFormat="1" applyFont="1" applyFill="1" applyBorder="1" applyAlignment="1" applyProtection="1">
      <alignment horizontal="left" vertical="center"/>
      <protection locked="0"/>
    </xf>
    <xf numFmtId="3" fontId="3" fillId="21" borderId="2" xfId="0" applyNumberFormat="1" applyFont="1" applyFill="1" applyBorder="1" applyAlignment="1" applyProtection="1">
      <alignment horizontal="left" vertical="center"/>
      <protection locked="0"/>
    </xf>
    <xf numFmtId="3" fontId="3" fillId="21" borderId="3" xfId="0" applyNumberFormat="1" applyFont="1" applyFill="1" applyBorder="1" applyAlignment="1" applyProtection="1">
      <alignment horizontal="left" vertical="center"/>
      <protection locked="0"/>
    </xf>
    <xf numFmtId="3" fontId="2" fillId="9" borderId="2" xfId="0" applyNumberFormat="1" applyFont="1" applyFill="1" applyBorder="1" applyAlignment="1">
      <alignment horizontal="left" vertical="center"/>
    </xf>
    <xf numFmtId="3" fontId="2" fillId="14" borderId="24" xfId="0" applyNumberFormat="1" applyFont="1" applyFill="1" applyBorder="1" applyAlignment="1">
      <alignment horizontal="left" vertical="center"/>
    </xf>
    <xf numFmtId="3" fontId="2" fillId="14" borderId="13" xfId="0" applyNumberFormat="1" applyFont="1" applyFill="1" applyBorder="1" applyAlignment="1">
      <alignment horizontal="left" vertical="center"/>
    </xf>
    <xf numFmtId="3" fontId="2" fillId="14" borderId="1" xfId="0" applyNumberFormat="1" applyFont="1" applyFill="1" applyBorder="1" applyAlignment="1">
      <alignment horizontal="left" vertical="center"/>
    </xf>
    <xf numFmtId="3" fontId="2" fillId="16" borderId="7" xfId="0" applyNumberFormat="1" applyFont="1" applyFill="1" applyBorder="1" applyAlignment="1">
      <alignment horizontal="left" vertical="center"/>
    </xf>
    <xf numFmtId="3" fontId="3" fillId="21" borderId="14" xfId="0" applyNumberFormat="1" applyFont="1" applyFill="1" applyBorder="1" applyAlignment="1" applyProtection="1">
      <alignment horizontal="left" vertical="center"/>
      <protection locked="0"/>
    </xf>
    <xf numFmtId="3" fontId="3" fillId="21" borderId="0" xfId="0" applyNumberFormat="1" applyFont="1" applyFill="1" applyAlignment="1" applyProtection="1">
      <alignment horizontal="left" vertical="center"/>
      <protection locked="0"/>
    </xf>
    <xf numFmtId="3" fontId="2" fillId="9" borderId="14" xfId="0" applyNumberFormat="1" applyFont="1" applyFill="1" applyBorder="1" applyAlignment="1">
      <alignment horizontal="left" vertical="center"/>
    </xf>
    <xf numFmtId="3" fontId="2" fillId="14" borderId="16" xfId="0" applyNumberFormat="1" applyFont="1" applyFill="1" applyBorder="1" applyAlignment="1">
      <alignment horizontal="left" vertical="center"/>
    </xf>
    <xf numFmtId="3" fontId="2" fillId="14" borderId="15" xfId="0" applyNumberFormat="1" applyFont="1" applyFill="1" applyBorder="1" applyAlignment="1">
      <alignment horizontal="left" vertical="center"/>
    </xf>
    <xf numFmtId="3" fontId="2" fillId="14" borderId="8" xfId="0" applyNumberFormat="1" applyFont="1" applyFill="1" applyBorder="1" applyAlignment="1">
      <alignment horizontal="left" vertical="center"/>
    </xf>
    <xf numFmtId="3" fontId="2" fillId="16" borderId="12" xfId="0" applyNumberFormat="1" applyFont="1" applyFill="1" applyBorder="1" applyAlignment="1">
      <alignment horizontal="left" vertical="center"/>
    </xf>
    <xf numFmtId="3" fontId="3" fillId="9" borderId="9" xfId="0" applyNumberFormat="1" applyFont="1" applyFill="1" applyBorder="1" applyAlignment="1" applyProtection="1">
      <alignment horizontal="left" vertical="center"/>
      <protection locked="0"/>
    </xf>
    <xf numFmtId="3" fontId="2" fillId="13" borderId="22" xfId="0" applyNumberFormat="1" applyFont="1" applyFill="1" applyBorder="1" applyAlignment="1">
      <alignment horizontal="left" vertical="center"/>
    </xf>
    <xf numFmtId="3" fontId="2" fillId="13" borderId="20" xfId="0" applyNumberFormat="1" applyFont="1" applyFill="1" applyBorder="1" applyAlignment="1">
      <alignment horizontal="left" vertical="center"/>
    </xf>
    <xf numFmtId="3" fontId="2" fillId="13" borderId="5" xfId="0" applyNumberFormat="1" applyFont="1" applyFill="1" applyBorder="1" applyAlignment="1">
      <alignment horizontal="left" vertical="center"/>
    </xf>
    <xf numFmtId="164" fontId="2" fillId="5" borderId="2" xfId="0" applyNumberFormat="1" applyFont="1" applyFill="1" applyBorder="1" applyAlignment="1">
      <alignment horizontal="left" vertical="center"/>
    </xf>
    <xf numFmtId="164" fontId="2" fillId="5" borderId="3" xfId="0" applyNumberFormat="1" applyFont="1" applyFill="1" applyBorder="1" applyAlignment="1">
      <alignment horizontal="left" vertical="center"/>
    </xf>
    <xf numFmtId="164" fontId="2" fillId="5" borderId="1" xfId="0" applyNumberFormat="1" applyFont="1" applyFill="1" applyBorder="1" applyAlignment="1">
      <alignment horizontal="left" vertical="center"/>
    </xf>
    <xf numFmtId="164" fontId="2" fillId="8" borderId="3" xfId="0" applyNumberFormat="1" applyFont="1" applyFill="1" applyBorder="1" applyAlignment="1">
      <alignment horizontal="left" vertical="center"/>
    </xf>
    <xf numFmtId="164" fontId="2" fillId="8" borderId="1" xfId="0" applyNumberFormat="1" applyFont="1" applyFill="1" applyBorder="1" applyAlignment="1">
      <alignment horizontal="left" vertical="center"/>
    </xf>
    <xf numFmtId="164" fontId="2" fillId="5" borderId="8" xfId="0" applyNumberFormat="1" applyFont="1" applyFill="1" applyBorder="1" applyAlignment="1">
      <alignment horizontal="left" vertical="center"/>
    </xf>
    <xf numFmtId="164" fontId="2" fillId="8" borderId="8" xfId="0" applyNumberFormat="1" applyFont="1" applyFill="1" applyBorder="1" applyAlignment="1">
      <alignment horizontal="left" vertical="center"/>
    </xf>
    <xf numFmtId="164" fontId="2" fillId="5" borderId="9" xfId="0" applyNumberFormat="1" applyFont="1" applyFill="1" applyBorder="1" applyAlignment="1">
      <alignment horizontal="left" vertical="center"/>
    </xf>
    <xf numFmtId="164" fontId="2" fillId="8" borderId="10" xfId="0" applyNumberFormat="1" applyFont="1" applyFill="1" applyBorder="1" applyAlignment="1">
      <alignment horizontal="left" vertical="center"/>
    </xf>
    <xf numFmtId="164" fontId="2" fillId="0" borderId="0" xfId="0" applyNumberFormat="1" applyFont="1" applyAlignment="1">
      <alignment horizontal="left" vertical="center"/>
    </xf>
    <xf numFmtId="164" fontId="2" fillId="22" borderId="2" xfId="0" applyNumberFormat="1" applyFont="1" applyFill="1" applyBorder="1" applyAlignment="1">
      <alignment horizontal="left" vertical="center"/>
    </xf>
    <xf numFmtId="164" fontId="2" fillId="22" borderId="3" xfId="0" applyNumberFormat="1" applyFont="1" applyFill="1" applyBorder="1" applyAlignment="1">
      <alignment horizontal="left" vertical="center"/>
    </xf>
    <xf numFmtId="164" fontId="2" fillId="22" borderId="1" xfId="0" applyNumberFormat="1" applyFont="1" applyFill="1" applyBorder="1" applyAlignment="1">
      <alignment horizontal="left" vertical="center"/>
    </xf>
    <xf numFmtId="164" fontId="2" fillId="15" borderId="3" xfId="0" applyNumberFormat="1" applyFont="1" applyFill="1" applyBorder="1" applyAlignment="1">
      <alignment horizontal="left" vertical="center"/>
    </xf>
    <xf numFmtId="164" fontId="2" fillId="15" borderId="1" xfId="0" applyNumberFormat="1" applyFont="1" applyFill="1" applyBorder="1" applyAlignment="1">
      <alignment horizontal="left" vertical="center"/>
    </xf>
    <xf numFmtId="164" fontId="2" fillId="22" borderId="14" xfId="0" applyNumberFormat="1" applyFont="1" applyFill="1" applyBorder="1" applyAlignment="1">
      <alignment horizontal="left" vertical="center"/>
    </xf>
    <xf numFmtId="164" fontId="2" fillId="22" borderId="8" xfId="0" applyNumberFormat="1" applyFont="1" applyFill="1" applyBorder="1" applyAlignment="1">
      <alignment horizontal="left" vertical="center"/>
    </xf>
    <xf numFmtId="164" fontId="2" fillId="15" borderId="0" xfId="0" applyNumberFormat="1" applyFont="1" applyFill="1" applyAlignment="1">
      <alignment horizontal="left" vertical="center"/>
    </xf>
    <xf numFmtId="164" fontId="2" fillId="15" borderId="8" xfId="0" applyNumberFormat="1" applyFont="1" applyFill="1" applyBorder="1" applyAlignment="1">
      <alignment horizontal="left" vertical="center"/>
    </xf>
    <xf numFmtId="164" fontId="2" fillId="22" borderId="9" xfId="0" applyNumberFormat="1" applyFont="1" applyFill="1" applyBorder="1" applyAlignment="1">
      <alignment horizontal="left" vertical="center"/>
    </xf>
    <xf numFmtId="164" fontId="2" fillId="15" borderId="10" xfId="0" applyNumberFormat="1" applyFont="1" applyFill="1" applyBorder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64" fontId="2" fillId="25" borderId="2" xfId="0" applyNumberFormat="1" applyFont="1" applyFill="1" applyBorder="1" applyAlignment="1">
      <alignment horizontal="left" vertical="center"/>
    </xf>
    <xf numFmtId="164" fontId="2" fillId="25" borderId="3" xfId="0" applyNumberFormat="1" applyFont="1" applyFill="1" applyBorder="1" applyAlignment="1">
      <alignment horizontal="left" vertical="center"/>
    </xf>
    <xf numFmtId="164" fontId="2" fillId="25" borderId="1" xfId="0" applyNumberFormat="1" applyFont="1" applyFill="1" applyBorder="1" applyAlignment="1">
      <alignment horizontal="left" vertical="center"/>
    </xf>
    <xf numFmtId="164" fontId="2" fillId="25" borderId="9" xfId="0" applyNumberFormat="1" applyFont="1" applyFill="1" applyBorder="1" applyAlignment="1">
      <alignment horizontal="left" vertical="center"/>
    </xf>
    <xf numFmtId="164" fontId="2" fillId="25" borderId="10" xfId="0" applyNumberFormat="1" applyFont="1" applyFill="1" applyBorder="1" applyAlignment="1">
      <alignment horizontal="left" vertical="center"/>
    </xf>
    <xf numFmtId="164" fontId="2" fillId="25" borderId="11" xfId="0" applyNumberFormat="1" applyFont="1" applyFill="1" applyBorder="1" applyAlignment="1">
      <alignment horizontal="left" vertical="center"/>
    </xf>
    <xf numFmtId="164" fontId="2" fillId="2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0" fontId="3" fillId="0" borderId="0" xfId="0" applyFont="1" applyAlignment="1" applyProtection="1">
      <alignment horizontal="left" wrapText="1"/>
      <protection locked="0"/>
    </xf>
    <xf numFmtId="3" fontId="2" fillId="14" borderId="0" xfId="0" applyNumberFormat="1" applyFont="1" applyFill="1" applyAlignment="1">
      <alignment horizontal="left" vertical="center"/>
    </xf>
    <xf numFmtId="164" fontId="2" fillId="8" borderId="2" xfId="0" applyNumberFormat="1" applyFont="1" applyFill="1" applyBorder="1" applyAlignment="1">
      <alignment horizontal="left" vertical="center"/>
    </xf>
    <xf numFmtId="164" fontId="2" fillId="8" borderId="14" xfId="0" applyNumberFormat="1" applyFont="1" applyFill="1" applyBorder="1" applyAlignment="1">
      <alignment horizontal="left" vertical="center"/>
    </xf>
    <xf numFmtId="164" fontId="2" fillId="8" borderId="0" xfId="0" applyNumberFormat="1" applyFont="1" applyFill="1" applyAlignment="1">
      <alignment horizontal="left" vertical="center"/>
    </xf>
    <xf numFmtId="164" fontId="2" fillId="8" borderId="9" xfId="0" applyNumberFormat="1" applyFont="1" applyFill="1" applyBorder="1" applyAlignment="1">
      <alignment horizontal="left" vertical="center"/>
    </xf>
    <xf numFmtId="164" fontId="2" fillId="8" borderId="11" xfId="0" applyNumberFormat="1" applyFont="1" applyFill="1" applyBorder="1" applyAlignment="1">
      <alignment horizontal="left" vertical="center"/>
    </xf>
    <xf numFmtId="164" fontId="2" fillId="15" borderId="9" xfId="0" applyNumberFormat="1" applyFont="1" applyFill="1" applyBorder="1" applyAlignment="1">
      <alignment horizontal="left" vertical="center"/>
    </xf>
    <xf numFmtId="164" fontId="2" fillId="15" borderId="11" xfId="0" applyNumberFormat="1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wrapText="1"/>
    </xf>
    <xf numFmtId="0" fontId="2" fillId="0" borderId="12" xfId="0" applyFont="1" applyBorder="1" applyAlignment="1">
      <alignment horizontal="left"/>
    </xf>
    <xf numFmtId="0" fontId="2" fillId="0" borderId="18" xfId="0" applyFont="1" applyBorder="1" applyAlignment="1">
      <alignment horizontal="left" wrapText="1"/>
    </xf>
    <xf numFmtId="164" fontId="2" fillId="22" borderId="0" xfId="0" applyNumberFormat="1" applyFont="1" applyFill="1" applyAlignment="1">
      <alignment horizontal="left" vertical="center"/>
    </xf>
    <xf numFmtId="164" fontId="2" fillId="22" borderId="10" xfId="0" applyNumberFormat="1" applyFont="1" applyFill="1" applyBorder="1" applyAlignment="1">
      <alignment horizontal="left" vertical="center"/>
    </xf>
    <xf numFmtId="164" fontId="2" fillId="22" borderId="11" xfId="0" applyNumberFormat="1" applyFont="1" applyFill="1" applyBorder="1" applyAlignment="1">
      <alignment horizontal="left" vertical="center"/>
    </xf>
    <xf numFmtId="164" fontId="2" fillId="5" borderId="0" xfId="0" applyNumberFormat="1" applyFont="1" applyFill="1" applyAlignment="1">
      <alignment horizontal="left" vertical="center"/>
    </xf>
    <xf numFmtId="164" fontId="2" fillId="5" borderId="10" xfId="0" applyNumberFormat="1" applyFont="1" applyFill="1" applyBorder="1" applyAlignment="1">
      <alignment horizontal="left" vertical="center"/>
    </xf>
    <xf numFmtId="164" fontId="2" fillId="5" borderId="11" xfId="0" applyNumberFormat="1" applyFont="1" applyFill="1" applyBorder="1" applyAlignment="1">
      <alignment horizontal="left" vertical="center"/>
    </xf>
    <xf numFmtId="0" fontId="2" fillId="0" borderId="0" xfId="0" applyFont="1" applyAlignment="1">
      <alignment wrapText="1"/>
    </xf>
    <xf numFmtId="0" fontId="4" fillId="26" borderId="2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wrapText="1"/>
    </xf>
    <xf numFmtId="0" fontId="2" fillId="27" borderId="5" xfId="0" applyFont="1" applyFill="1" applyBorder="1" applyAlignment="1">
      <alignment horizontal="left" wrapText="1"/>
    </xf>
    <xf numFmtId="0" fontId="2" fillId="27" borderId="6" xfId="0" applyFont="1" applyFill="1" applyBorder="1" applyAlignment="1">
      <alignment horizontal="left" wrapText="1"/>
    </xf>
    <xf numFmtId="164" fontId="2" fillId="0" borderId="0" xfId="0" applyNumberFormat="1" applyFont="1" applyAlignment="1">
      <alignment horizontal="left" wrapText="1"/>
    </xf>
    <xf numFmtId="164" fontId="2" fillId="27" borderId="5" xfId="0" applyNumberFormat="1" applyFont="1" applyFill="1" applyBorder="1" applyAlignment="1">
      <alignment horizontal="left" wrapText="1"/>
    </xf>
    <xf numFmtId="0" fontId="2" fillId="0" borderId="0" xfId="0" applyFont="1" applyAlignment="1">
      <alignment horizontal="center" wrapText="1"/>
    </xf>
    <xf numFmtId="0" fontId="4" fillId="27" borderId="4" xfId="0" applyFont="1" applyFill="1" applyBorder="1" applyAlignment="1">
      <alignment horizontal="center" wrapText="1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14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164" fontId="2" fillId="27" borderId="6" xfId="0" applyNumberFormat="1" applyFont="1" applyFill="1" applyBorder="1" applyAlignment="1">
      <alignment horizontal="left" wrapText="1"/>
    </xf>
    <xf numFmtId="2" fontId="2" fillId="28" borderId="17" xfId="0" applyNumberFormat="1" applyFont="1" applyFill="1" applyBorder="1" applyAlignment="1">
      <alignment horizontal="left" wrapText="1"/>
    </xf>
    <xf numFmtId="2" fontId="2" fillId="28" borderId="11" xfId="0" applyNumberFormat="1" applyFont="1" applyFill="1" applyBorder="1" applyAlignment="1">
      <alignment horizontal="left" wrapText="1"/>
    </xf>
    <xf numFmtId="0" fontId="2" fillId="26" borderId="9" xfId="0" applyFont="1" applyFill="1" applyBorder="1" applyAlignment="1">
      <alignment horizontal="left" wrapText="1"/>
    </xf>
    <xf numFmtId="0" fontId="2" fillId="26" borderId="10" xfId="0" applyFont="1" applyFill="1" applyBorder="1" applyAlignment="1">
      <alignment horizontal="left" wrapText="1"/>
    </xf>
    <xf numFmtId="0" fontId="2" fillId="26" borderId="11" xfId="0" applyFont="1" applyFill="1" applyBorder="1" applyAlignment="1">
      <alignment horizontal="left" wrapText="1"/>
    </xf>
    <xf numFmtId="0" fontId="2" fillId="0" borderId="4" xfId="0" applyFont="1" applyBorder="1" applyAlignment="1">
      <alignment wrapText="1"/>
    </xf>
    <xf numFmtId="0" fontId="3" fillId="0" borderId="0" xfId="0" applyFont="1" applyAlignment="1" applyProtection="1">
      <alignment horizontal="left" vertical="center" wrapText="1"/>
      <protection locked="0"/>
    </xf>
    <xf numFmtId="164" fontId="13" fillId="0" borderId="0" xfId="0" applyNumberFormat="1" applyFont="1" applyAlignment="1">
      <alignment horizontal="left" wrapText="1"/>
    </xf>
    <xf numFmtId="164" fontId="2" fillId="0" borderId="14" xfId="0" applyNumberFormat="1" applyFont="1" applyBorder="1" applyAlignment="1">
      <alignment horizontal="left" wrapText="1"/>
    </xf>
    <xf numFmtId="164" fontId="2" fillId="0" borderId="15" xfId="0" applyNumberFormat="1" applyFont="1" applyBorder="1" applyAlignment="1">
      <alignment horizontal="left" wrapText="1"/>
    </xf>
    <xf numFmtId="164" fontId="2" fillId="0" borderId="8" xfId="0" applyNumberFormat="1" applyFont="1" applyBorder="1" applyAlignment="1">
      <alignment horizontal="left" wrapText="1"/>
    </xf>
    <xf numFmtId="164" fontId="3" fillId="29" borderId="13" xfId="0" applyNumberFormat="1" applyFont="1" applyFill="1" applyBorder="1" applyAlignment="1">
      <alignment horizontal="left" wrapText="1"/>
    </xf>
    <xf numFmtId="164" fontId="3" fillId="29" borderId="1" xfId="0" applyNumberFormat="1" applyFont="1" applyFill="1" applyBorder="1" applyAlignment="1">
      <alignment horizontal="left" wrapText="1"/>
    </xf>
    <xf numFmtId="164" fontId="3" fillId="29" borderId="15" xfId="0" applyNumberFormat="1" applyFont="1" applyFill="1" applyBorder="1" applyAlignment="1">
      <alignment horizontal="left" wrapText="1"/>
    </xf>
    <xf numFmtId="164" fontId="3" fillId="29" borderId="8" xfId="0" applyNumberFormat="1" applyFont="1" applyFill="1" applyBorder="1" applyAlignment="1">
      <alignment horizontal="left" wrapText="1"/>
    </xf>
    <xf numFmtId="164" fontId="3" fillId="29" borderId="17" xfId="0" applyNumberFormat="1" applyFont="1" applyFill="1" applyBorder="1" applyAlignment="1">
      <alignment horizontal="left" wrapText="1"/>
    </xf>
    <xf numFmtId="164" fontId="3" fillId="29" borderId="11" xfId="0" applyNumberFormat="1" applyFont="1" applyFill="1" applyBorder="1" applyAlignment="1">
      <alignment horizontal="left" wrapText="1"/>
    </xf>
    <xf numFmtId="2" fontId="2" fillId="28" borderId="10" xfId="0" applyNumberFormat="1" applyFont="1" applyFill="1" applyBorder="1" applyAlignment="1">
      <alignment horizontal="left" wrapText="1"/>
    </xf>
    <xf numFmtId="164" fontId="2" fillId="27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26" borderId="31" xfId="0" applyFont="1" applyFill="1" applyBorder="1" applyAlignment="1">
      <alignment horizontal="left" wrapText="1"/>
    </xf>
    <xf numFmtId="0" fontId="2" fillId="26" borderId="33" xfId="0" applyFont="1" applyFill="1" applyBorder="1" applyAlignment="1">
      <alignment horizontal="left" wrapText="1"/>
    </xf>
    <xf numFmtId="0" fontId="0" fillId="31" borderId="0" xfId="0" applyFill="1"/>
    <xf numFmtId="0" fontId="4" fillId="32" borderId="2" xfId="0" applyFont="1" applyFill="1" applyBorder="1" applyAlignment="1">
      <alignment horizontal="center" wrapText="1"/>
    </xf>
    <xf numFmtId="164" fontId="13" fillId="32" borderId="2" xfId="0" applyNumberFormat="1" applyFont="1" applyFill="1" applyBorder="1" applyAlignment="1">
      <alignment horizontal="left" wrapText="1"/>
    </xf>
    <xf numFmtId="164" fontId="13" fillId="32" borderId="3" xfId="0" applyNumberFormat="1" applyFont="1" applyFill="1" applyBorder="1" applyAlignment="1">
      <alignment horizontal="left" wrapText="1"/>
    </xf>
    <xf numFmtId="164" fontId="13" fillId="32" borderId="1" xfId="0" applyNumberFormat="1" applyFont="1" applyFill="1" applyBorder="1" applyAlignment="1">
      <alignment horizontal="left" wrapText="1"/>
    </xf>
    <xf numFmtId="0" fontId="4" fillId="32" borderId="9" xfId="0" applyFont="1" applyFill="1" applyBorder="1" applyAlignment="1">
      <alignment horizontal="center" wrapText="1"/>
    </xf>
    <xf numFmtId="164" fontId="2" fillId="32" borderId="9" xfId="0" applyNumberFormat="1" applyFont="1" applyFill="1" applyBorder="1" applyAlignment="1">
      <alignment horizontal="left" wrapText="1"/>
    </xf>
    <xf numFmtId="164" fontId="2" fillId="32" borderId="10" xfId="0" applyNumberFormat="1" applyFont="1" applyFill="1" applyBorder="1" applyAlignment="1">
      <alignment horizontal="left" wrapText="1"/>
    </xf>
    <xf numFmtId="164" fontId="2" fillId="32" borderId="11" xfId="0" applyNumberFormat="1" applyFont="1" applyFill="1" applyBorder="1" applyAlignment="1">
      <alignment horizontal="left" wrapText="1"/>
    </xf>
    <xf numFmtId="0" fontId="4" fillId="33" borderId="2" xfId="0" applyFont="1" applyFill="1" applyBorder="1" applyAlignment="1">
      <alignment horizontal="center" vertical="center" wrapText="1"/>
    </xf>
    <xf numFmtId="0" fontId="2" fillId="33" borderId="2" xfId="0" applyFont="1" applyFill="1" applyBorder="1" applyAlignment="1">
      <alignment horizontal="left" wrapText="1"/>
    </xf>
    <xf numFmtId="0" fontId="2" fillId="33" borderId="3" xfId="0" applyFont="1" applyFill="1" applyBorder="1" applyAlignment="1">
      <alignment horizontal="left" wrapText="1"/>
    </xf>
    <xf numFmtId="0" fontId="2" fillId="33" borderId="1" xfId="0" applyFont="1" applyFill="1" applyBorder="1" applyAlignment="1">
      <alignment horizontal="left" wrapText="1"/>
    </xf>
    <xf numFmtId="0" fontId="4" fillId="33" borderId="9" xfId="0" applyFont="1" applyFill="1" applyBorder="1" applyAlignment="1">
      <alignment horizontal="center" vertical="center" wrapText="1"/>
    </xf>
    <xf numFmtId="0" fontId="2" fillId="33" borderId="9" xfId="0" applyFont="1" applyFill="1" applyBorder="1" applyAlignment="1">
      <alignment horizontal="left" wrapText="1"/>
    </xf>
    <xf numFmtId="0" fontId="2" fillId="33" borderId="10" xfId="0" applyFont="1" applyFill="1" applyBorder="1" applyAlignment="1">
      <alignment horizontal="left" wrapText="1"/>
    </xf>
    <xf numFmtId="0" fontId="2" fillId="33" borderId="11" xfId="0" applyFont="1" applyFill="1" applyBorder="1" applyAlignment="1">
      <alignment horizontal="left" wrapText="1"/>
    </xf>
    <xf numFmtId="0" fontId="4" fillId="30" borderId="4" xfId="0" applyFont="1" applyFill="1" applyBorder="1" applyAlignment="1">
      <alignment horizontal="center" wrapText="1"/>
    </xf>
    <xf numFmtId="164" fontId="2" fillId="30" borderId="5" xfId="0" applyNumberFormat="1" applyFont="1" applyFill="1" applyBorder="1" applyAlignment="1">
      <alignment horizontal="left" wrapText="1"/>
    </xf>
    <xf numFmtId="164" fontId="2" fillId="30" borderId="6" xfId="0" applyNumberFormat="1" applyFont="1" applyFill="1" applyBorder="1" applyAlignment="1">
      <alignment horizontal="left" wrapText="1"/>
    </xf>
    <xf numFmtId="164" fontId="13" fillId="34" borderId="2" xfId="0" applyNumberFormat="1" applyFont="1" applyFill="1" applyBorder="1" applyAlignment="1">
      <alignment horizontal="left" wrapText="1"/>
    </xf>
    <xf numFmtId="164" fontId="13" fillId="34" borderId="3" xfId="0" applyNumberFormat="1" applyFont="1" applyFill="1" applyBorder="1" applyAlignment="1">
      <alignment horizontal="left" wrapText="1"/>
    </xf>
    <xf numFmtId="164" fontId="13" fillId="34" borderId="14" xfId="0" applyNumberFormat="1" applyFont="1" applyFill="1" applyBorder="1" applyAlignment="1">
      <alignment horizontal="left" wrapText="1"/>
    </xf>
    <xf numFmtId="164" fontId="13" fillId="34" borderId="0" xfId="0" applyNumberFormat="1" applyFont="1" applyFill="1" applyAlignment="1">
      <alignment horizontal="left" wrapText="1"/>
    </xf>
    <xf numFmtId="164" fontId="13" fillId="34" borderId="9" xfId="0" applyNumberFormat="1" applyFont="1" applyFill="1" applyBorder="1" applyAlignment="1">
      <alignment horizontal="left" wrapText="1"/>
    </xf>
    <xf numFmtId="164" fontId="13" fillId="34" borderId="10" xfId="0" applyNumberFormat="1" applyFont="1" applyFill="1" applyBorder="1" applyAlignment="1">
      <alignment horizontal="left" wrapText="1"/>
    </xf>
    <xf numFmtId="0" fontId="4" fillId="34" borderId="21" xfId="0" applyFont="1" applyFill="1" applyBorder="1" applyAlignment="1">
      <alignment horizontal="center" wrapText="1"/>
    </xf>
    <xf numFmtId="0" fontId="9" fillId="35" borderId="4" xfId="0" applyFont="1" applyFill="1" applyBorder="1" applyAlignment="1" applyProtection="1">
      <alignment horizontal="center" vertical="center" wrapText="1"/>
      <protection locked="0"/>
    </xf>
    <xf numFmtId="164" fontId="13" fillId="35" borderId="5" xfId="0" applyNumberFormat="1" applyFont="1" applyFill="1" applyBorder="1" applyAlignment="1">
      <alignment horizontal="left" wrapText="1"/>
    </xf>
    <xf numFmtId="164" fontId="13" fillId="35" borderId="6" xfId="0" applyNumberFormat="1" applyFont="1" applyFill="1" applyBorder="1" applyAlignment="1">
      <alignment horizontal="left" wrapText="1"/>
    </xf>
    <xf numFmtId="10" fontId="2" fillId="36" borderId="5" xfId="2" applyNumberFormat="1" applyFont="1" applyFill="1" applyBorder="1" applyAlignment="1">
      <alignment wrapText="1"/>
    </xf>
    <xf numFmtId="10" fontId="2" fillId="36" borderId="4" xfId="2" applyNumberFormat="1" applyFont="1" applyFill="1" applyBorder="1" applyAlignment="1">
      <alignment wrapText="1"/>
    </xf>
    <xf numFmtId="10" fontId="2" fillId="36" borderId="6" xfId="2" applyNumberFormat="1" applyFont="1" applyFill="1" applyBorder="1" applyAlignment="1">
      <alignment wrapText="1"/>
    </xf>
    <xf numFmtId="0" fontId="0" fillId="39" borderId="0" xfId="0" applyFill="1"/>
    <xf numFmtId="0" fontId="0" fillId="38" borderId="0" xfId="0" applyFill="1"/>
    <xf numFmtId="0" fontId="2" fillId="38" borderId="0" xfId="0" applyFont="1" applyFill="1"/>
    <xf numFmtId="0" fontId="2" fillId="39" borderId="0" xfId="0" applyFont="1" applyFill="1"/>
    <xf numFmtId="0" fontId="0" fillId="40" borderId="0" xfId="0" applyFill="1"/>
    <xf numFmtId="0" fontId="0" fillId="33" borderId="0" xfId="0" applyFill="1" applyProtection="1">
      <protection locked="0"/>
    </xf>
    <xf numFmtId="0" fontId="4" fillId="37" borderId="39" xfId="0" applyFont="1" applyFill="1" applyBorder="1" applyAlignment="1">
      <alignment horizontal="center" vertical="center" wrapText="1"/>
    </xf>
    <xf numFmtId="0" fontId="4" fillId="37" borderId="34" xfId="0" applyFont="1" applyFill="1" applyBorder="1" applyAlignment="1">
      <alignment horizontal="center" vertical="center"/>
    </xf>
    <xf numFmtId="0" fontId="4" fillId="37" borderId="37" xfId="0" applyFont="1" applyFill="1" applyBorder="1" applyAlignment="1">
      <alignment horizontal="center" vertical="center"/>
    </xf>
    <xf numFmtId="0" fontId="4" fillId="28" borderId="2" xfId="0" applyFont="1" applyFill="1" applyBorder="1" applyAlignment="1">
      <alignment horizontal="center" vertical="center" wrapText="1"/>
    </xf>
    <xf numFmtId="0" fontId="4" fillId="28" borderId="13" xfId="0" applyFont="1" applyFill="1" applyBorder="1" applyAlignment="1">
      <alignment horizontal="center" vertical="center" wrapText="1"/>
    </xf>
    <xf numFmtId="0" fontId="4" fillId="28" borderId="1" xfId="0" applyFont="1" applyFill="1" applyBorder="1" applyAlignment="1">
      <alignment horizontal="center" vertical="center" wrapText="1"/>
    </xf>
    <xf numFmtId="0" fontId="4" fillId="28" borderId="32" xfId="0" applyFont="1" applyFill="1" applyBorder="1" applyAlignment="1">
      <alignment horizontal="center" vertical="center" wrapText="1"/>
    </xf>
    <xf numFmtId="0" fontId="4" fillId="37" borderId="39" xfId="0" applyFont="1" applyFill="1" applyBorder="1" applyAlignment="1">
      <alignment horizontal="center" vertical="top"/>
    </xf>
    <xf numFmtId="164" fontId="3" fillId="29" borderId="2" xfId="0" applyNumberFormat="1" applyFont="1" applyFill="1" applyBorder="1" applyAlignment="1">
      <alignment horizontal="left" wrapText="1"/>
    </xf>
    <xf numFmtId="164" fontId="3" fillId="29" borderId="14" xfId="0" applyNumberFormat="1" applyFont="1" applyFill="1" applyBorder="1" applyAlignment="1">
      <alignment horizontal="left" wrapText="1"/>
    </xf>
    <xf numFmtId="164" fontId="3" fillId="29" borderId="9" xfId="0" applyNumberFormat="1" applyFont="1" applyFill="1" applyBorder="1" applyAlignment="1">
      <alignment horizontal="left" wrapText="1"/>
    </xf>
    <xf numFmtId="0" fontId="4" fillId="15" borderId="7" xfId="0" applyFont="1" applyFill="1" applyBorder="1" applyAlignment="1">
      <alignment horizontal="center" vertical="center" wrapText="1"/>
    </xf>
    <xf numFmtId="0" fontId="4" fillId="15" borderId="12" xfId="0" applyFont="1" applyFill="1" applyBorder="1" applyAlignment="1">
      <alignment horizontal="center" vertical="center" wrapText="1"/>
    </xf>
    <xf numFmtId="0" fontId="4" fillId="15" borderId="18" xfId="0" applyFont="1" applyFill="1" applyBorder="1" applyAlignment="1">
      <alignment horizontal="center" vertical="center" wrapText="1"/>
    </xf>
    <xf numFmtId="164" fontId="4" fillId="22" borderId="7" xfId="0" applyNumberFormat="1" applyFont="1" applyFill="1" applyBorder="1" applyAlignment="1">
      <alignment horizontal="center" vertical="center"/>
    </xf>
    <xf numFmtId="164" fontId="4" fillId="22" borderId="12" xfId="0" applyNumberFormat="1" applyFont="1" applyFill="1" applyBorder="1" applyAlignment="1">
      <alignment horizontal="center" vertical="center"/>
    </xf>
    <xf numFmtId="164" fontId="4" fillId="22" borderId="18" xfId="0" applyNumberFormat="1" applyFont="1" applyFill="1" applyBorder="1" applyAlignment="1">
      <alignment horizontal="center" vertical="center"/>
    </xf>
    <xf numFmtId="164" fontId="4" fillId="5" borderId="7" xfId="0" applyNumberFormat="1" applyFont="1" applyFill="1" applyBorder="1" applyAlignment="1">
      <alignment horizontal="center" vertical="center"/>
    </xf>
    <xf numFmtId="164" fontId="4" fillId="5" borderId="12" xfId="0" applyNumberFormat="1" applyFont="1" applyFill="1" applyBorder="1" applyAlignment="1">
      <alignment horizontal="center" vertical="center"/>
    </xf>
    <xf numFmtId="164" fontId="4" fillId="5" borderId="18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 applyProtection="1">
      <alignment horizontal="center" vertical="center"/>
      <protection locked="0"/>
    </xf>
    <xf numFmtId="3" fontId="9" fillId="6" borderId="12" xfId="0" applyNumberFormat="1" applyFont="1" applyFill="1" applyBorder="1" applyAlignment="1" applyProtection="1">
      <alignment horizontal="center" vertical="center"/>
      <protection locked="0"/>
    </xf>
    <xf numFmtId="3" fontId="9" fillId="6" borderId="18" xfId="0" applyNumberFormat="1" applyFont="1" applyFill="1" applyBorder="1" applyAlignment="1" applyProtection="1">
      <alignment horizontal="center" vertical="center"/>
      <protection locked="0"/>
    </xf>
    <xf numFmtId="3" fontId="9" fillId="3" borderId="7" xfId="0" applyNumberFormat="1" applyFont="1" applyFill="1" applyBorder="1" applyAlignment="1">
      <alignment horizontal="center" vertical="center"/>
    </xf>
    <xf numFmtId="3" fontId="9" fillId="3" borderId="12" xfId="0" applyNumberFormat="1" applyFont="1" applyFill="1" applyBorder="1" applyAlignment="1">
      <alignment horizontal="center" vertical="center"/>
    </xf>
    <xf numFmtId="3" fontId="9" fillId="3" borderId="18" xfId="0" applyNumberFormat="1" applyFont="1" applyFill="1" applyBorder="1" applyAlignment="1">
      <alignment horizontal="center" vertical="center"/>
    </xf>
    <xf numFmtId="3" fontId="9" fillId="14" borderId="7" xfId="0" applyNumberFormat="1" applyFont="1" applyFill="1" applyBorder="1" applyAlignment="1" applyProtection="1">
      <alignment horizontal="center" vertical="center"/>
      <protection locked="0"/>
    </xf>
    <xf numFmtId="3" fontId="9" fillId="14" borderId="12" xfId="0" applyNumberFormat="1" applyFont="1" applyFill="1" applyBorder="1" applyAlignment="1" applyProtection="1">
      <alignment horizontal="center" vertical="center"/>
      <protection locked="0"/>
    </xf>
    <xf numFmtId="3" fontId="9" fillId="14" borderId="18" xfId="0" applyNumberFormat="1" applyFont="1" applyFill="1" applyBorder="1" applyAlignment="1" applyProtection="1">
      <alignment horizontal="center" vertical="center"/>
      <protection locked="0"/>
    </xf>
    <xf numFmtId="3" fontId="9" fillId="21" borderId="7" xfId="0" applyNumberFormat="1" applyFont="1" applyFill="1" applyBorder="1" applyAlignment="1" applyProtection="1">
      <alignment horizontal="center" vertical="center"/>
      <protection locked="0"/>
    </xf>
    <xf numFmtId="3" fontId="9" fillId="21" borderId="12" xfId="0" applyNumberFormat="1" applyFont="1" applyFill="1" applyBorder="1" applyAlignment="1" applyProtection="1">
      <alignment horizontal="center" vertical="center"/>
      <protection locked="0"/>
    </xf>
    <xf numFmtId="3" fontId="9" fillId="21" borderId="18" xfId="0" applyNumberFormat="1" applyFont="1" applyFill="1" applyBorder="1" applyAlignment="1" applyProtection="1">
      <alignment horizontal="center" vertical="center"/>
      <protection locked="0"/>
    </xf>
    <xf numFmtId="0" fontId="4" fillId="8" borderId="7" xfId="0" applyFont="1" applyFill="1" applyBorder="1" applyAlignment="1">
      <alignment horizontal="center" vertical="center" wrapText="1"/>
    </xf>
    <xf numFmtId="0" fontId="4" fillId="8" borderId="12" xfId="0" applyFont="1" applyFill="1" applyBorder="1" applyAlignment="1">
      <alignment horizontal="center" vertical="center" wrapText="1"/>
    </xf>
    <xf numFmtId="0" fontId="4" fillId="8" borderId="18" xfId="0" applyFont="1" applyFill="1" applyBorder="1" applyAlignment="1">
      <alignment horizontal="center" vertical="center" wrapText="1"/>
    </xf>
    <xf numFmtId="0" fontId="9" fillId="41" borderId="34" xfId="0" applyFont="1" applyFill="1" applyBorder="1" applyAlignment="1">
      <alignment horizontal="center" vertical="center" wrapText="1"/>
    </xf>
    <xf numFmtId="0" fontId="9" fillId="41" borderId="35" xfId="0" applyFont="1" applyFill="1" applyBorder="1" applyAlignment="1">
      <alignment horizontal="center" vertical="center" wrapText="1"/>
    </xf>
    <xf numFmtId="0" fontId="9" fillId="41" borderId="36" xfId="0" applyFont="1" applyFill="1" applyBorder="1" applyAlignment="1">
      <alignment horizontal="center" vertical="center" wrapText="1"/>
    </xf>
    <xf numFmtId="0" fontId="9" fillId="41" borderId="37" xfId="0" applyFont="1" applyFill="1" applyBorder="1" applyAlignment="1">
      <alignment horizontal="center" vertical="center" wrapText="1"/>
    </xf>
    <xf numFmtId="0" fontId="9" fillId="41" borderId="0" xfId="0" applyFont="1" applyFill="1" applyAlignment="1">
      <alignment horizontal="center" vertical="center" wrapText="1"/>
    </xf>
    <xf numFmtId="0" fontId="9" fillId="41" borderId="38" xfId="0" applyFont="1" applyFill="1" applyBorder="1" applyAlignment="1">
      <alignment horizontal="center" vertical="center" wrapText="1"/>
    </xf>
    <xf numFmtId="0" fontId="9" fillId="41" borderId="39" xfId="0" applyFont="1" applyFill="1" applyBorder="1" applyAlignment="1">
      <alignment horizontal="center" vertical="center" wrapText="1"/>
    </xf>
    <xf numFmtId="0" fontId="9" fillId="41" borderId="40" xfId="0" applyFont="1" applyFill="1" applyBorder="1" applyAlignment="1">
      <alignment horizontal="center" vertical="center" wrapText="1"/>
    </xf>
    <xf numFmtId="0" fontId="9" fillId="41" borderId="41" xfId="0" applyFont="1" applyFill="1" applyBorder="1" applyAlignment="1">
      <alignment horizontal="center" vertical="center" wrapText="1"/>
    </xf>
    <xf numFmtId="0" fontId="4" fillId="37" borderId="35" xfId="0" applyFont="1" applyFill="1" applyBorder="1" applyAlignment="1" applyProtection="1">
      <alignment horizontal="center"/>
      <protection locked="0"/>
    </xf>
    <xf numFmtId="0" fontId="4" fillId="37" borderId="36" xfId="0" applyFont="1" applyFill="1" applyBorder="1" applyAlignment="1" applyProtection="1">
      <alignment horizontal="center"/>
      <protection locked="0"/>
    </xf>
    <xf numFmtId="0" fontId="4" fillId="37" borderId="40" xfId="0" applyFont="1" applyFill="1" applyBorder="1" applyAlignment="1" applyProtection="1">
      <alignment horizontal="center"/>
      <protection locked="0"/>
    </xf>
    <xf numFmtId="0" fontId="4" fillId="37" borderId="41" xfId="0" applyFont="1" applyFill="1" applyBorder="1" applyAlignment="1" applyProtection="1">
      <alignment horizontal="center"/>
      <protection locked="0"/>
    </xf>
  </cellXfs>
  <cellStyles count="3">
    <cellStyle name="Normalny" xfId="0" builtinId="0"/>
    <cellStyle name="Normalny 12" xfId="1" xr:uid="{4A537503-3625-4C3C-855D-6B244F8D2F15}"/>
    <cellStyle name="Procentowy" xfId="2" builtinId="5"/>
  </cellStyles>
  <dxfs count="2">
    <dxf>
      <font>
        <b/>
        <i val="0"/>
        <color auto="1"/>
      </font>
      <fill>
        <patternFill>
          <bgColor theme="7"/>
        </patternFill>
      </fill>
    </dxf>
    <dxf>
      <font>
        <b/>
        <i val="0"/>
        <color auto="1"/>
      </font>
      <fill>
        <patternFill patternType="solid">
          <fgColor theme="0"/>
          <bgColor theme="7"/>
        </patternFill>
      </fill>
    </dxf>
  </dxfs>
  <tableStyles count="0" defaultTableStyle="TableStyleMedium2" defaultPivotStyle="PivotStyleLight16"/>
  <colors>
    <mruColors>
      <color rgb="FFBDFFBD"/>
      <color rgb="FFE1FFE1"/>
      <color rgb="FFA20000"/>
      <color rgb="FFC9FFC9"/>
      <color rgb="FF66FF66"/>
      <color rgb="FF9F60CE"/>
      <color rgb="FF00FF00"/>
      <color rgb="FF008000"/>
      <color rgb="FF284031"/>
      <color rgb="FFAFE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l-PL" sz="1800" b="1"/>
              <a:t>Tempa zmian cen produkcji w sektorach</a:t>
            </a:r>
          </a:p>
        </c:rich>
      </c:tx>
      <c:layout>
        <c:manualLayout>
          <c:xMode val="edge"/>
          <c:yMode val="edge"/>
          <c:x val="0.43711812627291241"/>
          <c:y val="1.7772511848341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37878960394716443"/>
          <c:y val="7.1996087870532785E-2"/>
          <c:w val="0.592052215468993"/>
          <c:h val="0.8528961575300716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/>
            </a:solidFill>
            <a:ln w="3175">
              <a:solidFill>
                <a:srgbClr val="A2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6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Times New Roman" panose="02020603050405020304" pitchFamily="18" charset="0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Model!$C$1:$CA$1</c:f>
              <c:strCache>
                <c:ptCount val="77"/>
                <c:pt idx="0">
                  <c:v>Produkty rolnictwa i łowiectwa ( 01 )</c:v>
                </c:pt>
                <c:pt idx="1">
                  <c:v>Produkty gospodarki leśnej ( 02 )</c:v>
                </c:pt>
                <c:pt idx="2">
                  <c:v>Ryby i pozostałe produkty rybactwa ( 03 )</c:v>
                </c:pt>
                <c:pt idx="3">
                  <c:v>Węgiel kamienny i brunatny ( 05 )</c:v>
                </c:pt>
                <c:pt idx="4">
                  <c:v>Ropa naftowa i gaz ziemny, rudy metali, produkty górnictwa pozostałe (06-09)</c:v>
                </c:pt>
                <c:pt idx="5">
                  <c:v>Artykuły spożywcze ( 10 )</c:v>
                </c:pt>
                <c:pt idx="6">
                  <c:v>Napoje ( 11 )</c:v>
                </c:pt>
                <c:pt idx="7">
                  <c:v>Wyroby tytoniowe ( 12 )</c:v>
                </c:pt>
                <c:pt idx="8">
                  <c:v>Wyroby tekstylne ( 13 )</c:v>
                </c:pt>
                <c:pt idx="9">
                  <c:v>Odzież ( 14 )</c:v>
                </c:pt>
                <c:pt idx="10">
                  <c:v>Skóry i wyroby ze skór wyprawionych ( 15 )</c:v>
                </c:pt>
                <c:pt idx="11">
                  <c:v>Drewno i wyroby z drewna ( 16 )</c:v>
                </c:pt>
                <c:pt idx="12">
                  <c:v>Papier i wyroby z papieru ( 17 )</c:v>
                </c:pt>
                <c:pt idx="13">
                  <c:v>Usługi poligraficzne i reprodukcyjne ( 18 )</c:v>
                </c:pt>
                <c:pt idx="14">
                  <c:v>Koks, produkty rafinacji ropy naftowej ( 19 )</c:v>
                </c:pt>
                <c:pt idx="15">
                  <c:v>Chemikalia, wyroby chemiczne ( 20 )</c:v>
                </c:pt>
                <c:pt idx="16">
                  <c:v>Leki i wyroby farmaceut. ( 21 )</c:v>
                </c:pt>
                <c:pt idx="17">
                  <c:v>Wyroby z gumy i tworzyw sztucznych ( 22 )</c:v>
                </c:pt>
                <c:pt idx="18">
                  <c:v>Wyroby z pozost. surowców niemetalicznych ( 23 )</c:v>
                </c:pt>
                <c:pt idx="19">
                  <c:v>Metale ( 24 )</c:v>
                </c:pt>
                <c:pt idx="20">
                  <c:v>Wyroby metalowe gotowe ( 25 )</c:v>
                </c:pt>
                <c:pt idx="21">
                  <c:v>Komputery, wyroby elektroniczne i optyczne ( 26 )</c:v>
                </c:pt>
                <c:pt idx="22">
                  <c:v>Urządzenia elektr. i nieelektr., sprz. gosp. dom. ( 27 )</c:v>
                </c:pt>
                <c:pt idx="23">
                  <c:v>Maszyny i urządzenia gdzie indziej niesklas. ( 28 )</c:v>
                </c:pt>
                <c:pt idx="24">
                  <c:v>Pojazdy samochodowe, przyczepy i naczepy ( 29 )</c:v>
                </c:pt>
                <c:pt idx="25">
                  <c:v>Pozostały sprzęt transportowy ( 30 )</c:v>
                </c:pt>
                <c:pt idx="26">
                  <c:v>Meble ( 31 )</c:v>
                </c:pt>
                <c:pt idx="27">
                  <c:v>Pozostałe wyroby ( 32 )</c:v>
                </c:pt>
                <c:pt idx="28">
                  <c:v>Usł. naprawy, konserw. i instal. maszyn i urz. ( 33 )</c:v>
                </c:pt>
                <c:pt idx="29">
                  <c:v>Energia elektrycz., gaz, para wodna i gorąca woda ( 35 )</c:v>
                </c:pt>
                <c:pt idx="30">
                  <c:v>Woda; usł. zw. z uzdatn. i dostarczaniem wody ( 36 )</c:v>
                </c:pt>
                <c:pt idx="31">
                  <c:v>Usł. związ. z odpadami; odzysk surowców ( 38 )</c:v>
                </c:pt>
                <c:pt idx="32">
                  <c:v>Usługi związane ze ściekami; osady; usługi związane z rekultywacją (37,39)</c:v>
                </c:pt>
                <c:pt idx="33">
                  <c:v>Obiekty budowlane i roboty budowlane (41-43)</c:v>
                </c:pt>
                <c:pt idx="34">
                  <c:v>Sprzedaż pojazdów samochod.; napr. pojazdów ( 45 )</c:v>
                </c:pt>
                <c:pt idx="35">
                  <c:v>Handel hurtowy ( 46 )</c:v>
                </c:pt>
                <c:pt idx="36">
                  <c:v>Handel detaliczny ( 47 )</c:v>
                </c:pt>
                <c:pt idx="37">
                  <c:v>Transport lądowy i rurociągowy ( 49 )</c:v>
                </c:pt>
                <c:pt idx="38">
                  <c:v>Transport wodny i lotniczy (50-51)</c:v>
                </c:pt>
                <c:pt idx="39">
                  <c:v>Magazynowanie; usługi pocztowe i kurierskie (52-53)</c:v>
                </c:pt>
                <c:pt idx="40">
                  <c:v>Usługi związane z zakwaterowaniem ( 55 )</c:v>
                </c:pt>
                <c:pt idx="41">
                  <c:v>Usługi związane z wyżywieniem ( 56 )</c:v>
                </c:pt>
                <c:pt idx="42">
                  <c:v>Usługi związane z działalnością wydawniczą ( 58 )</c:v>
                </c:pt>
                <c:pt idx="43">
                  <c:v>Usługi zw. z prod. filmów, progr. telew., nagrań ( 59 )</c:v>
                </c:pt>
                <c:pt idx="44">
                  <c:v>Usługi zw. z nadawaniem programów ( 60 )</c:v>
                </c:pt>
                <c:pt idx="45">
                  <c:v>Usługi telekomunikacyjne ( 61 )</c:v>
                </c:pt>
                <c:pt idx="46">
                  <c:v>Usł. zw. z oprogr. i doradztwem w zakr. informatyki ( 62 )</c:v>
                </c:pt>
                <c:pt idx="47">
                  <c:v>Usługi w zakresie informacji ( 63 )</c:v>
                </c:pt>
                <c:pt idx="48">
                  <c:v>Usługi finansowe ( 64 )</c:v>
                </c:pt>
                <c:pt idx="49">
                  <c:v>Usługi ubezpieczeniowe ( 65 )</c:v>
                </c:pt>
                <c:pt idx="50">
                  <c:v>Usługi wspomagające usł. finansowe i ubezp. ( 66 )</c:v>
                </c:pt>
                <c:pt idx="51">
                  <c:v>Usługi zw. z obsługą rynku nieruchomości ( 68 )</c:v>
                </c:pt>
                <c:pt idx="52">
                  <c:v>Usługi prawne i rachunkowo-księgowe ( 69 )</c:v>
                </c:pt>
                <c:pt idx="53">
                  <c:v>Usługi doradztwa w zarządzaniu ( 70 )</c:v>
                </c:pt>
                <c:pt idx="54">
                  <c:v>Usł. architekt. i inżyn.; usł. badań i analiz techn. ( 71 )</c:v>
                </c:pt>
                <c:pt idx="55">
                  <c:v>Usługi w zakresie badań nauk. i prac rozwojow. ( 72 )</c:v>
                </c:pt>
                <c:pt idx="56">
                  <c:v>Usł. reklamowe; usł. badania rynku i opinii publ. ( 73 )</c:v>
                </c:pt>
                <c:pt idx="57">
                  <c:v>Pozostałe usł. profesjon., naukowe i techniczne ( 74 )</c:v>
                </c:pt>
                <c:pt idx="58">
                  <c:v>Usługi weterynaryjne ( 75 )</c:v>
                </c:pt>
                <c:pt idx="59">
                  <c:v>Wynajem i dzierżawa ( 77 )</c:v>
                </c:pt>
                <c:pt idx="60">
                  <c:v>Usługi związane z zatrudnieniem ( 78 )</c:v>
                </c:pt>
                <c:pt idx="61">
                  <c:v>Usługi organizatorów turystyki ( 79 )</c:v>
                </c:pt>
                <c:pt idx="62">
                  <c:v>Usługi detektywistyczne i ochroniarskie ( 80 )</c:v>
                </c:pt>
                <c:pt idx="63">
                  <c:v>Usługi zw. z utrzymaniem porządku w obiektach ( 81 )</c:v>
                </c:pt>
                <c:pt idx="64">
                  <c:v>Usł. zw. z administracyjną obsługą biura ( 82 )</c:v>
                </c:pt>
                <c:pt idx="65">
                  <c:v>Usługi administracji publicznej ( 84 )</c:v>
                </c:pt>
                <c:pt idx="66">
                  <c:v>Usługi w zakresie edukacji ( 85 )</c:v>
                </c:pt>
                <c:pt idx="67">
                  <c:v>Usługi w zakresie opieki zdrowotnej ( 86 )</c:v>
                </c:pt>
                <c:pt idx="68">
                  <c:v>Usługi pomocy społecznej (87-88)</c:v>
                </c:pt>
                <c:pt idx="69">
                  <c:v>Usługi kulturalne i rozrywkowe ( 90 )</c:v>
                </c:pt>
                <c:pt idx="70">
                  <c:v>Usługi bibliotek, archiwów i muzeów ( 91 )</c:v>
                </c:pt>
                <c:pt idx="71">
                  <c:v>Usługi związane z grami i zakładami wzajemn. ( 92 )</c:v>
                </c:pt>
                <c:pt idx="72">
                  <c:v>Usługi związane ze sportem, rozryw. i rekr. ( 93 )</c:v>
                </c:pt>
                <c:pt idx="73">
                  <c:v>Usługi organizacji członkow-skich ( 94 )</c:v>
                </c:pt>
                <c:pt idx="74">
                  <c:v>Usł. napraw i konserw. komp. i art. użytku dom. ( 95 )</c:v>
                </c:pt>
                <c:pt idx="75">
                  <c:v>Pozostałe usługi indywidualne ( 96 )</c:v>
                </c:pt>
                <c:pt idx="76">
                  <c:v>Usługi świadczone przez gospodarstwa domowe (97-98)</c:v>
                </c:pt>
              </c:strCache>
            </c:strRef>
          </c:cat>
          <c:val>
            <c:numRef>
              <c:f>Model!$C$95:$CA$95</c:f>
              <c:numCache>
                <c:formatCode>0.00%</c:formatCode>
                <c:ptCount val="77"/>
                <c:pt idx="0">
                  <c:v>0.20030000000000001</c:v>
                </c:pt>
                <c:pt idx="1">
                  <c:v>0.8266</c:v>
                </c:pt>
                <c:pt idx="2">
                  <c:v>9.5200000000000007E-2</c:v>
                </c:pt>
                <c:pt idx="3">
                  <c:v>9.6199999999999994E-2</c:v>
                </c:pt>
                <c:pt idx="4">
                  <c:v>6.9000000000000006E-2</c:v>
                </c:pt>
                <c:pt idx="5">
                  <c:v>0.42009999999999997</c:v>
                </c:pt>
                <c:pt idx="6">
                  <c:v>0.151</c:v>
                </c:pt>
                <c:pt idx="7">
                  <c:v>0.66700000000000004</c:v>
                </c:pt>
                <c:pt idx="8">
                  <c:v>6.3600000000000004E-2</c:v>
                </c:pt>
                <c:pt idx="9">
                  <c:v>7.1599999999999997E-2</c:v>
                </c:pt>
                <c:pt idx="10">
                  <c:v>0.15459999999999999</c:v>
                </c:pt>
                <c:pt idx="11">
                  <c:v>0.316</c:v>
                </c:pt>
                <c:pt idx="12">
                  <c:v>0.1125</c:v>
                </c:pt>
                <c:pt idx="13">
                  <c:v>6.88E-2</c:v>
                </c:pt>
                <c:pt idx="14">
                  <c:v>1.72E-2</c:v>
                </c:pt>
                <c:pt idx="15">
                  <c:v>5.28E-2</c:v>
                </c:pt>
                <c:pt idx="16">
                  <c:v>8.8800000000000004E-2</c:v>
                </c:pt>
                <c:pt idx="17">
                  <c:v>0.12989999999999999</c:v>
                </c:pt>
                <c:pt idx="18">
                  <c:v>6.3899999999999998E-2</c:v>
                </c:pt>
                <c:pt idx="19">
                  <c:v>4.4600000000000001E-2</c:v>
                </c:pt>
                <c:pt idx="20">
                  <c:v>5.3699999999999998E-2</c:v>
                </c:pt>
                <c:pt idx="21">
                  <c:v>3.7600000000000001E-2</c:v>
                </c:pt>
                <c:pt idx="22">
                  <c:v>4.5100000000000001E-2</c:v>
                </c:pt>
                <c:pt idx="23">
                  <c:v>5.8299999999999998E-2</c:v>
                </c:pt>
                <c:pt idx="24">
                  <c:v>4.2299999999999997E-2</c:v>
                </c:pt>
                <c:pt idx="25">
                  <c:v>4.82E-2</c:v>
                </c:pt>
                <c:pt idx="26">
                  <c:v>0.1196</c:v>
                </c:pt>
                <c:pt idx="27">
                  <c:v>6.3299999999999995E-2</c:v>
                </c:pt>
                <c:pt idx="28">
                  <c:v>4.9000000000000002E-2</c:v>
                </c:pt>
                <c:pt idx="29">
                  <c:v>8.4400000000000003E-2</c:v>
                </c:pt>
                <c:pt idx="30">
                  <c:v>5.8500000000000003E-2</c:v>
                </c:pt>
                <c:pt idx="31">
                  <c:v>5.6099999999999997E-2</c:v>
                </c:pt>
                <c:pt idx="32">
                  <c:v>6.3700000000000007E-2</c:v>
                </c:pt>
                <c:pt idx="33">
                  <c:v>5.8900000000000001E-2</c:v>
                </c:pt>
                <c:pt idx="34">
                  <c:v>3.2300000000000002E-2</c:v>
                </c:pt>
                <c:pt idx="35">
                  <c:v>7.6100000000000001E-2</c:v>
                </c:pt>
                <c:pt idx="36">
                  <c:v>6.1800000000000001E-2</c:v>
                </c:pt>
                <c:pt idx="37">
                  <c:v>4.7E-2</c:v>
                </c:pt>
                <c:pt idx="38">
                  <c:v>4.6100000000000002E-2</c:v>
                </c:pt>
                <c:pt idx="39">
                  <c:v>5.2900000000000003E-2</c:v>
                </c:pt>
                <c:pt idx="40">
                  <c:v>9.7199999999999995E-2</c:v>
                </c:pt>
                <c:pt idx="41">
                  <c:v>0.1351</c:v>
                </c:pt>
                <c:pt idx="42">
                  <c:v>7.1099999999999997E-2</c:v>
                </c:pt>
                <c:pt idx="43">
                  <c:v>4.3299999999999998E-2</c:v>
                </c:pt>
                <c:pt idx="44">
                  <c:v>4.8399999999999999E-2</c:v>
                </c:pt>
                <c:pt idx="45">
                  <c:v>4.3799999999999999E-2</c:v>
                </c:pt>
                <c:pt idx="46">
                  <c:v>6.1699999999999998E-2</c:v>
                </c:pt>
                <c:pt idx="47">
                  <c:v>6.2100000000000002E-2</c:v>
                </c:pt>
                <c:pt idx="48">
                  <c:v>5.7599999999999998E-2</c:v>
                </c:pt>
                <c:pt idx="49">
                  <c:v>4.7699999999999999E-2</c:v>
                </c:pt>
                <c:pt idx="50">
                  <c:v>6.9099999999999995E-2</c:v>
                </c:pt>
                <c:pt idx="51">
                  <c:v>4.1700000000000001E-2</c:v>
                </c:pt>
                <c:pt idx="52">
                  <c:v>5.3499999999999999E-2</c:v>
                </c:pt>
                <c:pt idx="53">
                  <c:v>5.9200000000000003E-2</c:v>
                </c:pt>
                <c:pt idx="54">
                  <c:v>4.99E-2</c:v>
                </c:pt>
                <c:pt idx="55">
                  <c:v>8.2600000000000007E-2</c:v>
                </c:pt>
                <c:pt idx="56">
                  <c:v>4.4699999999999997E-2</c:v>
                </c:pt>
                <c:pt idx="57">
                  <c:v>3.7199999999999997E-2</c:v>
                </c:pt>
                <c:pt idx="58">
                  <c:v>2.41E-2</c:v>
                </c:pt>
                <c:pt idx="59">
                  <c:v>4.0500000000000001E-2</c:v>
                </c:pt>
                <c:pt idx="60">
                  <c:v>0.12809999999999999</c:v>
                </c:pt>
                <c:pt idx="61">
                  <c:v>5.33E-2</c:v>
                </c:pt>
                <c:pt idx="62">
                  <c:v>0.1285</c:v>
                </c:pt>
                <c:pt idx="63">
                  <c:v>0.1057</c:v>
                </c:pt>
                <c:pt idx="64">
                  <c:v>0.14219999999999999</c:v>
                </c:pt>
                <c:pt idx="65">
                  <c:v>0.1207</c:v>
                </c:pt>
                <c:pt idx="66">
                  <c:v>0.1208</c:v>
                </c:pt>
                <c:pt idx="67">
                  <c:v>6.8199999999999997E-2</c:v>
                </c:pt>
                <c:pt idx="68">
                  <c:v>0.1343</c:v>
                </c:pt>
                <c:pt idx="69">
                  <c:v>9.0300000000000005E-2</c:v>
                </c:pt>
                <c:pt idx="70">
                  <c:v>7.0499999999999993E-2</c:v>
                </c:pt>
                <c:pt idx="71">
                  <c:v>6.6299999999999998E-2</c:v>
                </c:pt>
                <c:pt idx="72">
                  <c:v>7.3599999999999999E-2</c:v>
                </c:pt>
                <c:pt idx="73">
                  <c:v>0.13139999999999999</c:v>
                </c:pt>
                <c:pt idx="74">
                  <c:v>6.2199999999999998E-2</c:v>
                </c:pt>
                <c:pt idx="75">
                  <c:v>5.1200000000000002E-2</c:v>
                </c:pt>
                <c:pt idx="76">
                  <c:v>1.3299999999999999E-2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5-43E5-8260-44D78B264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axId val="935741839"/>
        <c:axId val="1054962799"/>
      </c:barChart>
      <c:catAx>
        <c:axId val="9357418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l-PL"/>
          </a:p>
        </c:txPr>
        <c:crossAx val="1054962799"/>
        <c:crosses val="autoZero"/>
        <c:auto val="1"/>
        <c:lblAlgn val="ctr"/>
        <c:lblOffset val="100"/>
        <c:noMultiLvlLbl val="0"/>
      </c:catAx>
      <c:valAx>
        <c:axId val="105496279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l-PL"/>
          </a:p>
        </c:txPr>
        <c:crossAx val="935741839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69000">
          <a:schemeClr val="accent6">
            <a:lumMod val="5000"/>
            <a:lumOff val="95000"/>
          </a:schemeClr>
        </a:gs>
        <a:gs pos="13000">
          <a:srgbClr val="E1FFE1"/>
        </a:gs>
        <a:gs pos="0">
          <a:srgbClr val="BDFFBD"/>
        </a:gs>
      </a:gsLst>
      <a:lin ang="7800000" scaled="0"/>
      <a:tileRect/>
    </a:gradFill>
    <a:ln w="28575" cap="flat" cmpd="sng" algn="ctr">
      <a:gradFill flip="none" rotWithShape="1">
        <a:gsLst>
          <a:gs pos="60000">
            <a:schemeClr val="bg1"/>
          </a:gs>
          <a:gs pos="100000">
            <a:srgbClr val="FF0000"/>
          </a:gs>
          <a:gs pos="0">
            <a:srgbClr val="FF0000"/>
          </a:gs>
        </a:gsLst>
        <a:lin ang="8100000" scaled="1"/>
        <a:tileRect/>
      </a:gra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600" b="1"/>
              <a:t>Tempa zmian cen odbiorców finalnych</a:t>
            </a:r>
          </a:p>
        </c:rich>
      </c:tx>
      <c:layout>
        <c:manualLayout>
          <c:xMode val="edge"/>
          <c:yMode val="edge"/>
          <c:x val="0.40280558238003261"/>
          <c:y val="4.7892720306513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l-P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Tempa zmian cen odbiorców finalnych</c:v>
          </c:tx>
          <c:spPr>
            <a:solidFill>
              <a:schemeClr val="tx1"/>
            </a:solidFill>
            <a:ln w="12700">
              <a:solidFill>
                <a:srgbClr val="A2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Model!$CB$1:$CE$1</c:f>
              <c:strCache>
                <c:ptCount val="4"/>
                <c:pt idx="0">
                  <c:v>Konsumpcja gospodarstw domowych</c:v>
                </c:pt>
                <c:pt idx="1">
                  <c:v>Wydatki rządowe i samorządowe</c:v>
                </c:pt>
                <c:pt idx="2">
                  <c:v>Inwestycje</c:v>
                </c:pt>
                <c:pt idx="3">
                  <c:v>Eksport</c:v>
                </c:pt>
              </c:strCache>
            </c:strRef>
          </c:cat>
          <c:val>
            <c:numRef>
              <c:f>Model!$CB$95:$CE$95</c:f>
              <c:numCache>
                <c:formatCode>0.00%</c:formatCode>
                <c:ptCount val="4"/>
                <c:pt idx="0">
                  <c:v>0.16</c:v>
                </c:pt>
                <c:pt idx="1">
                  <c:v>0.10050000000000001</c:v>
                </c:pt>
                <c:pt idx="2">
                  <c:v>4.3299999999999998E-2</c:v>
                </c:pt>
                <c:pt idx="3">
                  <c:v>0.1183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6C-4FF9-8458-017CBBD38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axId val="1052414111"/>
        <c:axId val="1228806815"/>
      </c:barChart>
      <c:catAx>
        <c:axId val="10524141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l-PL"/>
          </a:p>
        </c:txPr>
        <c:crossAx val="1228806815"/>
        <c:crosses val="autoZero"/>
        <c:auto val="1"/>
        <c:lblAlgn val="ctr"/>
        <c:lblOffset val="100"/>
        <c:noMultiLvlLbl val="0"/>
      </c:catAx>
      <c:valAx>
        <c:axId val="122880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l-PL"/>
          </a:p>
        </c:txPr>
        <c:crossAx val="1052414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27000">
          <a:schemeClr val="accent6">
            <a:lumMod val="5000"/>
            <a:lumOff val="95000"/>
          </a:schemeClr>
        </a:gs>
        <a:gs pos="100000">
          <a:srgbClr val="BDFFBD"/>
        </a:gs>
        <a:gs pos="80000">
          <a:srgbClr val="E1FFE1"/>
        </a:gs>
      </a:gsLst>
      <a:lin ang="7800000" scaled="0"/>
      <a:tileRect/>
    </a:gradFill>
    <a:ln w="28575" cap="flat" cmpd="sng" algn="ctr">
      <a:gradFill flip="none" rotWithShape="1">
        <a:gsLst>
          <a:gs pos="0">
            <a:srgbClr val="FF0000"/>
          </a:gs>
          <a:gs pos="53000">
            <a:schemeClr val="bg1"/>
          </a:gs>
          <a:gs pos="100000">
            <a:srgbClr val="FF0000"/>
          </a:gs>
        </a:gsLst>
        <a:lin ang="8100000" scaled="1"/>
        <a:tileRect/>
      </a:gra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A$2" lockText="1" noThreeD="1"/>
</file>

<file path=xl/ctrlProps/ctrlProp2.xml><?xml version="1.0" encoding="utf-8"?>
<formControlPr xmlns="http://schemas.microsoft.com/office/spreadsheetml/2009/9/main" objectType="CheckBox" checked="Checked" fmlaLink="$A$3" lockText="1" noThreeD="1"/>
</file>

<file path=xl/ctrlProps/ctrlProp3.xml><?xml version="1.0" encoding="utf-8"?>
<formControlPr xmlns="http://schemas.microsoft.com/office/spreadsheetml/2009/9/main" objectType="CheckBox" checked="Checked" fmlaLink="$A$4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6" name="Line 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8" name="Line 1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9" name="Line 1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0" name="Line 1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1" name="Line 1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5" name="Line 22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6" name="Line 23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7" name="Line 2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8" name="Line 25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19" name="Line 26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0" name="Line 27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1" name="Line 28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2" name="Line 29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3" name="Line 30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4" name="Line 3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5" name="Line 3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6" name="Line 33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7" name="Line 34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8" name="Line 35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29" name="Line 36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0" name="Line 37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ShapeType="1"/>
        </xdr:cNvSpPr>
      </xdr:nvSpPr>
      <xdr:spPr bwMode="auto">
        <a:xfrm>
          <a:off x="85791675" y="942975"/>
          <a:ext cx="0" cy="3086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1" name="Line 4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ShapeType="1"/>
        </xdr:cNvSpPr>
      </xdr:nvSpPr>
      <xdr:spPr bwMode="auto">
        <a:xfrm flipH="1">
          <a:off x="85791675" y="942975"/>
          <a:ext cx="0" cy="3048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2" name="Line 4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ShapeType="1"/>
        </xdr:cNvSpPr>
      </xdr:nvSpPr>
      <xdr:spPr bwMode="auto">
        <a:xfrm flipH="1">
          <a:off x="85791675" y="942975"/>
          <a:ext cx="0" cy="3048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3" name="Line 4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ShapeType="1"/>
        </xdr:cNvSpPr>
      </xdr:nvSpPr>
      <xdr:spPr bwMode="auto">
        <a:xfrm flipH="1">
          <a:off x="85791675" y="942975"/>
          <a:ext cx="0" cy="3048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4" name="Line 44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ShapeType="1"/>
        </xdr:cNvSpPr>
      </xdr:nvSpPr>
      <xdr:spPr bwMode="auto">
        <a:xfrm flipH="1">
          <a:off x="85791675" y="942975"/>
          <a:ext cx="0" cy="3048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5" name="Line 45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ShapeType="1"/>
        </xdr:cNvSpPr>
      </xdr:nvSpPr>
      <xdr:spPr bwMode="auto">
        <a:xfrm flipH="1">
          <a:off x="85791675" y="942975"/>
          <a:ext cx="0" cy="3048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ShapeType="1"/>
        </xdr:cNvSpPr>
      </xdr:nvSpPr>
      <xdr:spPr bwMode="auto">
        <a:xfrm>
          <a:off x="85791675" y="600075"/>
          <a:ext cx="0" cy="3429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7" name="Line 5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ShapeType="1"/>
        </xdr:cNvSpPr>
      </xdr:nvSpPr>
      <xdr:spPr bwMode="auto">
        <a:xfrm flipH="1">
          <a:off x="85791675" y="571500"/>
          <a:ext cx="0" cy="3419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8" name="Line 55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ShapeType="1"/>
        </xdr:cNvSpPr>
      </xdr:nvSpPr>
      <xdr:spPr bwMode="auto">
        <a:xfrm flipH="1">
          <a:off x="85791675" y="571500"/>
          <a:ext cx="0" cy="3419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39" name="Line 60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ShapeType="1"/>
        </xdr:cNvSpPr>
      </xdr:nvSpPr>
      <xdr:spPr bwMode="auto">
        <a:xfrm>
          <a:off x="85791675" y="600075"/>
          <a:ext cx="0" cy="3429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40" name="Line 6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ShapeType="1"/>
        </xdr:cNvSpPr>
      </xdr:nvSpPr>
      <xdr:spPr bwMode="auto">
        <a:xfrm flipH="1">
          <a:off x="85791675" y="571500"/>
          <a:ext cx="0" cy="3419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41" name="Line 68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>
          <a:off x="85791675" y="600075"/>
          <a:ext cx="0" cy="3429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42" name="Line 7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ShapeType="1"/>
        </xdr:cNvSpPr>
      </xdr:nvSpPr>
      <xdr:spPr bwMode="auto">
        <a:xfrm flipH="1">
          <a:off x="85791675" y="571500"/>
          <a:ext cx="0" cy="3419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43" name="Line 76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>
          <a:off x="85791675" y="600075"/>
          <a:ext cx="0" cy="34290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0</xdr:colOff>
      <xdr:row>0</xdr:row>
      <xdr:rowOff>0</xdr:rowOff>
    </xdr:from>
    <xdr:to>
      <xdr:col>81</xdr:col>
      <xdr:colOff>0</xdr:colOff>
      <xdr:row>1</xdr:row>
      <xdr:rowOff>0</xdr:rowOff>
    </xdr:to>
    <xdr:sp macro="" textlink="">
      <xdr:nvSpPr>
        <xdr:cNvPr id="44" name="Line 79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ShapeType="1"/>
        </xdr:cNvSpPr>
      </xdr:nvSpPr>
      <xdr:spPr bwMode="auto">
        <a:xfrm flipH="1">
          <a:off x="85791675" y="571500"/>
          <a:ext cx="0" cy="3419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119640</xdr:colOff>
      <xdr:row>0</xdr:row>
      <xdr:rowOff>53340</xdr:rowOff>
    </xdr:from>
    <xdr:to>
      <xdr:col>24</xdr:col>
      <xdr:colOff>0</xdr:colOff>
      <xdr:row>34</xdr:row>
      <xdr:rowOff>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15</xdr:row>
      <xdr:rowOff>0</xdr:rowOff>
    </xdr:from>
    <xdr:to>
      <xdr:col>12</xdr:col>
      <xdr:colOff>0</xdr:colOff>
      <xdr:row>34</xdr:row>
      <xdr:rowOff>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9" name="Prostoką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194560" y="373380"/>
          <a:ext cx="4297680" cy="1104900"/>
        </a:xfrm>
        <a:prstGeom prst="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58000">
              <a:srgbClr val="E1FFE1"/>
            </a:gs>
            <a:gs pos="100000">
              <a:srgbClr val="BDFFBD"/>
            </a:gs>
          </a:gsLst>
          <a:lin ang="10800000" scaled="1"/>
          <a:tileRect/>
        </a:gradFill>
        <a:ln w="12700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4</xdr:row>
          <xdr:rowOff>0</xdr:rowOff>
        </xdr:from>
        <xdr:to>
          <xdr:col>11</xdr:col>
          <xdr:colOff>647700</xdr:colOff>
          <xdr:row>7</xdr:row>
          <xdr:rowOff>122955</xdr:rowOff>
        </xdr:to>
        <xdr:grpSp>
          <xdr:nvGrpSpPr>
            <xdr:cNvPr id="4" name="Grupa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pSpPr/>
          </xdr:nvGrpSpPr>
          <xdr:grpSpPr>
            <a:xfrm>
              <a:off x="2331720" y="739140"/>
              <a:ext cx="4091940" cy="671595"/>
              <a:chOff x="1333500" y="99060"/>
              <a:chExt cx="3657600" cy="800100"/>
            </a:xfrm>
            <a:solidFill>
              <a:sysClr val="window" lastClr="FFFFFF"/>
            </a:solidFill>
          </xdr:grpSpPr>
          <xdr:sp macro="" textlink="">
            <xdr:nvSpPr>
              <xdr:cNvPr id="5134" name="Check Box 14" hidden="1">
                <a:extLst>
                  <a:ext uri="{63B3BB69-23CF-44E3-9099-C40C66FF867C}">
                    <a14:compatExt spid="_x0000_s5134"/>
                  </a:ext>
                  <a:ext uri="{FF2B5EF4-FFF2-40B4-BE49-F238E27FC236}">
                    <a16:creationId xmlns:a16="http://schemas.microsoft.com/office/drawing/2014/main" id="{00000000-0008-0000-0200-00000E140000}"/>
                  </a:ext>
                </a:extLst>
              </xdr:cNvPr>
              <xdr:cNvSpPr/>
            </xdr:nvSpPr>
            <xdr:spPr bwMode="auto">
              <a:xfrm>
                <a:off x="1333500" y="99060"/>
                <a:ext cx="36576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Przełącznik 1 (Wpływ cen importu na koszty materiałowe)</a:t>
                </a:r>
              </a:p>
            </xdr:txBody>
          </xdr:sp>
          <xdr:sp macro="" textlink="">
            <xdr:nvSpPr>
              <xdr:cNvPr id="5135" name="Check Box 15" hidden="1">
                <a:extLst>
                  <a:ext uri="{63B3BB69-23CF-44E3-9099-C40C66FF867C}">
                    <a14:compatExt spid="_x0000_s5135"/>
                  </a:ext>
                  <a:ext uri="{FF2B5EF4-FFF2-40B4-BE49-F238E27FC236}">
                    <a16:creationId xmlns:a16="http://schemas.microsoft.com/office/drawing/2014/main" id="{00000000-0008-0000-0200-00000F140000}"/>
                  </a:ext>
                </a:extLst>
              </xdr:cNvPr>
              <xdr:cNvSpPr/>
            </xdr:nvSpPr>
            <xdr:spPr bwMode="auto">
              <a:xfrm>
                <a:off x="1333500" y="312420"/>
                <a:ext cx="3657600" cy="3810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Przełącznik 2. (Wpływ kosztów materiałowych na ceny produkcji)</a:t>
                </a:r>
              </a:p>
            </xdr:txBody>
          </xdr:sp>
          <xdr:sp macro="" textlink="">
            <xdr:nvSpPr>
              <xdr:cNvPr id="5136" name="Check Box 16" hidden="1">
                <a:extLst>
                  <a:ext uri="{63B3BB69-23CF-44E3-9099-C40C66FF867C}">
                    <a14:compatExt spid="_x0000_s5136"/>
                  </a:ext>
                  <a:ext uri="{FF2B5EF4-FFF2-40B4-BE49-F238E27FC236}">
                    <a16:creationId xmlns:a16="http://schemas.microsoft.com/office/drawing/2014/main" id="{00000000-0008-0000-0200-000010140000}"/>
                  </a:ext>
                </a:extLst>
              </xdr:cNvPr>
              <xdr:cNvSpPr/>
            </xdr:nvSpPr>
            <xdr:spPr bwMode="auto">
              <a:xfrm>
                <a:off x="1333500" y="632460"/>
                <a:ext cx="36576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Przełącznik 3. (Wpływ cen konsumenckich na jednostkowe koszty pracy)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6</xdr:col>
      <xdr:colOff>0</xdr:colOff>
      <xdr:row>2</xdr:row>
      <xdr:rowOff>95250</xdr:rowOff>
    </xdr:from>
    <xdr:to>
      <xdr:col>12</xdr:col>
      <xdr:colOff>0</xdr:colOff>
      <xdr:row>4</xdr:row>
      <xdr:rowOff>38100</xdr:rowOff>
    </xdr:to>
    <xdr:sp macro="" textlink="">
      <xdr:nvSpPr>
        <xdr:cNvPr id="5" name="pole tekstow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143125" y="485775"/>
          <a:ext cx="42005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200">
              <a:latin typeface="Times New Roman" panose="02020603050405020304" pitchFamily="18" charset="0"/>
              <a:cs typeface="Times New Roman" panose="02020603050405020304" pitchFamily="18" charset="0"/>
            </a:rPr>
            <a:t>Wybierz jakie</a:t>
          </a:r>
          <a:r>
            <a:rPr lang="pl-PL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mechanizmy mają działać w modelu:</a:t>
          </a:r>
          <a:endParaRPr lang="pl-PL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B923B-93F2-435A-BEE8-F6C71602BE26}">
  <sheetPr codeName="Arkusz3"/>
  <dimension ref="A1:CJ403"/>
  <sheetViews>
    <sheetView tabSelected="1" zoomScale="55" zoomScaleNormal="5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.109375" defaultRowHeight="13.8" x14ac:dyDescent="0.25"/>
  <cols>
    <col min="1" max="1" width="46.6640625" style="1" customWidth="1"/>
    <col min="2" max="2" width="29" style="1" bestFit="1" customWidth="1"/>
    <col min="3" max="3" width="11.88671875" style="1" bestFit="1" customWidth="1"/>
    <col min="4" max="4" width="15.88671875" style="1" bestFit="1" customWidth="1"/>
    <col min="5" max="5" width="16.6640625" style="1" customWidth="1"/>
    <col min="6" max="6" width="16.5546875" style="1" bestFit="1" customWidth="1"/>
    <col min="7" max="7" width="15.6640625" style="1" bestFit="1" customWidth="1"/>
    <col min="8" max="8" width="11.6640625" style="1" bestFit="1" customWidth="1"/>
    <col min="9" max="9" width="10.6640625" style="1" bestFit="1" customWidth="1"/>
    <col min="10" max="10" width="16.5546875" style="1" bestFit="1" customWidth="1"/>
    <col min="11" max="11" width="16.33203125" style="1" bestFit="1" customWidth="1"/>
    <col min="12" max="12" width="10.6640625" style="1" bestFit="1" customWidth="1"/>
    <col min="13" max="13" width="16.6640625" style="1" customWidth="1"/>
    <col min="14" max="14" width="15.88671875" style="1" bestFit="1" customWidth="1"/>
    <col min="15" max="15" width="16" style="1" bestFit="1" customWidth="1"/>
    <col min="16" max="16" width="12.88671875" style="1" bestFit="1" customWidth="1"/>
    <col min="17" max="17" width="14.44140625" style="1" bestFit="1" customWidth="1"/>
    <col min="18" max="18" width="16.6640625" style="1" customWidth="1"/>
    <col min="19" max="19" width="13" style="1" bestFit="1" customWidth="1"/>
    <col min="20" max="21" width="16.33203125" style="1" bestFit="1" customWidth="1"/>
    <col min="22" max="22" width="10.6640625" style="1" bestFit="1" customWidth="1"/>
    <col min="23" max="23" width="16.6640625" style="1" customWidth="1"/>
    <col min="24" max="24" width="13.109375" style="1" bestFit="1" customWidth="1"/>
    <col min="25" max="25" width="16.44140625" style="1" bestFit="1" customWidth="1"/>
    <col min="26" max="26" width="14.88671875" style="1" bestFit="1" customWidth="1"/>
    <col min="27" max="27" width="13.5546875" style="1" bestFit="1" customWidth="1"/>
    <col min="28" max="28" width="14.88671875" style="1" bestFit="1" customWidth="1"/>
    <col min="29" max="29" width="10.6640625" style="1" bestFit="1" customWidth="1"/>
    <col min="30" max="30" width="16" style="1" bestFit="1" customWidth="1"/>
    <col min="31" max="31" width="15.88671875" style="1" bestFit="1" customWidth="1"/>
    <col min="32" max="32" width="44.44140625" style="1" bestFit="1" customWidth="1"/>
    <col min="33" max="33" width="15.6640625" style="1" bestFit="1" customWidth="1"/>
    <col min="34" max="34" width="16.44140625" style="1" bestFit="1" customWidth="1"/>
    <col min="35" max="35" width="16.44140625" style="1" customWidth="1"/>
    <col min="36" max="36" width="16.33203125" style="1" bestFit="1" customWidth="1"/>
    <col min="37" max="37" width="15.6640625" style="1" bestFit="1" customWidth="1"/>
    <col min="38" max="38" width="14.5546875" style="1" bestFit="1" customWidth="1"/>
    <col min="39" max="40" width="16" style="1" bestFit="1" customWidth="1"/>
    <col min="41" max="41" width="16.44140625" style="1" bestFit="1" customWidth="1"/>
    <col min="42" max="42" width="16" style="1" bestFit="1" customWidth="1"/>
    <col min="43" max="43" width="16.44140625" style="1" bestFit="1" customWidth="1"/>
    <col min="44" max="46" width="16.33203125" style="1" bestFit="1" customWidth="1"/>
    <col min="47" max="47" width="11.6640625" style="1" bestFit="1" customWidth="1"/>
    <col min="48" max="48" width="16.5546875" style="1" bestFit="1" customWidth="1"/>
    <col min="49" max="49" width="16.44140625" style="1" bestFit="1" customWidth="1"/>
    <col min="50" max="50" width="16" style="1" bestFit="1" customWidth="1"/>
    <col min="51" max="51" width="15.6640625" style="1" bestFit="1" customWidth="1"/>
    <col min="52" max="52" width="15.33203125" style="1" bestFit="1" customWidth="1"/>
    <col min="53" max="53" width="14.44140625" style="1" bestFit="1" customWidth="1"/>
    <col min="54" max="54" width="13.109375" style="1" bestFit="1" customWidth="1"/>
    <col min="55" max="55" width="14.5546875" style="1" bestFit="1" customWidth="1"/>
    <col min="56" max="56" width="15.88671875" style="1" bestFit="1" customWidth="1"/>
    <col min="57" max="58" width="16.5546875" style="1" bestFit="1" customWidth="1"/>
    <col min="59" max="59" width="16.6640625" style="1" customWidth="1"/>
    <col min="60" max="60" width="16.44140625" style="1" customWidth="1"/>
    <col min="61" max="61" width="13.109375" style="1" bestFit="1" customWidth="1"/>
    <col min="62" max="62" width="10.6640625" style="1" bestFit="1" customWidth="1"/>
    <col min="63" max="63" width="16.33203125" style="1" bestFit="1" customWidth="1"/>
    <col min="64" max="64" width="12.88671875" style="1" bestFit="1" customWidth="1"/>
    <col min="65" max="65" width="16.6640625" style="1" customWidth="1"/>
    <col min="66" max="66" width="12" style="1" bestFit="1" customWidth="1"/>
    <col min="67" max="67" width="14.44140625" style="1" bestFit="1" customWidth="1"/>
    <col min="68" max="68" width="12" style="1" bestFit="1" customWidth="1"/>
    <col min="69" max="69" width="16" style="1" bestFit="1" customWidth="1"/>
    <col min="70" max="70" width="16.33203125" style="1" bestFit="1" customWidth="1"/>
    <col min="71" max="71" width="14.33203125" style="1" bestFit="1" customWidth="1"/>
    <col min="72" max="72" width="16.109375" style="1" bestFit="1" customWidth="1"/>
    <col min="73" max="73" width="15.6640625" style="1" bestFit="1" customWidth="1"/>
    <col min="74" max="74" width="16.33203125" style="1" bestFit="1" customWidth="1"/>
    <col min="75" max="75" width="14.88671875" style="1" bestFit="1" customWidth="1"/>
    <col min="76" max="76" width="16.44140625" style="1" bestFit="1" customWidth="1"/>
    <col min="77" max="77" width="16" style="1" bestFit="1" customWidth="1"/>
    <col min="78" max="78" width="20.5546875" style="1" bestFit="1" customWidth="1"/>
    <col min="79" max="79" width="20.5546875" style="1" customWidth="1"/>
    <col min="80" max="80" width="13.44140625" style="1" bestFit="1" customWidth="1"/>
    <col min="81" max="81" width="19.5546875" style="1" bestFit="1" customWidth="1"/>
    <col min="82" max="82" width="13.33203125" style="1" customWidth="1"/>
    <col min="83" max="83" width="15.88671875" style="1" bestFit="1" customWidth="1"/>
    <col min="84" max="85" width="11.6640625" style="1" bestFit="1" customWidth="1"/>
    <col min="86" max="86" width="15.88671875" style="1" bestFit="1" customWidth="1"/>
    <col min="87" max="87" width="13.44140625" style="1" bestFit="1" customWidth="1"/>
    <col min="88" max="88" width="2.44140625" style="1" bestFit="1" customWidth="1"/>
    <col min="89" max="16384" width="9.109375" style="1"/>
  </cols>
  <sheetData>
    <row r="1" spans="1:88" ht="69" x14ac:dyDescent="0.25">
      <c r="A1" s="2"/>
      <c r="C1" s="38" t="s">
        <v>0</v>
      </c>
      <c r="D1" s="39" t="s">
        <v>1</v>
      </c>
      <c r="E1" s="39" t="s">
        <v>2</v>
      </c>
      <c r="F1" s="39" t="s">
        <v>3</v>
      </c>
      <c r="G1" s="39" t="s">
        <v>4</v>
      </c>
      <c r="H1" s="39" t="s">
        <v>5</v>
      </c>
      <c r="I1" s="39" t="s">
        <v>6</v>
      </c>
      <c r="J1" s="39" t="s">
        <v>7</v>
      </c>
      <c r="K1" s="39" t="s">
        <v>8</v>
      </c>
      <c r="L1" s="39" t="s">
        <v>9</v>
      </c>
      <c r="M1" s="39" t="s">
        <v>10</v>
      </c>
      <c r="N1" s="39" t="s">
        <v>11</v>
      </c>
      <c r="O1" s="39" t="s">
        <v>12</v>
      </c>
      <c r="P1" s="39" t="s">
        <v>13</v>
      </c>
      <c r="Q1" s="39" t="s">
        <v>14</v>
      </c>
      <c r="R1" s="39" t="s">
        <v>15</v>
      </c>
      <c r="S1" s="39" t="s">
        <v>16</v>
      </c>
      <c r="T1" s="39" t="s">
        <v>17</v>
      </c>
      <c r="U1" s="39" t="s">
        <v>18</v>
      </c>
      <c r="V1" s="39" t="s">
        <v>19</v>
      </c>
      <c r="W1" s="39" t="s">
        <v>20</v>
      </c>
      <c r="X1" s="39" t="s">
        <v>21</v>
      </c>
      <c r="Y1" s="39" t="s">
        <v>22</v>
      </c>
      <c r="Z1" s="39" t="s">
        <v>23</v>
      </c>
      <c r="AA1" s="39" t="s">
        <v>24</v>
      </c>
      <c r="AB1" s="39" t="s">
        <v>25</v>
      </c>
      <c r="AC1" s="39" t="s">
        <v>26</v>
      </c>
      <c r="AD1" s="39" t="s">
        <v>27</v>
      </c>
      <c r="AE1" s="39" t="s">
        <v>28</v>
      </c>
      <c r="AF1" s="40" t="s">
        <v>29</v>
      </c>
      <c r="AG1" s="39" t="s">
        <v>30</v>
      </c>
      <c r="AH1" s="39" t="s">
        <v>31</v>
      </c>
      <c r="AI1" s="39" t="s">
        <v>32</v>
      </c>
      <c r="AJ1" s="39" t="s">
        <v>33</v>
      </c>
      <c r="AK1" s="39" t="s">
        <v>34</v>
      </c>
      <c r="AL1" s="39" t="s">
        <v>35</v>
      </c>
      <c r="AM1" s="39" t="s">
        <v>36</v>
      </c>
      <c r="AN1" s="39" t="s">
        <v>37</v>
      </c>
      <c r="AO1" s="39" t="s">
        <v>38</v>
      </c>
      <c r="AP1" s="39" t="s">
        <v>39</v>
      </c>
      <c r="AQ1" s="39" t="s">
        <v>40</v>
      </c>
      <c r="AR1" s="39" t="s">
        <v>41</v>
      </c>
      <c r="AS1" s="39" t="s">
        <v>42</v>
      </c>
      <c r="AT1" s="39" t="s">
        <v>43</v>
      </c>
      <c r="AU1" s="39" t="s">
        <v>44</v>
      </c>
      <c r="AV1" s="39" t="s">
        <v>45</v>
      </c>
      <c r="AW1" s="39" t="s">
        <v>46</v>
      </c>
      <c r="AX1" s="39" t="s">
        <v>47</v>
      </c>
      <c r="AY1" s="39" t="s">
        <v>48</v>
      </c>
      <c r="AZ1" s="39" t="s">
        <v>49</v>
      </c>
      <c r="BA1" s="39" t="s">
        <v>50</v>
      </c>
      <c r="BB1" s="39" t="s">
        <v>51</v>
      </c>
      <c r="BC1" s="39" t="s">
        <v>52</v>
      </c>
      <c r="BD1" s="39" t="s">
        <v>53</v>
      </c>
      <c r="BE1" s="39" t="s">
        <v>54</v>
      </c>
      <c r="BF1" s="39" t="s">
        <v>55</v>
      </c>
      <c r="BG1" s="39" t="s">
        <v>56</v>
      </c>
      <c r="BH1" s="39" t="s">
        <v>57</v>
      </c>
      <c r="BI1" s="39" t="s">
        <v>58</v>
      </c>
      <c r="BJ1" s="39" t="s">
        <v>59</v>
      </c>
      <c r="BK1" s="39" t="s">
        <v>60</v>
      </c>
      <c r="BL1" s="39" t="s">
        <v>61</v>
      </c>
      <c r="BM1" s="39" t="s">
        <v>62</v>
      </c>
      <c r="BN1" s="39" t="s">
        <v>63</v>
      </c>
      <c r="BO1" s="39" t="s">
        <v>64</v>
      </c>
      <c r="BP1" s="39" t="s">
        <v>65</v>
      </c>
      <c r="BQ1" s="39" t="s">
        <v>66</v>
      </c>
      <c r="BR1" s="39" t="s">
        <v>67</v>
      </c>
      <c r="BS1" s="39" t="s">
        <v>68</v>
      </c>
      <c r="BT1" s="39" t="s">
        <v>69</v>
      </c>
      <c r="BU1" s="39" t="s">
        <v>70</v>
      </c>
      <c r="BV1" s="39" t="s">
        <v>71</v>
      </c>
      <c r="BW1" s="39" t="s">
        <v>72</v>
      </c>
      <c r="BX1" s="39" t="s">
        <v>73</v>
      </c>
      <c r="BY1" s="39" t="s">
        <v>74</v>
      </c>
      <c r="BZ1" s="39" t="s">
        <v>75</v>
      </c>
      <c r="CA1" s="41" t="s">
        <v>76</v>
      </c>
      <c r="CB1" s="4" t="s">
        <v>77</v>
      </c>
      <c r="CC1" s="3" t="s">
        <v>78</v>
      </c>
      <c r="CD1" s="4" t="s">
        <v>79</v>
      </c>
      <c r="CE1" s="5" t="s">
        <v>80</v>
      </c>
      <c r="CF1" s="6" t="s">
        <v>81</v>
      </c>
      <c r="CG1" s="4" t="s">
        <v>82</v>
      </c>
      <c r="CH1" s="3" t="s">
        <v>83</v>
      </c>
    </row>
    <row r="2" spans="1:88" x14ac:dyDescent="0.25">
      <c r="A2" s="7" t="s">
        <v>0</v>
      </c>
      <c r="B2" s="261" t="s">
        <v>84</v>
      </c>
      <c r="C2" s="43">
        <v>14811266</v>
      </c>
      <c r="D2" s="44">
        <v>323</v>
      </c>
      <c r="E2" s="44">
        <v>8198</v>
      </c>
      <c r="F2" s="44">
        <v>566</v>
      </c>
      <c r="G2" s="44">
        <v>1495</v>
      </c>
      <c r="H2" s="44">
        <v>40338920</v>
      </c>
      <c r="I2" s="44">
        <v>726922</v>
      </c>
      <c r="J2" s="44">
        <v>63857</v>
      </c>
      <c r="K2" s="44">
        <v>9044</v>
      </c>
      <c r="L2" s="44">
        <v>2228</v>
      </c>
      <c r="M2" s="44">
        <v>59708</v>
      </c>
      <c r="N2" s="44">
        <v>36534</v>
      </c>
      <c r="O2" s="44">
        <v>2368</v>
      </c>
      <c r="P2" s="44">
        <v>0</v>
      </c>
      <c r="Q2" s="45">
        <v>396</v>
      </c>
      <c r="R2" s="45">
        <v>155276</v>
      </c>
      <c r="S2" s="45">
        <v>43139</v>
      </c>
      <c r="T2" s="45">
        <v>2714</v>
      </c>
      <c r="U2" s="45">
        <v>1730</v>
      </c>
      <c r="V2" s="45">
        <v>10</v>
      </c>
      <c r="W2" s="45">
        <v>2400</v>
      </c>
      <c r="X2" s="45">
        <v>0</v>
      </c>
      <c r="Y2" s="45">
        <v>0</v>
      </c>
      <c r="Z2" s="45">
        <v>41637</v>
      </c>
      <c r="AA2" s="45">
        <v>7918</v>
      </c>
      <c r="AB2" s="45">
        <v>64</v>
      </c>
      <c r="AC2" s="45">
        <v>5975</v>
      </c>
      <c r="AD2" s="45">
        <v>1019</v>
      </c>
      <c r="AE2" s="45">
        <v>60</v>
      </c>
      <c r="AF2" s="45">
        <v>251030</v>
      </c>
      <c r="AG2" s="45">
        <v>66</v>
      </c>
      <c r="AH2" s="45">
        <v>2809</v>
      </c>
      <c r="AI2" s="45">
        <v>2003</v>
      </c>
      <c r="AJ2" s="45">
        <v>33403</v>
      </c>
      <c r="AK2" s="45">
        <v>1016</v>
      </c>
      <c r="AL2" s="45">
        <v>1222820</v>
      </c>
      <c r="AM2" s="45">
        <v>361858</v>
      </c>
      <c r="AN2" s="45">
        <v>32592</v>
      </c>
      <c r="AO2" s="45">
        <v>562</v>
      </c>
      <c r="AP2" s="45">
        <v>1716</v>
      </c>
      <c r="AQ2" s="45">
        <v>55176</v>
      </c>
      <c r="AR2" s="45">
        <v>176782</v>
      </c>
      <c r="AS2" s="45">
        <v>0</v>
      </c>
      <c r="AT2" s="45">
        <v>4</v>
      </c>
      <c r="AU2" s="45">
        <v>5</v>
      </c>
      <c r="AV2" s="45">
        <v>0</v>
      </c>
      <c r="AW2" s="45">
        <v>2</v>
      </c>
      <c r="AX2" s="45">
        <v>92</v>
      </c>
      <c r="AY2" s="45">
        <v>1053</v>
      </c>
      <c r="AZ2" s="45">
        <v>0</v>
      </c>
      <c r="BA2" s="45">
        <v>170</v>
      </c>
      <c r="BB2" s="45">
        <v>14497</v>
      </c>
      <c r="BC2" s="45">
        <v>515</v>
      </c>
      <c r="BD2" s="45">
        <v>476</v>
      </c>
      <c r="BE2" s="45">
        <v>718</v>
      </c>
      <c r="BF2" s="45">
        <v>38828</v>
      </c>
      <c r="BG2" s="45">
        <v>19</v>
      </c>
      <c r="BH2" s="45">
        <v>246</v>
      </c>
      <c r="BI2" s="45">
        <v>0</v>
      </c>
      <c r="BJ2" s="45">
        <v>29962</v>
      </c>
      <c r="BK2" s="45">
        <v>10424</v>
      </c>
      <c r="BL2" s="45">
        <v>2751</v>
      </c>
      <c r="BM2" s="45">
        <v>6529</v>
      </c>
      <c r="BN2" s="45">
        <v>41069</v>
      </c>
      <c r="BO2" s="45">
        <v>628012</v>
      </c>
      <c r="BP2" s="45">
        <v>96945</v>
      </c>
      <c r="BQ2" s="45">
        <v>23879</v>
      </c>
      <c r="BR2" s="45">
        <v>78076</v>
      </c>
      <c r="BS2" s="45">
        <v>35132</v>
      </c>
      <c r="BT2" s="45">
        <v>1040</v>
      </c>
      <c r="BU2" s="45">
        <v>692</v>
      </c>
      <c r="BV2" s="45">
        <v>33</v>
      </c>
      <c r="BW2" s="45">
        <v>3156</v>
      </c>
      <c r="BX2" s="45">
        <v>5824</v>
      </c>
      <c r="BY2" s="45">
        <v>0</v>
      </c>
      <c r="BZ2" s="45">
        <v>3711</v>
      </c>
      <c r="CA2" s="45">
        <v>0</v>
      </c>
      <c r="CB2" s="46">
        <v>59489460</v>
      </c>
      <c r="CC2" s="258" t="s">
        <v>85</v>
      </c>
      <c r="CD2" s="47">
        <v>28158278</v>
      </c>
      <c r="CE2" s="48">
        <v>2420840</v>
      </c>
      <c r="CF2" s="49">
        <v>-316633</v>
      </c>
      <c r="CG2" s="47">
        <v>13127033</v>
      </c>
      <c r="CH2" s="50">
        <v>102878978</v>
      </c>
      <c r="CI2" s="51">
        <f>CB2+CD2+CE2+CF2+CG2</f>
        <v>102878978</v>
      </c>
      <c r="CJ2" s="51">
        <f>CI2-CH2</f>
        <v>0</v>
      </c>
    </row>
    <row r="3" spans="1:88" x14ac:dyDescent="0.25">
      <c r="A3" s="8" t="s">
        <v>1</v>
      </c>
      <c r="B3" s="262"/>
      <c r="C3" s="43">
        <v>50463</v>
      </c>
      <c r="D3" s="44">
        <v>3115494</v>
      </c>
      <c r="E3" s="44">
        <v>50</v>
      </c>
      <c r="F3" s="44">
        <v>24647</v>
      </c>
      <c r="G3" s="44">
        <v>11782</v>
      </c>
      <c r="H3" s="44">
        <v>107089</v>
      </c>
      <c r="I3" s="44">
        <v>496</v>
      </c>
      <c r="J3" s="44">
        <v>0</v>
      </c>
      <c r="K3" s="44">
        <v>7944</v>
      </c>
      <c r="L3" s="44">
        <v>4968</v>
      </c>
      <c r="M3" s="44">
        <v>6731</v>
      </c>
      <c r="N3" s="44">
        <v>3006856</v>
      </c>
      <c r="O3" s="44">
        <v>776662</v>
      </c>
      <c r="P3" s="44">
        <v>3754</v>
      </c>
      <c r="Q3" s="45">
        <v>7988</v>
      </c>
      <c r="R3" s="45">
        <v>39219</v>
      </c>
      <c r="S3" s="45">
        <v>47</v>
      </c>
      <c r="T3" s="45">
        <v>34177</v>
      </c>
      <c r="U3" s="45">
        <v>16629</v>
      </c>
      <c r="V3" s="45">
        <v>8552</v>
      </c>
      <c r="W3" s="45">
        <v>21697</v>
      </c>
      <c r="X3" s="45">
        <v>0</v>
      </c>
      <c r="Y3" s="45">
        <v>11695</v>
      </c>
      <c r="Z3" s="45">
        <v>9907</v>
      </c>
      <c r="AA3" s="45">
        <v>10888</v>
      </c>
      <c r="AB3" s="45">
        <v>9664</v>
      </c>
      <c r="AC3" s="45">
        <v>361794</v>
      </c>
      <c r="AD3" s="45">
        <v>12219</v>
      </c>
      <c r="AE3" s="45">
        <v>192</v>
      </c>
      <c r="AF3" s="45">
        <v>406546</v>
      </c>
      <c r="AG3" s="45">
        <v>350</v>
      </c>
      <c r="AH3" s="45">
        <v>654</v>
      </c>
      <c r="AI3" s="45">
        <v>1802</v>
      </c>
      <c r="AJ3" s="45">
        <v>171845</v>
      </c>
      <c r="AK3" s="45">
        <v>66</v>
      </c>
      <c r="AL3" s="45">
        <v>244386</v>
      </c>
      <c r="AM3" s="45">
        <v>87086</v>
      </c>
      <c r="AN3" s="45">
        <v>34469</v>
      </c>
      <c r="AO3" s="45">
        <v>525</v>
      </c>
      <c r="AP3" s="45">
        <v>1551</v>
      </c>
      <c r="AQ3" s="45">
        <v>2824</v>
      </c>
      <c r="AR3" s="45">
        <v>149</v>
      </c>
      <c r="AS3" s="45">
        <v>682</v>
      </c>
      <c r="AT3" s="45">
        <v>0</v>
      </c>
      <c r="AU3" s="45">
        <v>0</v>
      </c>
      <c r="AV3" s="45">
        <v>0</v>
      </c>
      <c r="AW3" s="45">
        <v>0</v>
      </c>
      <c r="AX3" s="45">
        <v>0</v>
      </c>
      <c r="AY3" s="45">
        <v>0</v>
      </c>
      <c r="AZ3" s="45">
        <v>0</v>
      </c>
      <c r="BA3" s="45">
        <v>11882</v>
      </c>
      <c r="BB3" s="45">
        <v>11005</v>
      </c>
      <c r="BC3" s="45">
        <v>0</v>
      </c>
      <c r="BD3" s="45">
        <v>0</v>
      </c>
      <c r="BE3" s="45">
        <v>38</v>
      </c>
      <c r="BF3" s="45">
        <v>4434</v>
      </c>
      <c r="BG3" s="45">
        <v>100</v>
      </c>
      <c r="BH3" s="45">
        <v>0</v>
      </c>
      <c r="BI3" s="45">
        <v>0</v>
      </c>
      <c r="BJ3" s="45">
        <v>1987</v>
      </c>
      <c r="BK3" s="45">
        <v>4330</v>
      </c>
      <c r="BL3" s="45">
        <v>21</v>
      </c>
      <c r="BM3" s="45">
        <v>138</v>
      </c>
      <c r="BN3" s="45">
        <v>34420</v>
      </c>
      <c r="BO3" s="45">
        <v>72</v>
      </c>
      <c r="BP3" s="45">
        <v>7504</v>
      </c>
      <c r="BQ3" s="45">
        <v>948</v>
      </c>
      <c r="BR3" s="45">
        <v>1091</v>
      </c>
      <c r="BS3" s="45">
        <v>0</v>
      </c>
      <c r="BT3" s="45">
        <v>671</v>
      </c>
      <c r="BU3" s="45">
        <v>157</v>
      </c>
      <c r="BV3" s="45">
        <v>0</v>
      </c>
      <c r="BW3" s="45">
        <v>406</v>
      </c>
      <c r="BX3" s="45">
        <v>3058</v>
      </c>
      <c r="BY3" s="45">
        <v>0</v>
      </c>
      <c r="BZ3" s="45">
        <v>16802</v>
      </c>
      <c r="CA3" s="45">
        <v>0</v>
      </c>
      <c r="CB3" s="42">
        <v>8713603</v>
      </c>
      <c r="CC3" s="259"/>
      <c r="CD3" s="52">
        <v>1887975</v>
      </c>
      <c r="CE3" s="53">
        <v>73602</v>
      </c>
      <c r="CF3" s="54">
        <v>-73232</v>
      </c>
      <c r="CG3" s="52">
        <v>907549</v>
      </c>
      <c r="CH3" s="55">
        <v>11509497</v>
      </c>
      <c r="CI3" s="51">
        <f t="shared" ref="CI3:CI66" si="0">CB3+CD3+CE3+CF3+CG3</f>
        <v>11509497</v>
      </c>
      <c r="CJ3" s="51">
        <f t="shared" ref="CJ3:CJ66" si="1">CI3-CH3</f>
        <v>0</v>
      </c>
    </row>
    <row r="4" spans="1:88" x14ac:dyDescent="0.25">
      <c r="A4" s="8" t="s">
        <v>2</v>
      </c>
      <c r="B4" s="262"/>
      <c r="C4" s="43">
        <v>241</v>
      </c>
      <c r="D4" s="44">
        <v>348</v>
      </c>
      <c r="E4" s="44">
        <v>13312</v>
      </c>
      <c r="F4" s="44">
        <v>0</v>
      </c>
      <c r="G4" s="44">
        <v>0</v>
      </c>
      <c r="H4" s="44">
        <v>342134</v>
      </c>
      <c r="I4" s="44">
        <v>25</v>
      </c>
      <c r="J4" s="44">
        <v>0</v>
      </c>
      <c r="K4" s="44">
        <v>0</v>
      </c>
      <c r="L4" s="44">
        <v>0</v>
      </c>
      <c r="M4" s="44">
        <v>80</v>
      </c>
      <c r="N4" s="44">
        <v>115</v>
      </c>
      <c r="O4" s="44">
        <v>0</v>
      </c>
      <c r="P4" s="44">
        <v>0</v>
      </c>
      <c r="Q4" s="45">
        <v>0</v>
      </c>
      <c r="R4" s="45">
        <v>329</v>
      </c>
      <c r="S4" s="45">
        <v>0</v>
      </c>
      <c r="T4" s="45">
        <v>0</v>
      </c>
      <c r="U4" s="45">
        <v>100</v>
      </c>
      <c r="V4" s="45">
        <v>0</v>
      </c>
      <c r="W4" s="45">
        <v>0</v>
      </c>
      <c r="X4" s="45">
        <v>0</v>
      </c>
      <c r="Y4" s="45">
        <v>0</v>
      </c>
      <c r="Z4" s="45">
        <v>20</v>
      </c>
      <c r="AA4" s="45">
        <v>0</v>
      </c>
      <c r="AB4" s="45">
        <v>0</v>
      </c>
      <c r="AC4" s="45">
        <v>99</v>
      </c>
      <c r="AD4" s="45">
        <v>0</v>
      </c>
      <c r="AE4" s="45">
        <v>0</v>
      </c>
      <c r="AF4" s="45">
        <v>84</v>
      </c>
      <c r="AG4" s="45">
        <v>179</v>
      </c>
      <c r="AH4" s="45">
        <v>0</v>
      </c>
      <c r="AI4" s="45">
        <v>22</v>
      </c>
      <c r="AJ4" s="45">
        <v>105</v>
      </c>
      <c r="AK4" s="45">
        <v>0</v>
      </c>
      <c r="AL4" s="45">
        <v>18265</v>
      </c>
      <c r="AM4" s="45">
        <v>567</v>
      </c>
      <c r="AN4" s="45">
        <v>0</v>
      </c>
      <c r="AO4" s="45">
        <v>3</v>
      </c>
      <c r="AP4" s="45">
        <v>18</v>
      </c>
      <c r="AQ4" s="45">
        <v>5163</v>
      </c>
      <c r="AR4" s="45">
        <v>13308</v>
      </c>
      <c r="AS4" s="45">
        <v>0</v>
      </c>
      <c r="AT4" s="45">
        <v>0</v>
      </c>
      <c r="AU4" s="45">
        <v>0</v>
      </c>
      <c r="AV4" s="45">
        <v>0</v>
      </c>
      <c r="AW4" s="45">
        <v>0</v>
      </c>
      <c r="AX4" s="45">
        <v>0</v>
      </c>
      <c r="AY4" s="45">
        <v>0</v>
      </c>
      <c r="AZ4" s="45">
        <v>0</v>
      </c>
      <c r="BA4" s="45">
        <v>0</v>
      </c>
      <c r="BB4" s="45">
        <v>28</v>
      </c>
      <c r="BC4" s="45">
        <v>0</v>
      </c>
      <c r="BD4" s="45">
        <v>17</v>
      </c>
      <c r="BE4" s="45">
        <v>0</v>
      </c>
      <c r="BF4" s="45">
        <v>777</v>
      </c>
      <c r="BG4" s="45">
        <v>0</v>
      </c>
      <c r="BH4" s="45">
        <v>0</v>
      </c>
      <c r="BI4" s="45">
        <v>0</v>
      </c>
      <c r="BJ4" s="45">
        <v>0</v>
      </c>
      <c r="BK4" s="45">
        <v>0</v>
      </c>
      <c r="BL4" s="45">
        <v>98</v>
      </c>
      <c r="BM4" s="45">
        <v>8</v>
      </c>
      <c r="BN4" s="45">
        <v>24</v>
      </c>
      <c r="BO4" s="45">
        <v>0</v>
      </c>
      <c r="BP4" s="45">
        <v>36</v>
      </c>
      <c r="BQ4" s="45">
        <v>148</v>
      </c>
      <c r="BR4" s="45">
        <v>528</v>
      </c>
      <c r="BS4" s="45">
        <v>245</v>
      </c>
      <c r="BT4" s="45">
        <v>53</v>
      </c>
      <c r="BU4" s="45">
        <v>71</v>
      </c>
      <c r="BV4" s="45">
        <v>0</v>
      </c>
      <c r="BW4" s="45">
        <v>60</v>
      </c>
      <c r="BX4" s="45">
        <v>47</v>
      </c>
      <c r="BY4" s="45">
        <v>0</v>
      </c>
      <c r="BZ4" s="45">
        <v>275</v>
      </c>
      <c r="CA4" s="45">
        <v>0</v>
      </c>
      <c r="CB4" s="42">
        <v>396932</v>
      </c>
      <c r="CC4" s="259"/>
      <c r="CD4" s="52">
        <v>22685</v>
      </c>
      <c r="CE4" s="53">
        <v>16507</v>
      </c>
      <c r="CF4" s="54">
        <v>2881</v>
      </c>
      <c r="CG4" s="52">
        <v>109062</v>
      </c>
      <c r="CH4" s="55">
        <v>548067</v>
      </c>
      <c r="CI4" s="51">
        <f t="shared" si="0"/>
        <v>548067</v>
      </c>
      <c r="CJ4" s="51">
        <f t="shared" si="1"/>
        <v>0</v>
      </c>
    </row>
    <row r="5" spans="1:88" x14ac:dyDescent="0.25">
      <c r="A5" s="8" t="s">
        <v>3</v>
      </c>
      <c r="B5" s="262"/>
      <c r="C5" s="43">
        <v>353129</v>
      </c>
      <c r="D5" s="44">
        <v>14650</v>
      </c>
      <c r="E5" s="44">
        <v>184</v>
      </c>
      <c r="F5" s="44">
        <v>7621</v>
      </c>
      <c r="G5" s="44">
        <v>4055</v>
      </c>
      <c r="H5" s="44">
        <v>237367</v>
      </c>
      <c r="I5" s="44">
        <v>13177</v>
      </c>
      <c r="J5" s="44">
        <v>863</v>
      </c>
      <c r="K5" s="44">
        <v>3889</v>
      </c>
      <c r="L5" s="44">
        <v>2975</v>
      </c>
      <c r="M5" s="44">
        <v>2063</v>
      </c>
      <c r="N5" s="44">
        <v>16329</v>
      </c>
      <c r="O5" s="44">
        <v>142671</v>
      </c>
      <c r="P5" s="44">
        <v>116</v>
      </c>
      <c r="Q5" s="45">
        <v>1818863</v>
      </c>
      <c r="R5" s="45">
        <v>415419</v>
      </c>
      <c r="S5" s="45">
        <v>427</v>
      </c>
      <c r="T5" s="45">
        <v>59883</v>
      </c>
      <c r="U5" s="45">
        <v>408037</v>
      </c>
      <c r="V5" s="45">
        <v>2595616</v>
      </c>
      <c r="W5" s="45">
        <v>10426</v>
      </c>
      <c r="X5" s="45">
        <v>9847</v>
      </c>
      <c r="Y5" s="45">
        <v>1819</v>
      </c>
      <c r="Z5" s="45">
        <v>5792</v>
      </c>
      <c r="AA5" s="45">
        <v>996</v>
      </c>
      <c r="AB5" s="45">
        <v>5775</v>
      </c>
      <c r="AC5" s="45">
        <v>3614</v>
      </c>
      <c r="AD5" s="45">
        <v>1745</v>
      </c>
      <c r="AE5" s="45">
        <v>1423</v>
      </c>
      <c r="AF5" s="45">
        <v>8900360</v>
      </c>
      <c r="AG5" s="45">
        <v>3475</v>
      </c>
      <c r="AH5" s="45">
        <v>32915</v>
      </c>
      <c r="AI5" s="45">
        <v>16745</v>
      </c>
      <c r="AJ5" s="45">
        <v>7011</v>
      </c>
      <c r="AK5" s="45">
        <v>6495</v>
      </c>
      <c r="AL5" s="45">
        <v>1055</v>
      </c>
      <c r="AM5" s="45">
        <v>2825</v>
      </c>
      <c r="AN5" s="45">
        <v>3373</v>
      </c>
      <c r="AO5" s="45">
        <v>8</v>
      </c>
      <c r="AP5" s="45">
        <v>3316</v>
      </c>
      <c r="AQ5" s="45">
        <v>2211</v>
      </c>
      <c r="AR5" s="45">
        <v>2304</v>
      </c>
      <c r="AS5" s="45">
        <v>0</v>
      </c>
      <c r="AT5" s="45">
        <v>0</v>
      </c>
      <c r="AU5" s="45">
        <v>0</v>
      </c>
      <c r="AV5" s="45">
        <v>0</v>
      </c>
      <c r="AW5" s="45">
        <v>1334</v>
      </c>
      <c r="AX5" s="45">
        <v>6133</v>
      </c>
      <c r="AY5" s="45">
        <v>1886</v>
      </c>
      <c r="AZ5" s="45">
        <v>3818</v>
      </c>
      <c r="BA5" s="45">
        <v>3974</v>
      </c>
      <c r="BB5" s="45">
        <v>12472</v>
      </c>
      <c r="BC5" s="45">
        <v>5941</v>
      </c>
      <c r="BD5" s="45">
        <v>1981</v>
      </c>
      <c r="BE5" s="45">
        <v>765</v>
      </c>
      <c r="BF5" s="45">
        <v>8751</v>
      </c>
      <c r="BG5" s="45">
        <v>400</v>
      </c>
      <c r="BH5" s="45">
        <v>2502</v>
      </c>
      <c r="BI5" s="45">
        <v>1537</v>
      </c>
      <c r="BJ5" s="45">
        <v>444</v>
      </c>
      <c r="BK5" s="45">
        <v>1586</v>
      </c>
      <c r="BL5" s="45">
        <v>1377</v>
      </c>
      <c r="BM5" s="45">
        <v>991</v>
      </c>
      <c r="BN5" s="45">
        <v>525</v>
      </c>
      <c r="BO5" s="45">
        <v>655</v>
      </c>
      <c r="BP5" s="45">
        <v>3701</v>
      </c>
      <c r="BQ5" s="45">
        <v>2350</v>
      </c>
      <c r="BR5" s="45">
        <v>2936</v>
      </c>
      <c r="BS5" s="45">
        <v>947</v>
      </c>
      <c r="BT5" s="45">
        <v>663</v>
      </c>
      <c r="BU5" s="45">
        <v>436</v>
      </c>
      <c r="BV5" s="45">
        <v>281</v>
      </c>
      <c r="BW5" s="45">
        <v>688</v>
      </c>
      <c r="BX5" s="45">
        <v>142</v>
      </c>
      <c r="BY5" s="45">
        <v>677</v>
      </c>
      <c r="BZ5" s="45">
        <v>1806</v>
      </c>
      <c r="CA5" s="45">
        <v>0</v>
      </c>
      <c r="CB5" s="42">
        <v>15192563</v>
      </c>
      <c r="CC5" s="259"/>
      <c r="CD5" s="52">
        <v>3611800</v>
      </c>
      <c r="CE5" s="53">
        <v>23210</v>
      </c>
      <c r="CF5" s="54">
        <v>-1978786</v>
      </c>
      <c r="CG5" s="52">
        <v>2548311</v>
      </c>
      <c r="CH5" s="55">
        <v>19397098</v>
      </c>
      <c r="CI5" s="51">
        <f t="shared" si="0"/>
        <v>19397098</v>
      </c>
      <c r="CJ5" s="51">
        <f t="shared" si="1"/>
        <v>0</v>
      </c>
    </row>
    <row r="6" spans="1:88" ht="27.6" x14ac:dyDescent="0.25">
      <c r="A6" s="8" t="s">
        <v>4</v>
      </c>
      <c r="B6" s="262"/>
      <c r="C6" s="43">
        <v>61305</v>
      </c>
      <c r="D6" s="44">
        <v>12258</v>
      </c>
      <c r="E6" s="44">
        <v>8</v>
      </c>
      <c r="F6" s="44">
        <v>1335354</v>
      </c>
      <c r="G6" s="44">
        <v>1502473</v>
      </c>
      <c r="H6" s="44">
        <v>13194</v>
      </c>
      <c r="I6" s="44">
        <v>129</v>
      </c>
      <c r="J6" s="44">
        <v>81</v>
      </c>
      <c r="K6" s="44">
        <v>757</v>
      </c>
      <c r="L6" s="44">
        <v>744</v>
      </c>
      <c r="M6" s="44">
        <v>974</v>
      </c>
      <c r="N6" s="44">
        <v>1010</v>
      </c>
      <c r="O6" s="44">
        <v>4362</v>
      </c>
      <c r="P6" s="44">
        <v>403</v>
      </c>
      <c r="Q6" s="45">
        <v>565501</v>
      </c>
      <c r="R6" s="45">
        <v>1287262</v>
      </c>
      <c r="S6" s="45">
        <v>2832</v>
      </c>
      <c r="T6" s="45">
        <v>67793</v>
      </c>
      <c r="U6" s="45">
        <v>2697513</v>
      </c>
      <c r="V6" s="45">
        <v>277810</v>
      </c>
      <c r="W6" s="45">
        <v>61419</v>
      </c>
      <c r="X6" s="45">
        <v>9309</v>
      </c>
      <c r="Y6" s="45">
        <v>53581</v>
      </c>
      <c r="Z6" s="45">
        <v>18364</v>
      </c>
      <c r="AA6" s="45">
        <v>8044</v>
      </c>
      <c r="AB6" s="45">
        <v>10346</v>
      </c>
      <c r="AC6" s="45">
        <v>9927</v>
      </c>
      <c r="AD6" s="45">
        <v>3118</v>
      </c>
      <c r="AE6" s="45">
        <v>9362</v>
      </c>
      <c r="AF6" s="45">
        <v>3708661</v>
      </c>
      <c r="AG6" s="45">
        <v>210</v>
      </c>
      <c r="AH6" s="45">
        <v>87631</v>
      </c>
      <c r="AI6" s="45">
        <v>4869</v>
      </c>
      <c r="AJ6" s="45">
        <v>2552850</v>
      </c>
      <c r="AK6" s="45">
        <v>1216</v>
      </c>
      <c r="AL6" s="45">
        <v>43116</v>
      </c>
      <c r="AM6" s="45">
        <v>3028</v>
      </c>
      <c r="AN6" s="45">
        <v>92710</v>
      </c>
      <c r="AO6" s="45">
        <v>0</v>
      </c>
      <c r="AP6" s="45">
        <v>19401</v>
      </c>
      <c r="AQ6" s="45">
        <v>1115</v>
      </c>
      <c r="AR6" s="45">
        <v>608</v>
      </c>
      <c r="AS6" s="45">
        <v>34</v>
      </c>
      <c r="AT6" s="45">
        <v>6</v>
      </c>
      <c r="AU6" s="45">
        <v>0</v>
      </c>
      <c r="AV6" s="45">
        <v>0</v>
      </c>
      <c r="AW6" s="45">
        <v>0</v>
      </c>
      <c r="AX6" s="45">
        <v>0</v>
      </c>
      <c r="AY6" s="45">
        <v>17474</v>
      </c>
      <c r="AZ6" s="45">
        <v>0</v>
      </c>
      <c r="BA6" s="45">
        <v>47</v>
      </c>
      <c r="BB6" s="45">
        <v>39791</v>
      </c>
      <c r="BC6" s="45">
        <v>662</v>
      </c>
      <c r="BD6" s="45">
        <v>2154</v>
      </c>
      <c r="BE6" s="45">
        <v>91247</v>
      </c>
      <c r="BF6" s="45">
        <v>11358</v>
      </c>
      <c r="BG6" s="45">
        <v>7</v>
      </c>
      <c r="BH6" s="45">
        <v>0</v>
      </c>
      <c r="BI6" s="45">
        <v>0</v>
      </c>
      <c r="BJ6" s="45">
        <v>23248</v>
      </c>
      <c r="BK6" s="45">
        <v>0</v>
      </c>
      <c r="BL6" s="45">
        <v>0</v>
      </c>
      <c r="BM6" s="45">
        <v>336</v>
      </c>
      <c r="BN6" s="45">
        <v>147102</v>
      </c>
      <c r="BO6" s="45">
        <v>62273</v>
      </c>
      <c r="BP6" s="45">
        <v>63751</v>
      </c>
      <c r="BQ6" s="45">
        <v>11282</v>
      </c>
      <c r="BR6" s="45">
        <v>1432</v>
      </c>
      <c r="BS6" s="45">
        <v>2045</v>
      </c>
      <c r="BT6" s="45">
        <v>263</v>
      </c>
      <c r="BU6" s="45">
        <v>2000</v>
      </c>
      <c r="BV6" s="45">
        <v>0</v>
      </c>
      <c r="BW6" s="45">
        <v>2114</v>
      </c>
      <c r="BX6" s="45">
        <v>4222</v>
      </c>
      <c r="BY6" s="45">
        <v>0</v>
      </c>
      <c r="BZ6" s="45">
        <v>14204</v>
      </c>
      <c r="CA6" s="45">
        <v>0</v>
      </c>
      <c r="CB6" s="42">
        <v>15027700</v>
      </c>
      <c r="CC6" s="259"/>
      <c r="CD6" s="52">
        <v>167283</v>
      </c>
      <c r="CE6" s="53">
        <v>524655</v>
      </c>
      <c r="CF6" s="54">
        <v>-3201405</v>
      </c>
      <c r="CG6" s="52">
        <v>2247479</v>
      </c>
      <c r="CH6" s="55">
        <v>14765712</v>
      </c>
      <c r="CI6" s="51">
        <f t="shared" si="0"/>
        <v>14765712</v>
      </c>
      <c r="CJ6" s="51">
        <f t="shared" si="1"/>
        <v>0</v>
      </c>
    </row>
    <row r="7" spans="1:88" x14ac:dyDescent="0.25">
      <c r="A7" s="8" t="s">
        <v>5</v>
      </c>
      <c r="B7" s="262"/>
      <c r="C7" s="43">
        <v>14406397</v>
      </c>
      <c r="D7" s="44">
        <v>39690</v>
      </c>
      <c r="E7" s="44">
        <v>25612</v>
      </c>
      <c r="F7" s="44">
        <v>351</v>
      </c>
      <c r="G7" s="44">
        <v>2769</v>
      </c>
      <c r="H7" s="44">
        <v>36522338</v>
      </c>
      <c r="I7" s="44">
        <v>1086408</v>
      </c>
      <c r="J7" s="44">
        <v>624</v>
      </c>
      <c r="K7" s="44">
        <v>37990</v>
      </c>
      <c r="L7" s="44">
        <v>10469</v>
      </c>
      <c r="M7" s="44">
        <v>20137</v>
      </c>
      <c r="N7" s="44">
        <v>8358</v>
      </c>
      <c r="O7" s="44">
        <v>19557</v>
      </c>
      <c r="P7" s="44">
        <v>2912</v>
      </c>
      <c r="Q7" s="45">
        <v>33574</v>
      </c>
      <c r="R7" s="45">
        <v>34582</v>
      </c>
      <c r="S7" s="45">
        <v>8349</v>
      </c>
      <c r="T7" s="45">
        <v>14546</v>
      </c>
      <c r="U7" s="45">
        <v>2730</v>
      </c>
      <c r="V7" s="45">
        <v>75</v>
      </c>
      <c r="W7" s="45">
        <v>3162</v>
      </c>
      <c r="X7" s="45">
        <v>2233</v>
      </c>
      <c r="Y7" s="45">
        <v>7461</v>
      </c>
      <c r="Z7" s="45">
        <v>19440</v>
      </c>
      <c r="AA7" s="45">
        <v>2415</v>
      </c>
      <c r="AB7" s="45">
        <v>521</v>
      </c>
      <c r="AC7" s="45">
        <v>96559</v>
      </c>
      <c r="AD7" s="45">
        <v>2957</v>
      </c>
      <c r="AE7" s="45">
        <v>23858</v>
      </c>
      <c r="AF7" s="45">
        <v>24711</v>
      </c>
      <c r="AG7" s="45">
        <v>387</v>
      </c>
      <c r="AH7" s="45">
        <v>34233</v>
      </c>
      <c r="AI7" s="45">
        <v>8922</v>
      </c>
      <c r="AJ7" s="45">
        <v>87527</v>
      </c>
      <c r="AK7" s="45">
        <v>20365</v>
      </c>
      <c r="AL7" s="45">
        <v>2749630</v>
      </c>
      <c r="AM7" s="45">
        <v>3832341</v>
      </c>
      <c r="AN7" s="45">
        <v>22556</v>
      </c>
      <c r="AO7" s="45">
        <v>8032</v>
      </c>
      <c r="AP7" s="45">
        <v>25079</v>
      </c>
      <c r="AQ7" s="45">
        <v>884360</v>
      </c>
      <c r="AR7" s="45">
        <v>4344490</v>
      </c>
      <c r="AS7" s="45">
        <v>497</v>
      </c>
      <c r="AT7" s="45">
        <v>87</v>
      </c>
      <c r="AU7" s="45">
        <v>10</v>
      </c>
      <c r="AV7" s="45">
        <v>6850</v>
      </c>
      <c r="AW7" s="45">
        <v>22831</v>
      </c>
      <c r="AX7" s="45">
        <v>8682</v>
      </c>
      <c r="AY7" s="45">
        <v>71965</v>
      </c>
      <c r="AZ7" s="45">
        <v>96830</v>
      </c>
      <c r="BA7" s="45">
        <v>3231</v>
      </c>
      <c r="BB7" s="45">
        <v>87746</v>
      </c>
      <c r="BC7" s="45">
        <v>36268</v>
      </c>
      <c r="BD7" s="45">
        <v>17653</v>
      </c>
      <c r="BE7" s="45">
        <v>7364</v>
      </c>
      <c r="BF7" s="45">
        <v>21599</v>
      </c>
      <c r="BG7" s="45">
        <v>11511</v>
      </c>
      <c r="BH7" s="45">
        <v>9994</v>
      </c>
      <c r="BI7" s="45">
        <v>2</v>
      </c>
      <c r="BJ7" s="45">
        <v>7293</v>
      </c>
      <c r="BK7" s="45">
        <v>41998</v>
      </c>
      <c r="BL7" s="45">
        <v>33972</v>
      </c>
      <c r="BM7" s="45">
        <v>5447</v>
      </c>
      <c r="BN7" s="45">
        <v>142446</v>
      </c>
      <c r="BO7" s="45">
        <v>45707</v>
      </c>
      <c r="BP7" s="45">
        <v>195413</v>
      </c>
      <c r="BQ7" s="45">
        <v>400682</v>
      </c>
      <c r="BR7" s="45">
        <v>241644</v>
      </c>
      <c r="BS7" s="45">
        <v>687840</v>
      </c>
      <c r="BT7" s="45">
        <v>15523</v>
      </c>
      <c r="BU7" s="45">
        <v>726</v>
      </c>
      <c r="BV7" s="45">
        <v>143</v>
      </c>
      <c r="BW7" s="45">
        <v>37245</v>
      </c>
      <c r="BX7" s="45">
        <v>533466</v>
      </c>
      <c r="BY7" s="45">
        <v>1488</v>
      </c>
      <c r="BZ7" s="45">
        <v>57126</v>
      </c>
      <c r="CA7" s="45">
        <v>0</v>
      </c>
      <c r="CB7" s="42">
        <v>67329986</v>
      </c>
      <c r="CC7" s="259"/>
      <c r="CD7" s="52">
        <v>75379249</v>
      </c>
      <c r="CE7" s="53">
        <v>72420</v>
      </c>
      <c r="CF7" s="54">
        <v>-7737162</v>
      </c>
      <c r="CG7" s="52">
        <v>59016021</v>
      </c>
      <c r="CH7" s="55">
        <v>194060514</v>
      </c>
      <c r="CI7" s="51">
        <f t="shared" si="0"/>
        <v>194060514</v>
      </c>
      <c r="CJ7" s="51">
        <f t="shared" si="1"/>
        <v>0</v>
      </c>
    </row>
    <row r="8" spans="1:88" x14ac:dyDescent="0.25">
      <c r="A8" s="8" t="s">
        <v>6</v>
      </c>
      <c r="B8" s="262"/>
      <c r="C8" s="43">
        <v>18123</v>
      </c>
      <c r="D8" s="44">
        <v>912</v>
      </c>
      <c r="E8" s="44">
        <v>182</v>
      </c>
      <c r="F8" s="44">
        <v>4226</v>
      </c>
      <c r="G8" s="44">
        <v>5588</v>
      </c>
      <c r="H8" s="44">
        <v>245246</v>
      </c>
      <c r="I8" s="44">
        <v>919395</v>
      </c>
      <c r="J8" s="44">
        <v>70</v>
      </c>
      <c r="K8" s="44">
        <v>622</v>
      </c>
      <c r="L8" s="44">
        <v>8651</v>
      </c>
      <c r="M8" s="44">
        <v>4566</v>
      </c>
      <c r="N8" s="44">
        <v>861</v>
      </c>
      <c r="O8" s="44">
        <v>25930</v>
      </c>
      <c r="P8" s="44">
        <v>2120</v>
      </c>
      <c r="Q8" s="45">
        <v>26139</v>
      </c>
      <c r="R8" s="45">
        <v>78104</v>
      </c>
      <c r="S8" s="45">
        <v>975</v>
      </c>
      <c r="T8" s="45">
        <v>20475</v>
      </c>
      <c r="U8" s="45">
        <v>8956</v>
      </c>
      <c r="V8" s="45">
        <v>19412</v>
      </c>
      <c r="W8" s="45">
        <v>24623</v>
      </c>
      <c r="X8" s="45">
        <v>923</v>
      </c>
      <c r="Y8" s="45">
        <v>22001</v>
      </c>
      <c r="Z8" s="45">
        <v>30772</v>
      </c>
      <c r="AA8" s="45">
        <v>4737</v>
      </c>
      <c r="AB8" s="45">
        <v>2515</v>
      </c>
      <c r="AC8" s="45">
        <v>4648</v>
      </c>
      <c r="AD8" s="45">
        <v>294</v>
      </c>
      <c r="AE8" s="45">
        <v>6969</v>
      </c>
      <c r="AF8" s="45">
        <v>6258</v>
      </c>
      <c r="AG8" s="45">
        <v>1625</v>
      </c>
      <c r="AH8" s="45">
        <v>7083</v>
      </c>
      <c r="AI8" s="45">
        <v>1757</v>
      </c>
      <c r="AJ8" s="45">
        <v>93669</v>
      </c>
      <c r="AK8" s="45">
        <v>26757</v>
      </c>
      <c r="AL8" s="45">
        <v>498718</v>
      </c>
      <c r="AM8" s="45">
        <v>211206</v>
      </c>
      <c r="AN8" s="45">
        <v>59660</v>
      </c>
      <c r="AO8" s="45">
        <v>18071</v>
      </c>
      <c r="AP8" s="45">
        <v>17319</v>
      </c>
      <c r="AQ8" s="45">
        <v>111695</v>
      </c>
      <c r="AR8" s="45">
        <v>2335603</v>
      </c>
      <c r="AS8" s="45">
        <v>792</v>
      </c>
      <c r="AT8" s="45">
        <v>256</v>
      </c>
      <c r="AU8" s="45">
        <v>43</v>
      </c>
      <c r="AV8" s="45">
        <v>9863</v>
      </c>
      <c r="AW8" s="45">
        <v>6805</v>
      </c>
      <c r="AX8" s="45">
        <v>3071</v>
      </c>
      <c r="AY8" s="45">
        <v>69492</v>
      </c>
      <c r="AZ8" s="45">
        <v>8710</v>
      </c>
      <c r="BA8" s="45">
        <v>5270</v>
      </c>
      <c r="BB8" s="45">
        <v>2809</v>
      </c>
      <c r="BC8" s="45">
        <v>13704</v>
      </c>
      <c r="BD8" s="45">
        <v>10413</v>
      </c>
      <c r="BE8" s="45">
        <v>3090</v>
      </c>
      <c r="BF8" s="45">
        <v>9724</v>
      </c>
      <c r="BG8" s="45">
        <v>1239</v>
      </c>
      <c r="BH8" s="45">
        <v>1011</v>
      </c>
      <c r="BI8" s="45">
        <v>6</v>
      </c>
      <c r="BJ8" s="45">
        <v>10861</v>
      </c>
      <c r="BK8" s="45">
        <v>3779</v>
      </c>
      <c r="BL8" s="45">
        <v>2052</v>
      </c>
      <c r="BM8" s="45">
        <v>1989</v>
      </c>
      <c r="BN8" s="45">
        <v>3487</v>
      </c>
      <c r="BO8" s="45">
        <v>1732</v>
      </c>
      <c r="BP8" s="45">
        <v>76403</v>
      </c>
      <c r="BQ8" s="45">
        <v>77172</v>
      </c>
      <c r="BR8" s="45">
        <v>12682</v>
      </c>
      <c r="BS8" s="45">
        <v>6124</v>
      </c>
      <c r="BT8" s="45">
        <v>2882</v>
      </c>
      <c r="BU8" s="45">
        <v>205</v>
      </c>
      <c r="BV8" s="45">
        <v>99</v>
      </c>
      <c r="BW8" s="45">
        <v>3768</v>
      </c>
      <c r="BX8" s="45">
        <v>9</v>
      </c>
      <c r="BY8" s="45">
        <v>373</v>
      </c>
      <c r="BZ8" s="45">
        <v>5636</v>
      </c>
      <c r="CA8" s="45">
        <v>0</v>
      </c>
      <c r="CB8" s="42">
        <v>5233007</v>
      </c>
      <c r="CC8" s="259"/>
      <c r="CD8" s="52">
        <v>14528581</v>
      </c>
      <c r="CE8" s="53">
        <v>0</v>
      </c>
      <c r="CF8" s="54">
        <v>-1052144</v>
      </c>
      <c r="CG8" s="52">
        <v>3328926</v>
      </c>
      <c r="CH8" s="55">
        <v>22038370</v>
      </c>
      <c r="CI8" s="51">
        <f t="shared" si="0"/>
        <v>22038370</v>
      </c>
      <c r="CJ8" s="51">
        <f t="shared" si="1"/>
        <v>0</v>
      </c>
    </row>
    <row r="9" spans="1:88" x14ac:dyDescent="0.25">
      <c r="A9" s="8" t="s">
        <v>7</v>
      </c>
      <c r="B9" s="262"/>
      <c r="C9" s="43">
        <v>23</v>
      </c>
      <c r="D9" s="44">
        <v>0</v>
      </c>
      <c r="E9" s="44">
        <v>0</v>
      </c>
      <c r="F9" s="44">
        <v>80</v>
      </c>
      <c r="G9" s="44">
        <v>105</v>
      </c>
      <c r="H9" s="44">
        <v>360</v>
      </c>
      <c r="I9" s="44">
        <v>14</v>
      </c>
      <c r="J9" s="44">
        <v>135914</v>
      </c>
      <c r="K9" s="44">
        <v>1192</v>
      </c>
      <c r="L9" s="44">
        <v>1228</v>
      </c>
      <c r="M9" s="44">
        <v>0</v>
      </c>
      <c r="N9" s="44">
        <v>0</v>
      </c>
      <c r="O9" s="44">
        <v>0</v>
      </c>
      <c r="P9" s="44">
        <v>0</v>
      </c>
      <c r="Q9" s="45">
        <v>50</v>
      </c>
      <c r="R9" s="45">
        <v>0</v>
      </c>
      <c r="S9" s="45">
        <v>0</v>
      </c>
      <c r="T9" s="45">
        <v>0</v>
      </c>
      <c r="U9" s="45">
        <v>49</v>
      </c>
      <c r="V9" s="45">
        <v>0</v>
      </c>
      <c r="W9" s="45">
        <v>100</v>
      </c>
      <c r="X9" s="45">
        <v>0</v>
      </c>
      <c r="Y9" s="45">
        <v>0</v>
      </c>
      <c r="Z9" s="45">
        <v>43</v>
      </c>
      <c r="AA9" s="45">
        <v>150</v>
      </c>
      <c r="AB9" s="45">
        <v>114</v>
      </c>
      <c r="AC9" s="45">
        <v>3101</v>
      </c>
      <c r="AD9" s="45">
        <v>0</v>
      </c>
      <c r="AE9" s="45">
        <v>74</v>
      </c>
      <c r="AF9" s="45">
        <v>29</v>
      </c>
      <c r="AG9" s="45">
        <v>12</v>
      </c>
      <c r="AH9" s="45">
        <v>0</v>
      </c>
      <c r="AI9" s="45">
        <v>0</v>
      </c>
      <c r="AJ9" s="45">
        <v>322</v>
      </c>
      <c r="AK9" s="45">
        <v>8</v>
      </c>
      <c r="AL9" s="45">
        <v>157</v>
      </c>
      <c r="AM9" s="45">
        <v>70</v>
      </c>
      <c r="AN9" s="45">
        <v>199</v>
      </c>
      <c r="AO9" s="45">
        <v>467</v>
      </c>
      <c r="AP9" s="45">
        <v>0</v>
      </c>
      <c r="AQ9" s="45">
        <v>12145</v>
      </c>
      <c r="AR9" s="45">
        <v>120245</v>
      </c>
      <c r="AS9" s="45">
        <v>0</v>
      </c>
      <c r="AT9" s="45">
        <v>0</v>
      </c>
      <c r="AU9" s="45">
        <v>0</v>
      </c>
      <c r="AV9" s="45">
        <v>0</v>
      </c>
      <c r="AW9" s="45">
        <v>0</v>
      </c>
      <c r="AX9" s="45">
        <v>0</v>
      </c>
      <c r="AY9" s="45">
        <v>0</v>
      </c>
      <c r="AZ9" s="45">
        <v>0</v>
      </c>
      <c r="BA9" s="45">
        <v>11</v>
      </c>
      <c r="BB9" s="45">
        <v>8</v>
      </c>
      <c r="BC9" s="45">
        <v>0</v>
      </c>
      <c r="BD9" s="45">
        <v>61</v>
      </c>
      <c r="BE9" s="45">
        <v>0</v>
      </c>
      <c r="BF9" s="45">
        <v>122</v>
      </c>
      <c r="BG9" s="45">
        <v>9</v>
      </c>
      <c r="BH9" s="45">
        <v>47</v>
      </c>
      <c r="BI9" s="45">
        <v>0</v>
      </c>
      <c r="BJ9" s="45">
        <v>0</v>
      </c>
      <c r="BK9" s="45">
        <v>0</v>
      </c>
      <c r="BL9" s="45">
        <v>48</v>
      </c>
      <c r="BM9" s="45">
        <v>0</v>
      </c>
      <c r="BN9" s="45">
        <v>69</v>
      </c>
      <c r="BO9" s="45">
        <v>0</v>
      </c>
      <c r="BP9" s="45">
        <v>11</v>
      </c>
      <c r="BQ9" s="45">
        <v>37</v>
      </c>
      <c r="BR9" s="45">
        <v>0</v>
      </c>
      <c r="BS9" s="45">
        <v>0</v>
      </c>
      <c r="BT9" s="45">
        <v>8</v>
      </c>
      <c r="BU9" s="45">
        <v>0</v>
      </c>
      <c r="BV9" s="45">
        <v>0</v>
      </c>
      <c r="BW9" s="45">
        <v>6</v>
      </c>
      <c r="BX9" s="45">
        <v>41</v>
      </c>
      <c r="BY9" s="45">
        <v>0</v>
      </c>
      <c r="BZ9" s="45">
        <v>360</v>
      </c>
      <c r="CA9" s="45">
        <v>0</v>
      </c>
      <c r="CB9" s="42">
        <v>277089</v>
      </c>
      <c r="CC9" s="259"/>
      <c r="CD9" s="52">
        <v>1150208</v>
      </c>
      <c r="CE9" s="53">
        <v>0</v>
      </c>
      <c r="CF9" s="54">
        <v>5058</v>
      </c>
      <c r="CG9" s="52">
        <v>6832632</v>
      </c>
      <c r="CH9" s="55">
        <v>8264987</v>
      </c>
      <c r="CI9" s="51">
        <f t="shared" si="0"/>
        <v>8264987</v>
      </c>
      <c r="CJ9" s="51">
        <f t="shared" si="1"/>
        <v>0</v>
      </c>
    </row>
    <row r="10" spans="1:88" x14ac:dyDescent="0.25">
      <c r="A10" s="8" t="s">
        <v>8</v>
      </c>
      <c r="B10" s="262"/>
      <c r="C10" s="43">
        <v>434</v>
      </c>
      <c r="D10" s="44">
        <v>2372</v>
      </c>
      <c r="E10" s="44">
        <v>115</v>
      </c>
      <c r="F10" s="44">
        <v>2730</v>
      </c>
      <c r="G10" s="44">
        <v>2306</v>
      </c>
      <c r="H10" s="44">
        <v>15493</v>
      </c>
      <c r="I10" s="44">
        <v>188</v>
      </c>
      <c r="J10" s="44">
        <v>322</v>
      </c>
      <c r="K10" s="44">
        <v>1222550</v>
      </c>
      <c r="L10" s="44">
        <v>1351940</v>
      </c>
      <c r="M10" s="44">
        <v>54421</v>
      </c>
      <c r="N10" s="44">
        <v>4679</v>
      </c>
      <c r="O10" s="44">
        <v>11996</v>
      </c>
      <c r="P10" s="44">
        <v>2496</v>
      </c>
      <c r="Q10" s="45">
        <v>1043</v>
      </c>
      <c r="R10" s="45">
        <v>13398</v>
      </c>
      <c r="S10" s="45">
        <v>622</v>
      </c>
      <c r="T10" s="45">
        <v>283706</v>
      </c>
      <c r="U10" s="45">
        <v>9048</v>
      </c>
      <c r="V10" s="45">
        <v>400</v>
      </c>
      <c r="W10" s="45">
        <v>3991</v>
      </c>
      <c r="X10" s="45">
        <v>1026</v>
      </c>
      <c r="Y10" s="45">
        <v>4051</v>
      </c>
      <c r="Z10" s="45">
        <v>13621</v>
      </c>
      <c r="AA10" s="45">
        <v>223450</v>
      </c>
      <c r="AB10" s="45">
        <v>9019</v>
      </c>
      <c r="AC10" s="45">
        <v>427169</v>
      </c>
      <c r="AD10" s="45">
        <v>4965</v>
      </c>
      <c r="AE10" s="45">
        <v>1054</v>
      </c>
      <c r="AF10" s="45">
        <v>2186</v>
      </c>
      <c r="AG10" s="45">
        <v>144</v>
      </c>
      <c r="AH10" s="45">
        <v>4399</v>
      </c>
      <c r="AI10" s="45">
        <v>522</v>
      </c>
      <c r="AJ10" s="45">
        <v>26774</v>
      </c>
      <c r="AK10" s="45">
        <v>1265</v>
      </c>
      <c r="AL10" s="45">
        <v>121307</v>
      </c>
      <c r="AM10" s="45">
        <v>71680</v>
      </c>
      <c r="AN10" s="45">
        <v>11736</v>
      </c>
      <c r="AO10" s="45">
        <v>667</v>
      </c>
      <c r="AP10" s="45">
        <v>2829</v>
      </c>
      <c r="AQ10" s="45">
        <v>19164</v>
      </c>
      <c r="AR10" s="45">
        <v>9279</v>
      </c>
      <c r="AS10" s="45">
        <v>151</v>
      </c>
      <c r="AT10" s="45">
        <v>94</v>
      </c>
      <c r="AU10" s="45">
        <v>3</v>
      </c>
      <c r="AV10" s="45">
        <v>121</v>
      </c>
      <c r="AW10" s="45">
        <v>84</v>
      </c>
      <c r="AX10" s="45">
        <v>39</v>
      </c>
      <c r="AY10" s="45">
        <v>605</v>
      </c>
      <c r="AZ10" s="45">
        <v>242</v>
      </c>
      <c r="BA10" s="45">
        <v>8</v>
      </c>
      <c r="BB10" s="45">
        <v>3681</v>
      </c>
      <c r="BC10" s="45">
        <v>155</v>
      </c>
      <c r="BD10" s="45">
        <v>85</v>
      </c>
      <c r="BE10" s="45">
        <v>639</v>
      </c>
      <c r="BF10" s="45">
        <v>5034</v>
      </c>
      <c r="BG10" s="45">
        <v>511</v>
      </c>
      <c r="BH10" s="45">
        <v>1287</v>
      </c>
      <c r="BI10" s="45">
        <v>0</v>
      </c>
      <c r="BJ10" s="45">
        <v>3249</v>
      </c>
      <c r="BK10" s="45">
        <v>282</v>
      </c>
      <c r="BL10" s="45">
        <v>219</v>
      </c>
      <c r="BM10" s="45">
        <v>339</v>
      </c>
      <c r="BN10" s="45">
        <v>1458</v>
      </c>
      <c r="BO10" s="45">
        <v>1011</v>
      </c>
      <c r="BP10" s="45">
        <v>17491</v>
      </c>
      <c r="BQ10" s="45">
        <v>1083</v>
      </c>
      <c r="BR10" s="45">
        <v>3108</v>
      </c>
      <c r="BS10" s="45">
        <v>436</v>
      </c>
      <c r="BT10" s="45">
        <v>842</v>
      </c>
      <c r="BU10" s="45">
        <v>687</v>
      </c>
      <c r="BV10" s="45">
        <v>52</v>
      </c>
      <c r="BW10" s="45">
        <v>120</v>
      </c>
      <c r="BX10" s="45">
        <v>9729</v>
      </c>
      <c r="BY10" s="45">
        <v>0</v>
      </c>
      <c r="BZ10" s="45">
        <v>11955</v>
      </c>
      <c r="CA10" s="45">
        <v>0</v>
      </c>
      <c r="CB10" s="42">
        <v>4005357</v>
      </c>
      <c r="CC10" s="259"/>
      <c r="CD10" s="52">
        <v>1514913</v>
      </c>
      <c r="CE10" s="53">
        <v>5845</v>
      </c>
      <c r="CF10" s="54">
        <v>98484</v>
      </c>
      <c r="CG10" s="52">
        <v>6211053</v>
      </c>
      <c r="CH10" s="55">
        <v>11835652</v>
      </c>
      <c r="CI10" s="51">
        <f t="shared" si="0"/>
        <v>11835652</v>
      </c>
      <c r="CJ10" s="51">
        <f t="shared" si="1"/>
        <v>0</v>
      </c>
    </row>
    <row r="11" spans="1:88" x14ac:dyDescent="0.25">
      <c r="A11" s="8" t="s">
        <v>9</v>
      </c>
      <c r="B11" s="262"/>
      <c r="C11" s="43">
        <v>2035</v>
      </c>
      <c r="D11" s="44">
        <v>7506</v>
      </c>
      <c r="E11" s="44">
        <v>155</v>
      </c>
      <c r="F11" s="44">
        <v>9361</v>
      </c>
      <c r="G11" s="44">
        <v>2871</v>
      </c>
      <c r="H11" s="44">
        <v>28370</v>
      </c>
      <c r="I11" s="44">
        <v>1718</v>
      </c>
      <c r="J11" s="44">
        <v>2468</v>
      </c>
      <c r="K11" s="44">
        <v>7150</v>
      </c>
      <c r="L11" s="44">
        <v>394138</v>
      </c>
      <c r="M11" s="44">
        <v>3810</v>
      </c>
      <c r="N11" s="44">
        <v>10300</v>
      </c>
      <c r="O11" s="44">
        <v>4733</v>
      </c>
      <c r="P11" s="44">
        <v>558</v>
      </c>
      <c r="Q11" s="45">
        <v>5211</v>
      </c>
      <c r="R11" s="45">
        <v>9064</v>
      </c>
      <c r="S11" s="45">
        <v>3827</v>
      </c>
      <c r="T11" s="45">
        <v>13225</v>
      </c>
      <c r="U11" s="45">
        <v>26273</v>
      </c>
      <c r="V11" s="45">
        <v>42363</v>
      </c>
      <c r="W11" s="45">
        <v>34992</v>
      </c>
      <c r="X11" s="45">
        <v>1756</v>
      </c>
      <c r="Y11" s="45">
        <v>18138</v>
      </c>
      <c r="Z11" s="45">
        <v>12543</v>
      </c>
      <c r="AA11" s="45">
        <v>15710</v>
      </c>
      <c r="AB11" s="45">
        <v>17582</v>
      </c>
      <c r="AC11" s="45">
        <v>12815</v>
      </c>
      <c r="AD11" s="45">
        <v>4920</v>
      </c>
      <c r="AE11" s="45">
        <v>23169</v>
      </c>
      <c r="AF11" s="45">
        <v>25696</v>
      </c>
      <c r="AG11" s="45">
        <v>2045</v>
      </c>
      <c r="AH11" s="45">
        <v>3854</v>
      </c>
      <c r="AI11" s="45">
        <v>5520</v>
      </c>
      <c r="AJ11" s="45">
        <v>66768</v>
      </c>
      <c r="AK11" s="45">
        <v>17105</v>
      </c>
      <c r="AL11" s="45">
        <v>42301</v>
      </c>
      <c r="AM11" s="45">
        <v>14057</v>
      </c>
      <c r="AN11" s="45">
        <v>35389</v>
      </c>
      <c r="AO11" s="45">
        <v>2024</v>
      </c>
      <c r="AP11" s="45">
        <v>78623</v>
      </c>
      <c r="AQ11" s="45">
        <v>3715</v>
      </c>
      <c r="AR11" s="45">
        <v>7588</v>
      </c>
      <c r="AS11" s="45">
        <v>375</v>
      </c>
      <c r="AT11" s="45">
        <v>2477</v>
      </c>
      <c r="AU11" s="45">
        <v>37</v>
      </c>
      <c r="AV11" s="45">
        <v>716</v>
      </c>
      <c r="AW11" s="45">
        <v>801</v>
      </c>
      <c r="AX11" s="45">
        <v>152</v>
      </c>
      <c r="AY11" s="45">
        <v>17333</v>
      </c>
      <c r="AZ11" s="45">
        <v>0</v>
      </c>
      <c r="BA11" s="45">
        <v>19</v>
      </c>
      <c r="BB11" s="45">
        <v>23767</v>
      </c>
      <c r="BC11" s="45">
        <v>264</v>
      </c>
      <c r="BD11" s="45">
        <v>877</v>
      </c>
      <c r="BE11" s="45">
        <v>1950</v>
      </c>
      <c r="BF11" s="45">
        <v>5857</v>
      </c>
      <c r="BG11" s="45">
        <v>2117</v>
      </c>
      <c r="BH11" s="45">
        <v>108</v>
      </c>
      <c r="BI11" s="45">
        <v>129</v>
      </c>
      <c r="BJ11" s="45">
        <v>23306</v>
      </c>
      <c r="BK11" s="45">
        <v>1639</v>
      </c>
      <c r="BL11" s="45">
        <v>3475</v>
      </c>
      <c r="BM11" s="45">
        <v>16774</v>
      </c>
      <c r="BN11" s="45">
        <v>6739</v>
      </c>
      <c r="BO11" s="45">
        <v>1544</v>
      </c>
      <c r="BP11" s="45">
        <v>97412</v>
      </c>
      <c r="BQ11" s="45">
        <v>2245</v>
      </c>
      <c r="BR11" s="45">
        <v>9981</v>
      </c>
      <c r="BS11" s="45">
        <v>2022</v>
      </c>
      <c r="BT11" s="45">
        <v>2077</v>
      </c>
      <c r="BU11" s="45">
        <v>479</v>
      </c>
      <c r="BV11" s="45">
        <v>58</v>
      </c>
      <c r="BW11" s="45">
        <v>49699</v>
      </c>
      <c r="BX11" s="45">
        <v>3927</v>
      </c>
      <c r="BY11" s="45">
        <v>300</v>
      </c>
      <c r="BZ11" s="45">
        <v>11185</v>
      </c>
      <c r="CA11" s="45">
        <v>0</v>
      </c>
      <c r="CB11" s="42">
        <v>1311287</v>
      </c>
      <c r="CC11" s="259"/>
      <c r="CD11" s="52">
        <v>3264012</v>
      </c>
      <c r="CE11" s="53">
        <v>46812</v>
      </c>
      <c r="CF11" s="54">
        <v>-502334</v>
      </c>
      <c r="CG11" s="52">
        <v>9330044</v>
      </c>
      <c r="CH11" s="55">
        <v>13449821</v>
      </c>
      <c r="CI11" s="51">
        <f t="shared" si="0"/>
        <v>13449821</v>
      </c>
      <c r="CJ11" s="51">
        <f t="shared" si="1"/>
        <v>0</v>
      </c>
    </row>
    <row r="12" spans="1:88" x14ac:dyDescent="0.25">
      <c r="A12" s="8" t="s">
        <v>10</v>
      </c>
      <c r="B12" s="262"/>
      <c r="C12" s="43">
        <v>653</v>
      </c>
      <c r="D12" s="44">
        <v>1035</v>
      </c>
      <c r="E12" s="44">
        <v>50</v>
      </c>
      <c r="F12" s="44">
        <v>6501</v>
      </c>
      <c r="G12" s="44">
        <v>1713</v>
      </c>
      <c r="H12" s="44">
        <v>5590</v>
      </c>
      <c r="I12" s="44">
        <v>477</v>
      </c>
      <c r="J12" s="44">
        <v>34</v>
      </c>
      <c r="K12" s="44">
        <v>3825</v>
      </c>
      <c r="L12" s="44">
        <v>10883</v>
      </c>
      <c r="M12" s="44">
        <v>330439</v>
      </c>
      <c r="N12" s="44">
        <v>2019</v>
      </c>
      <c r="O12" s="44">
        <v>1647</v>
      </c>
      <c r="P12" s="44">
        <v>1020</v>
      </c>
      <c r="Q12" s="45">
        <v>2150</v>
      </c>
      <c r="R12" s="45">
        <v>606</v>
      </c>
      <c r="S12" s="45">
        <v>91</v>
      </c>
      <c r="T12" s="45">
        <v>2201</v>
      </c>
      <c r="U12" s="45">
        <v>2104</v>
      </c>
      <c r="V12" s="45">
        <v>1156</v>
      </c>
      <c r="W12" s="45">
        <v>1669</v>
      </c>
      <c r="X12" s="45">
        <v>58</v>
      </c>
      <c r="Y12" s="45">
        <v>3403</v>
      </c>
      <c r="Z12" s="45">
        <v>1361</v>
      </c>
      <c r="AA12" s="45">
        <v>33297</v>
      </c>
      <c r="AB12" s="45">
        <v>1407</v>
      </c>
      <c r="AC12" s="45">
        <v>90120</v>
      </c>
      <c r="AD12" s="45">
        <v>642</v>
      </c>
      <c r="AE12" s="45">
        <v>658</v>
      </c>
      <c r="AF12" s="45">
        <v>2689</v>
      </c>
      <c r="AG12" s="45">
        <v>560</v>
      </c>
      <c r="AH12" s="45">
        <v>792</v>
      </c>
      <c r="AI12" s="45">
        <v>432</v>
      </c>
      <c r="AJ12" s="45">
        <v>22298</v>
      </c>
      <c r="AK12" s="45">
        <v>478</v>
      </c>
      <c r="AL12" s="45">
        <v>13826</v>
      </c>
      <c r="AM12" s="45">
        <v>15987</v>
      </c>
      <c r="AN12" s="45">
        <v>6981</v>
      </c>
      <c r="AO12" s="45">
        <v>349</v>
      </c>
      <c r="AP12" s="45">
        <v>10316</v>
      </c>
      <c r="AQ12" s="45">
        <v>937</v>
      </c>
      <c r="AR12" s="45">
        <v>41</v>
      </c>
      <c r="AS12" s="45">
        <v>260</v>
      </c>
      <c r="AT12" s="45">
        <v>3</v>
      </c>
      <c r="AU12" s="45">
        <v>1</v>
      </c>
      <c r="AV12" s="45">
        <v>57</v>
      </c>
      <c r="AW12" s="45">
        <v>23</v>
      </c>
      <c r="AX12" s="45">
        <v>10</v>
      </c>
      <c r="AY12" s="45">
        <v>553</v>
      </c>
      <c r="AZ12" s="45">
        <v>0</v>
      </c>
      <c r="BA12" s="45">
        <v>3</v>
      </c>
      <c r="BB12" s="45">
        <v>539</v>
      </c>
      <c r="BC12" s="45">
        <v>28</v>
      </c>
      <c r="BD12" s="45">
        <v>91</v>
      </c>
      <c r="BE12" s="45">
        <v>67</v>
      </c>
      <c r="BF12" s="45">
        <v>444</v>
      </c>
      <c r="BG12" s="45">
        <v>80</v>
      </c>
      <c r="BH12" s="45">
        <v>42</v>
      </c>
      <c r="BI12" s="45">
        <v>0</v>
      </c>
      <c r="BJ12" s="45">
        <v>1148</v>
      </c>
      <c r="BK12" s="45">
        <v>94</v>
      </c>
      <c r="BL12" s="45">
        <v>5</v>
      </c>
      <c r="BM12" s="45">
        <v>499</v>
      </c>
      <c r="BN12" s="45">
        <v>669</v>
      </c>
      <c r="BO12" s="45">
        <v>110</v>
      </c>
      <c r="BP12" s="45">
        <v>600</v>
      </c>
      <c r="BQ12" s="45">
        <v>98</v>
      </c>
      <c r="BR12" s="45">
        <v>573</v>
      </c>
      <c r="BS12" s="45">
        <v>118</v>
      </c>
      <c r="BT12" s="45">
        <v>304</v>
      </c>
      <c r="BU12" s="45">
        <v>53</v>
      </c>
      <c r="BV12" s="45">
        <v>5</v>
      </c>
      <c r="BW12" s="45">
        <v>386</v>
      </c>
      <c r="BX12" s="45">
        <v>190</v>
      </c>
      <c r="BY12" s="45">
        <v>3663</v>
      </c>
      <c r="BZ12" s="45">
        <v>373</v>
      </c>
      <c r="CA12" s="45">
        <v>0</v>
      </c>
      <c r="CB12" s="42">
        <v>593584</v>
      </c>
      <c r="CC12" s="259"/>
      <c r="CD12" s="52">
        <v>1336975</v>
      </c>
      <c r="CE12" s="53">
        <v>19238</v>
      </c>
      <c r="CF12" s="54">
        <v>11760</v>
      </c>
      <c r="CG12" s="52">
        <v>3218416</v>
      </c>
      <c r="CH12" s="55">
        <v>5179973</v>
      </c>
      <c r="CI12" s="51">
        <f t="shared" si="0"/>
        <v>5179973</v>
      </c>
      <c r="CJ12" s="51">
        <f t="shared" si="1"/>
        <v>0</v>
      </c>
    </row>
    <row r="13" spans="1:88" x14ac:dyDescent="0.25">
      <c r="A13" s="8" t="s">
        <v>11</v>
      </c>
      <c r="B13" s="262"/>
      <c r="C13" s="43">
        <v>190614</v>
      </c>
      <c r="D13" s="44">
        <v>125567</v>
      </c>
      <c r="E13" s="44">
        <v>138</v>
      </c>
      <c r="F13" s="44">
        <v>62627</v>
      </c>
      <c r="G13" s="44">
        <v>17367</v>
      </c>
      <c r="H13" s="44">
        <v>92098</v>
      </c>
      <c r="I13" s="44">
        <v>15781</v>
      </c>
      <c r="J13" s="44">
        <v>1619</v>
      </c>
      <c r="K13" s="44">
        <v>17347</v>
      </c>
      <c r="L13" s="44">
        <v>9164</v>
      </c>
      <c r="M13" s="44">
        <v>14174</v>
      </c>
      <c r="N13" s="44">
        <v>6449803</v>
      </c>
      <c r="O13" s="44">
        <v>206172</v>
      </c>
      <c r="P13" s="44">
        <v>11500</v>
      </c>
      <c r="Q13" s="45">
        <v>11631</v>
      </c>
      <c r="R13" s="45">
        <v>68112</v>
      </c>
      <c r="S13" s="45">
        <v>3471</v>
      </c>
      <c r="T13" s="45">
        <v>131526</v>
      </c>
      <c r="U13" s="45">
        <v>295482</v>
      </c>
      <c r="V13" s="45">
        <v>16005</v>
      </c>
      <c r="W13" s="45">
        <v>331182</v>
      </c>
      <c r="X13" s="45">
        <v>56195</v>
      </c>
      <c r="Y13" s="45">
        <v>206320</v>
      </c>
      <c r="Z13" s="45">
        <v>102609</v>
      </c>
      <c r="AA13" s="45">
        <v>177383</v>
      </c>
      <c r="AB13" s="45">
        <v>136921</v>
      </c>
      <c r="AC13" s="45">
        <v>5918265</v>
      </c>
      <c r="AD13" s="45">
        <v>388953</v>
      </c>
      <c r="AE13" s="45">
        <v>21247</v>
      </c>
      <c r="AF13" s="45">
        <v>45733</v>
      </c>
      <c r="AG13" s="45">
        <v>1233</v>
      </c>
      <c r="AH13" s="45">
        <v>35021</v>
      </c>
      <c r="AI13" s="45">
        <v>3059</v>
      </c>
      <c r="AJ13" s="45">
        <v>5155868</v>
      </c>
      <c r="AK13" s="45">
        <v>10518</v>
      </c>
      <c r="AL13" s="45">
        <v>508371</v>
      </c>
      <c r="AM13" s="45">
        <v>526773</v>
      </c>
      <c r="AN13" s="45">
        <v>390602</v>
      </c>
      <c r="AO13" s="45">
        <v>4467</v>
      </c>
      <c r="AP13" s="45">
        <v>77003</v>
      </c>
      <c r="AQ13" s="45">
        <v>13825</v>
      </c>
      <c r="AR13" s="45">
        <v>13716</v>
      </c>
      <c r="AS13" s="45">
        <v>239</v>
      </c>
      <c r="AT13" s="45">
        <v>1232</v>
      </c>
      <c r="AU13" s="45">
        <v>1</v>
      </c>
      <c r="AV13" s="45">
        <v>6460</v>
      </c>
      <c r="AW13" s="45">
        <v>2346</v>
      </c>
      <c r="AX13" s="45">
        <v>11</v>
      </c>
      <c r="AY13" s="45">
        <v>18659</v>
      </c>
      <c r="AZ13" s="45">
        <v>0</v>
      </c>
      <c r="BA13" s="45">
        <v>27</v>
      </c>
      <c r="BB13" s="45">
        <v>528089</v>
      </c>
      <c r="BC13" s="45">
        <v>908</v>
      </c>
      <c r="BD13" s="45">
        <v>3930</v>
      </c>
      <c r="BE13" s="45">
        <v>7162</v>
      </c>
      <c r="BF13" s="45">
        <v>6699</v>
      </c>
      <c r="BG13" s="45">
        <v>803</v>
      </c>
      <c r="BH13" s="45">
        <v>14543</v>
      </c>
      <c r="BI13" s="45">
        <v>0</v>
      </c>
      <c r="BJ13" s="45">
        <v>19070</v>
      </c>
      <c r="BK13" s="45">
        <v>1084</v>
      </c>
      <c r="BL13" s="45">
        <v>393</v>
      </c>
      <c r="BM13" s="45">
        <v>127</v>
      </c>
      <c r="BN13" s="45">
        <v>32969</v>
      </c>
      <c r="BO13" s="45">
        <v>8656</v>
      </c>
      <c r="BP13" s="45">
        <v>79823</v>
      </c>
      <c r="BQ13" s="45">
        <v>17524</v>
      </c>
      <c r="BR13" s="45">
        <v>7838</v>
      </c>
      <c r="BS13" s="45">
        <v>5057</v>
      </c>
      <c r="BT13" s="45">
        <v>4785</v>
      </c>
      <c r="BU13" s="45">
        <v>1960</v>
      </c>
      <c r="BV13" s="45">
        <v>13</v>
      </c>
      <c r="BW13" s="45">
        <v>10666</v>
      </c>
      <c r="BX13" s="45">
        <v>23594</v>
      </c>
      <c r="BY13" s="45">
        <v>41434</v>
      </c>
      <c r="BZ13" s="45">
        <v>202885</v>
      </c>
      <c r="CA13" s="45">
        <v>0</v>
      </c>
      <c r="CB13" s="42">
        <v>22914449</v>
      </c>
      <c r="CC13" s="259"/>
      <c r="CD13" s="52">
        <v>3067395</v>
      </c>
      <c r="CE13" s="53">
        <v>0</v>
      </c>
      <c r="CF13" s="54">
        <v>-257916</v>
      </c>
      <c r="CG13" s="52">
        <v>12481660</v>
      </c>
      <c r="CH13" s="55">
        <v>38205588</v>
      </c>
      <c r="CI13" s="51">
        <f t="shared" si="0"/>
        <v>38205588</v>
      </c>
      <c r="CJ13" s="51">
        <f t="shared" si="1"/>
        <v>0</v>
      </c>
    </row>
    <row r="14" spans="1:88" x14ac:dyDescent="0.25">
      <c r="A14" s="8" t="s">
        <v>12</v>
      </c>
      <c r="B14" s="262"/>
      <c r="C14" s="43">
        <v>45068</v>
      </c>
      <c r="D14" s="44">
        <v>21884</v>
      </c>
      <c r="E14" s="44">
        <v>471</v>
      </c>
      <c r="F14" s="44">
        <v>8322</v>
      </c>
      <c r="G14" s="44">
        <v>22942</v>
      </c>
      <c r="H14" s="44">
        <v>1420073</v>
      </c>
      <c r="I14" s="44">
        <v>428245</v>
      </c>
      <c r="J14" s="44">
        <v>416915</v>
      </c>
      <c r="K14" s="44">
        <v>100182</v>
      </c>
      <c r="L14" s="44">
        <v>31325</v>
      </c>
      <c r="M14" s="44">
        <v>47876</v>
      </c>
      <c r="N14" s="44">
        <v>522726</v>
      </c>
      <c r="O14" s="44">
        <v>7243125</v>
      </c>
      <c r="P14" s="44">
        <v>1599203</v>
      </c>
      <c r="Q14" s="45">
        <v>53162</v>
      </c>
      <c r="R14" s="45">
        <v>371402</v>
      </c>
      <c r="S14" s="45">
        <v>162749</v>
      </c>
      <c r="T14" s="45">
        <v>516324</v>
      </c>
      <c r="U14" s="45">
        <v>561582</v>
      </c>
      <c r="V14" s="45">
        <v>51065</v>
      </c>
      <c r="W14" s="45">
        <v>181433</v>
      </c>
      <c r="X14" s="45">
        <v>25887</v>
      </c>
      <c r="Y14" s="45">
        <v>225175</v>
      </c>
      <c r="Z14" s="45">
        <v>121296</v>
      </c>
      <c r="AA14" s="45">
        <v>165369</v>
      </c>
      <c r="AB14" s="45">
        <v>40880</v>
      </c>
      <c r="AC14" s="45">
        <v>719334</v>
      </c>
      <c r="AD14" s="45">
        <v>131746</v>
      </c>
      <c r="AE14" s="45">
        <v>76940</v>
      </c>
      <c r="AF14" s="45">
        <v>40802</v>
      </c>
      <c r="AG14" s="45">
        <v>15018</v>
      </c>
      <c r="AH14" s="45">
        <v>97778</v>
      </c>
      <c r="AI14" s="45">
        <v>13029</v>
      </c>
      <c r="AJ14" s="45">
        <v>318464</v>
      </c>
      <c r="AK14" s="45">
        <v>102050</v>
      </c>
      <c r="AL14" s="45">
        <v>925013</v>
      </c>
      <c r="AM14" s="45">
        <v>579081</v>
      </c>
      <c r="AN14" s="45">
        <v>258274</v>
      </c>
      <c r="AO14" s="45">
        <v>6301</v>
      </c>
      <c r="AP14" s="45">
        <v>370703</v>
      </c>
      <c r="AQ14" s="45">
        <v>38446</v>
      </c>
      <c r="AR14" s="45">
        <v>161387</v>
      </c>
      <c r="AS14" s="45">
        <v>668409</v>
      </c>
      <c r="AT14" s="45">
        <v>81766</v>
      </c>
      <c r="AU14" s="45">
        <v>180</v>
      </c>
      <c r="AV14" s="45">
        <v>39473</v>
      </c>
      <c r="AW14" s="45">
        <v>29622</v>
      </c>
      <c r="AX14" s="45">
        <v>36209</v>
      </c>
      <c r="AY14" s="45">
        <v>137354</v>
      </c>
      <c r="AZ14" s="45">
        <v>223336</v>
      </c>
      <c r="BA14" s="45">
        <v>124588</v>
      </c>
      <c r="BB14" s="45">
        <v>287161</v>
      </c>
      <c r="BC14" s="45">
        <v>20327</v>
      </c>
      <c r="BD14" s="45">
        <v>30482</v>
      </c>
      <c r="BE14" s="45">
        <v>35063</v>
      </c>
      <c r="BF14" s="45">
        <v>134604</v>
      </c>
      <c r="BG14" s="45">
        <v>151750</v>
      </c>
      <c r="BH14" s="45">
        <v>23402</v>
      </c>
      <c r="BI14" s="45">
        <v>96</v>
      </c>
      <c r="BJ14" s="45">
        <v>25492</v>
      </c>
      <c r="BK14" s="45">
        <v>6122</v>
      </c>
      <c r="BL14" s="45">
        <v>12004</v>
      </c>
      <c r="BM14" s="45">
        <v>9817</v>
      </c>
      <c r="BN14" s="45">
        <v>40024</v>
      </c>
      <c r="BO14" s="45">
        <v>809677</v>
      </c>
      <c r="BP14" s="45">
        <v>214165</v>
      </c>
      <c r="BQ14" s="45">
        <v>178286</v>
      </c>
      <c r="BR14" s="45">
        <v>79387</v>
      </c>
      <c r="BS14" s="45">
        <v>15099</v>
      </c>
      <c r="BT14" s="45">
        <v>68257</v>
      </c>
      <c r="BU14" s="45">
        <v>20300</v>
      </c>
      <c r="BV14" s="45">
        <v>11499</v>
      </c>
      <c r="BW14" s="45">
        <v>4396</v>
      </c>
      <c r="BX14" s="45">
        <v>161392</v>
      </c>
      <c r="BY14" s="45">
        <v>2813</v>
      </c>
      <c r="BZ14" s="45">
        <v>67108</v>
      </c>
      <c r="CA14" s="45">
        <v>0</v>
      </c>
      <c r="CB14" s="42">
        <v>21988707</v>
      </c>
      <c r="CC14" s="259"/>
      <c r="CD14" s="52">
        <v>1541735</v>
      </c>
      <c r="CE14" s="53">
        <v>17989</v>
      </c>
      <c r="CF14" s="54">
        <v>537746</v>
      </c>
      <c r="CG14" s="52">
        <v>15377355</v>
      </c>
      <c r="CH14" s="55">
        <v>39463532</v>
      </c>
      <c r="CI14" s="51">
        <f t="shared" si="0"/>
        <v>39463532</v>
      </c>
      <c r="CJ14" s="51">
        <f t="shared" si="1"/>
        <v>0</v>
      </c>
    </row>
    <row r="15" spans="1:88" x14ac:dyDescent="0.25">
      <c r="A15" s="8" t="s">
        <v>13</v>
      </c>
      <c r="B15" s="262"/>
      <c r="C15" s="43">
        <v>3822</v>
      </c>
      <c r="D15" s="44">
        <v>3364</v>
      </c>
      <c r="E15" s="44">
        <v>45</v>
      </c>
      <c r="F15" s="44">
        <v>27</v>
      </c>
      <c r="G15" s="44">
        <v>2100</v>
      </c>
      <c r="H15" s="44">
        <v>60978</v>
      </c>
      <c r="I15" s="44">
        <v>24175</v>
      </c>
      <c r="J15" s="44">
        <v>5689</v>
      </c>
      <c r="K15" s="44">
        <v>8394</v>
      </c>
      <c r="L15" s="44">
        <v>6334</v>
      </c>
      <c r="M15" s="44">
        <v>5443</v>
      </c>
      <c r="N15" s="44">
        <v>8701</v>
      </c>
      <c r="O15" s="44">
        <v>266171</v>
      </c>
      <c r="P15" s="44">
        <v>668496</v>
      </c>
      <c r="Q15" s="45">
        <v>3263</v>
      </c>
      <c r="R15" s="45">
        <v>127294</v>
      </c>
      <c r="S15" s="45">
        <v>60816</v>
      </c>
      <c r="T15" s="45">
        <v>66544</v>
      </c>
      <c r="U15" s="45">
        <v>35999</v>
      </c>
      <c r="V15" s="45">
        <v>964</v>
      </c>
      <c r="W15" s="45">
        <v>33560</v>
      </c>
      <c r="X15" s="45">
        <v>3222</v>
      </c>
      <c r="Y15" s="45">
        <v>33825</v>
      </c>
      <c r="Z15" s="45">
        <v>11224</v>
      </c>
      <c r="AA15" s="45">
        <v>32342</v>
      </c>
      <c r="AB15" s="45">
        <v>1846</v>
      </c>
      <c r="AC15" s="45">
        <v>8172</v>
      </c>
      <c r="AD15" s="45">
        <v>12835</v>
      </c>
      <c r="AE15" s="45">
        <v>4885</v>
      </c>
      <c r="AF15" s="45">
        <v>36837</v>
      </c>
      <c r="AG15" s="45">
        <v>2277</v>
      </c>
      <c r="AH15" s="45">
        <v>9959</v>
      </c>
      <c r="AI15" s="45">
        <v>1933</v>
      </c>
      <c r="AJ15" s="45">
        <v>81261</v>
      </c>
      <c r="AK15" s="45">
        <v>48832</v>
      </c>
      <c r="AL15" s="45">
        <v>1302652</v>
      </c>
      <c r="AM15" s="45">
        <v>626886</v>
      </c>
      <c r="AN15" s="45">
        <v>87121</v>
      </c>
      <c r="AO15" s="45">
        <v>5066</v>
      </c>
      <c r="AP15" s="45">
        <v>22051</v>
      </c>
      <c r="AQ15" s="45">
        <v>7818</v>
      </c>
      <c r="AR15" s="45">
        <v>10578</v>
      </c>
      <c r="AS15" s="45">
        <v>941040</v>
      </c>
      <c r="AT15" s="45">
        <v>134477</v>
      </c>
      <c r="AU15" s="45">
        <v>1779</v>
      </c>
      <c r="AV15" s="45">
        <v>60100</v>
      </c>
      <c r="AW15" s="45">
        <v>26107</v>
      </c>
      <c r="AX15" s="45">
        <v>21151</v>
      </c>
      <c r="AY15" s="45">
        <v>421986</v>
      </c>
      <c r="AZ15" s="45">
        <v>1132783</v>
      </c>
      <c r="BA15" s="45">
        <v>79488</v>
      </c>
      <c r="BB15" s="45">
        <v>33393</v>
      </c>
      <c r="BC15" s="45">
        <v>24147</v>
      </c>
      <c r="BD15" s="45">
        <v>74085</v>
      </c>
      <c r="BE15" s="45">
        <v>23018</v>
      </c>
      <c r="BF15" s="45">
        <v>62369</v>
      </c>
      <c r="BG15" s="45">
        <v>709127</v>
      </c>
      <c r="BH15" s="45">
        <v>272682</v>
      </c>
      <c r="BI15" s="45">
        <v>189</v>
      </c>
      <c r="BJ15" s="45">
        <v>80825</v>
      </c>
      <c r="BK15" s="45">
        <v>10141</v>
      </c>
      <c r="BL15" s="45">
        <v>9335</v>
      </c>
      <c r="BM15" s="45">
        <v>3928</v>
      </c>
      <c r="BN15" s="45">
        <v>6777</v>
      </c>
      <c r="BO15" s="45">
        <v>38461</v>
      </c>
      <c r="BP15" s="45">
        <v>267965</v>
      </c>
      <c r="BQ15" s="45">
        <v>707145</v>
      </c>
      <c r="BR15" s="45">
        <v>75122</v>
      </c>
      <c r="BS15" s="45">
        <v>9632</v>
      </c>
      <c r="BT15" s="45">
        <v>119556</v>
      </c>
      <c r="BU15" s="45">
        <v>26513</v>
      </c>
      <c r="BV15" s="45">
        <v>14861</v>
      </c>
      <c r="BW15" s="45">
        <v>11856</v>
      </c>
      <c r="BX15" s="45">
        <v>95277</v>
      </c>
      <c r="BY15" s="45">
        <v>160</v>
      </c>
      <c r="BZ15" s="45">
        <v>18784</v>
      </c>
      <c r="CA15" s="45">
        <v>0</v>
      </c>
      <c r="CB15" s="42">
        <v>9258060</v>
      </c>
      <c r="CC15" s="259"/>
      <c r="CD15" s="52">
        <v>3784690</v>
      </c>
      <c r="CE15" s="53">
        <v>0</v>
      </c>
      <c r="CF15" s="54">
        <v>2544</v>
      </c>
      <c r="CG15" s="52">
        <v>357711</v>
      </c>
      <c r="CH15" s="55">
        <v>13403005</v>
      </c>
      <c r="CI15" s="51">
        <f t="shared" si="0"/>
        <v>13403005</v>
      </c>
      <c r="CJ15" s="51">
        <f t="shared" si="1"/>
        <v>0</v>
      </c>
    </row>
    <row r="16" spans="1:88" x14ac:dyDescent="0.25">
      <c r="A16" s="8" t="s">
        <v>14</v>
      </c>
      <c r="B16" s="262"/>
      <c r="C16" s="43">
        <v>1361342</v>
      </c>
      <c r="D16" s="44">
        <v>43130</v>
      </c>
      <c r="E16" s="44">
        <v>22751</v>
      </c>
      <c r="F16" s="44">
        <v>43822</v>
      </c>
      <c r="G16" s="44">
        <v>209774</v>
      </c>
      <c r="H16" s="44">
        <v>295513</v>
      </c>
      <c r="I16" s="44">
        <v>201440</v>
      </c>
      <c r="J16" s="44">
        <v>14190</v>
      </c>
      <c r="K16" s="44">
        <v>24712</v>
      </c>
      <c r="L16" s="44">
        <v>29221</v>
      </c>
      <c r="M16" s="44">
        <v>9787</v>
      </c>
      <c r="N16" s="44">
        <v>66389</v>
      </c>
      <c r="O16" s="44">
        <v>94287</v>
      </c>
      <c r="P16" s="44">
        <v>16847</v>
      </c>
      <c r="Q16" s="45">
        <v>779585</v>
      </c>
      <c r="R16" s="45">
        <v>631808</v>
      </c>
      <c r="S16" s="45">
        <v>68834</v>
      </c>
      <c r="T16" s="45">
        <v>258699</v>
      </c>
      <c r="U16" s="45">
        <v>514515</v>
      </c>
      <c r="V16" s="45">
        <v>2345232</v>
      </c>
      <c r="W16" s="45">
        <v>155927</v>
      </c>
      <c r="X16" s="45">
        <v>25857</v>
      </c>
      <c r="Y16" s="45">
        <v>116742</v>
      </c>
      <c r="Z16" s="45">
        <v>110097</v>
      </c>
      <c r="AA16" s="45">
        <v>61653</v>
      </c>
      <c r="AB16" s="45">
        <v>35906</v>
      </c>
      <c r="AC16" s="45">
        <v>71678</v>
      </c>
      <c r="AD16" s="45">
        <v>171709</v>
      </c>
      <c r="AE16" s="45">
        <v>87282</v>
      </c>
      <c r="AF16" s="45">
        <v>383381</v>
      </c>
      <c r="AG16" s="45">
        <v>1971</v>
      </c>
      <c r="AH16" s="45">
        <v>358447</v>
      </c>
      <c r="AI16" s="45">
        <v>174367</v>
      </c>
      <c r="AJ16" s="45">
        <v>3856044</v>
      </c>
      <c r="AK16" s="45">
        <v>331625</v>
      </c>
      <c r="AL16" s="45">
        <v>1612283</v>
      </c>
      <c r="AM16" s="45">
        <v>480450</v>
      </c>
      <c r="AN16" s="45">
        <v>11479158</v>
      </c>
      <c r="AO16" s="45">
        <v>251866</v>
      </c>
      <c r="AP16" s="45">
        <v>660347</v>
      </c>
      <c r="AQ16" s="45">
        <v>94812</v>
      </c>
      <c r="AR16" s="45">
        <v>123990</v>
      </c>
      <c r="AS16" s="45">
        <v>9302</v>
      </c>
      <c r="AT16" s="45">
        <v>8441</v>
      </c>
      <c r="AU16" s="45">
        <v>2151</v>
      </c>
      <c r="AV16" s="45">
        <v>44285</v>
      </c>
      <c r="AW16" s="45">
        <v>40947</v>
      </c>
      <c r="AX16" s="45">
        <v>11467</v>
      </c>
      <c r="AY16" s="45">
        <v>180607</v>
      </c>
      <c r="AZ16" s="45">
        <v>861813</v>
      </c>
      <c r="BA16" s="45">
        <v>38452</v>
      </c>
      <c r="BB16" s="45">
        <v>218963</v>
      </c>
      <c r="BC16" s="45">
        <v>19869</v>
      </c>
      <c r="BD16" s="45">
        <v>40554</v>
      </c>
      <c r="BE16" s="45">
        <v>42042</v>
      </c>
      <c r="BF16" s="45">
        <v>30860</v>
      </c>
      <c r="BG16" s="45">
        <v>79214</v>
      </c>
      <c r="BH16" s="45">
        <v>31481</v>
      </c>
      <c r="BI16" s="45">
        <v>6311</v>
      </c>
      <c r="BJ16" s="45">
        <v>278010</v>
      </c>
      <c r="BK16" s="45">
        <v>35722</v>
      </c>
      <c r="BL16" s="45">
        <v>28247</v>
      </c>
      <c r="BM16" s="45">
        <v>109173</v>
      </c>
      <c r="BN16" s="45">
        <v>136201</v>
      </c>
      <c r="BO16" s="45">
        <v>42679</v>
      </c>
      <c r="BP16" s="45">
        <v>445348</v>
      </c>
      <c r="BQ16" s="45">
        <v>119356</v>
      </c>
      <c r="BR16" s="45">
        <v>128710</v>
      </c>
      <c r="BS16" s="45">
        <v>49916</v>
      </c>
      <c r="BT16" s="45">
        <v>20992</v>
      </c>
      <c r="BU16" s="45">
        <v>4694</v>
      </c>
      <c r="BV16" s="45">
        <v>1077</v>
      </c>
      <c r="BW16" s="45">
        <v>24510</v>
      </c>
      <c r="BX16" s="45">
        <v>28225</v>
      </c>
      <c r="BY16" s="45">
        <v>8180</v>
      </c>
      <c r="BZ16" s="45">
        <v>89640</v>
      </c>
      <c r="CA16" s="45">
        <v>0</v>
      </c>
      <c r="CB16" s="42">
        <v>30894909</v>
      </c>
      <c r="CC16" s="259"/>
      <c r="CD16" s="52">
        <v>10276191</v>
      </c>
      <c r="CE16" s="53">
        <v>44841</v>
      </c>
      <c r="CF16" s="54">
        <v>-3863907</v>
      </c>
      <c r="CG16" s="52">
        <v>19040149</v>
      </c>
      <c r="CH16" s="55">
        <v>56392183</v>
      </c>
      <c r="CI16" s="51">
        <f t="shared" si="0"/>
        <v>56392183</v>
      </c>
      <c r="CJ16" s="51">
        <f t="shared" si="1"/>
        <v>0</v>
      </c>
    </row>
    <row r="17" spans="1:88" x14ac:dyDescent="0.25">
      <c r="A17" s="8" t="s">
        <v>15</v>
      </c>
      <c r="B17" s="262"/>
      <c r="C17" s="43">
        <v>4017084</v>
      </c>
      <c r="D17" s="44">
        <v>51807</v>
      </c>
      <c r="E17" s="44">
        <v>2171</v>
      </c>
      <c r="F17" s="44">
        <v>64995</v>
      </c>
      <c r="G17" s="44">
        <v>40537</v>
      </c>
      <c r="H17" s="44">
        <v>468283</v>
      </c>
      <c r="I17" s="44">
        <v>83300</v>
      </c>
      <c r="J17" s="44">
        <v>18904</v>
      </c>
      <c r="K17" s="44">
        <v>90458</v>
      </c>
      <c r="L17" s="44">
        <v>28817</v>
      </c>
      <c r="M17" s="44">
        <v>88346</v>
      </c>
      <c r="N17" s="44">
        <v>412675</v>
      </c>
      <c r="O17" s="44">
        <v>664411</v>
      </c>
      <c r="P17" s="44">
        <v>173145</v>
      </c>
      <c r="Q17" s="45">
        <v>459709</v>
      </c>
      <c r="R17" s="45">
        <v>6740506</v>
      </c>
      <c r="S17" s="45">
        <v>93322</v>
      </c>
      <c r="T17" s="45">
        <v>3958543</v>
      </c>
      <c r="U17" s="45">
        <v>740071</v>
      </c>
      <c r="V17" s="45">
        <v>157498</v>
      </c>
      <c r="W17" s="45">
        <v>617680</v>
      </c>
      <c r="X17" s="45">
        <v>108493</v>
      </c>
      <c r="Y17" s="45">
        <v>451074</v>
      </c>
      <c r="Z17" s="45">
        <v>203441</v>
      </c>
      <c r="AA17" s="45">
        <v>711879</v>
      </c>
      <c r="AB17" s="45">
        <v>137268</v>
      </c>
      <c r="AC17" s="45">
        <v>412007</v>
      </c>
      <c r="AD17" s="45">
        <v>141146</v>
      </c>
      <c r="AE17" s="45">
        <v>135046</v>
      </c>
      <c r="AF17" s="45">
        <v>73250</v>
      </c>
      <c r="AG17" s="45">
        <v>61903</v>
      </c>
      <c r="AH17" s="45">
        <v>56879</v>
      </c>
      <c r="AI17" s="45">
        <v>51307</v>
      </c>
      <c r="AJ17" s="45">
        <v>1196744</v>
      </c>
      <c r="AK17" s="45">
        <v>183320</v>
      </c>
      <c r="AL17" s="45">
        <v>622271</v>
      </c>
      <c r="AM17" s="45">
        <v>239587</v>
      </c>
      <c r="AN17" s="45">
        <v>175417</v>
      </c>
      <c r="AO17" s="45">
        <v>3635</v>
      </c>
      <c r="AP17" s="45">
        <v>51128</v>
      </c>
      <c r="AQ17" s="45">
        <v>56279</v>
      </c>
      <c r="AR17" s="45">
        <v>65166</v>
      </c>
      <c r="AS17" s="45">
        <v>21724</v>
      </c>
      <c r="AT17" s="45">
        <v>39387</v>
      </c>
      <c r="AU17" s="45">
        <v>63</v>
      </c>
      <c r="AV17" s="45">
        <v>2165</v>
      </c>
      <c r="AW17" s="45">
        <v>3206</v>
      </c>
      <c r="AX17" s="45">
        <v>4195</v>
      </c>
      <c r="AY17" s="45">
        <v>64984</v>
      </c>
      <c r="AZ17" s="45">
        <v>1998</v>
      </c>
      <c r="BA17" s="45">
        <v>5842</v>
      </c>
      <c r="BB17" s="45">
        <v>561762</v>
      </c>
      <c r="BC17" s="45">
        <v>17631</v>
      </c>
      <c r="BD17" s="45">
        <v>7566</v>
      </c>
      <c r="BE17" s="45">
        <v>31093</v>
      </c>
      <c r="BF17" s="45">
        <v>194038</v>
      </c>
      <c r="BG17" s="45">
        <v>23564</v>
      </c>
      <c r="BH17" s="45">
        <v>12827</v>
      </c>
      <c r="BI17" s="45">
        <v>16142</v>
      </c>
      <c r="BJ17" s="45">
        <v>28430</v>
      </c>
      <c r="BK17" s="45">
        <v>3776</v>
      </c>
      <c r="BL17" s="45">
        <v>2209</v>
      </c>
      <c r="BM17" s="45">
        <v>15374</v>
      </c>
      <c r="BN17" s="45">
        <v>248226</v>
      </c>
      <c r="BO17" s="45">
        <v>30479</v>
      </c>
      <c r="BP17" s="45">
        <v>50858</v>
      </c>
      <c r="BQ17" s="45">
        <v>41859</v>
      </c>
      <c r="BR17" s="45">
        <v>351929</v>
      </c>
      <c r="BS17" s="45">
        <v>22184</v>
      </c>
      <c r="BT17" s="45">
        <v>7153</v>
      </c>
      <c r="BU17" s="45">
        <v>686</v>
      </c>
      <c r="BV17" s="45">
        <v>196</v>
      </c>
      <c r="BW17" s="45">
        <v>9745</v>
      </c>
      <c r="BX17" s="45">
        <v>35942</v>
      </c>
      <c r="BY17" s="45">
        <v>5799</v>
      </c>
      <c r="BZ17" s="45">
        <v>98013</v>
      </c>
      <c r="CA17" s="45">
        <v>0</v>
      </c>
      <c r="CB17" s="42">
        <v>26070547</v>
      </c>
      <c r="CC17" s="259"/>
      <c r="CD17" s="52">
        <v>4265134</v>
      </c>
      <c r="CE17" s="53">
        <v>3341</v>
      </c>
      <c r="CF17" s="54">
        <v>-147672</v>
      </c>
      <c r="CG17" s="52">
        <v>37051126</v>
      </c>
      <c r="CH17" s="55">
        <v>67242476</v>
      </c>
      <c r="CI17" s="51">
        <f t="shared" si="0"/>
        <v>67242476</v>
      </c>
      <c r="CJ17" s="51">
        <f t="shared" si="1"/>
        <v>0</v>
      </c>
    </row>
    <row r="18" spans="1:88" x14ac:dyDescent="0.25">
      <c r="A18" s="8" t="s">
        <v>16</v>
      </c>
      <c r="B18" s="262"/>
      <c r="C18" s="43">
        <v>9373</v>
      </c>
      <c r="D18" s="44">
        <v>101</v>
      </c>
      <c r="E18" s="44">
        <v>299</v>
      </c>
      <c r="F18" s="44">
        <v>74</v>
      </c>
      <c r="G18" s="44">
        <v>368</v>
      </c>
      <c r="H18" s="44">
        <v>20876</v>
      </c>
      <c r="I18" s="44">
        <v>181</v>
      </c>
      <c r="J18" s="44">
        <v>2</v>
      </c>
      <c r="K18" s="44">
        <v>7276</v>
      </c>
      <c r="L18" s="44">
        <v>312</v>
      </c>
      <c r="M18" s="44">
        <v>23</v>
      </c>
      <c r="N18" s="44">
        <v>19</v>
      </c>
      <c r="O18" s="44">
        <v>198</v>
      </c>
      <c r="P18" s="44">
        <v>57</v>
      </c>
      <c r="Q18" s="45">
        <v>108</v>
      </c>
      <c r="R18" s="45">
        <v>62041</v>
      </c>
      <c r="S18" s="45">
        <v>1835581</v>
      </c>
      <c r="T18" s="45">
        <v>6918</v>
      </c>
      <c r="U18" s="45">
        <v>857</v>
      </c>
      <c r="V18" s="45">
        <v>33</v>
      </c>
      <c r="W18" s="45">
        <v>1567</v>
      </c>
      <c r="X18" s="45">
        <v>259</v>
      </c>
      <c r="Y18" s="45">
        <v>168</v>
      </c>
      <c r="Z18" s="45">
        <v>1119</v>
      </c>
      <c r="AA18" s="45">
        <v>27836</v>
      </c>
      <c r="AB18" s="45">
        <v>115</v>
      </c>
      <c r="AC18" s="45">
        <v>181</v>
      </c>
      <c r="AD18" s="45">
        <v>1344</v>
      </c>
      <c r="AE18" s="45">
        <v>303</v>
      </c>
      <c r="AF18" s="45">
        <v>108</v>
      </c>
      <c r="AG18" s="45">
        <v>96</v>
      </c>
      <c r="AH18" s="45">
        <v>259</v>
      </c>
      <c r="AI18" s="45">
        <v>337</v>
      </c>
      <c r="AJ18" s="45">
        <v>1023</v>
      </c>
      <c r="AK18" s="45">
        <v>122</v>
      </c>
      <c r="AL18" s="45">
        <v>18342</v>
      </c>
      <c r="AM18" s="45">
        <v>8479</v>
      </c>
      <c r="AN18" s="45">
        <v>1386</v>
      </c>
      <c r="AO18" s="45">
        <v>1064</v>
      </c>
      <c r="AP18" s="45">
        <v>3755</v>
      </c>
      <c r="AQ18" s="45">
        <v>1372</v>
      </c>
      <c r="AR18" s="45">
        <v>660</v>
      </c>
      <c r="AS18" s="45">
        <v>1</v>
      </c>
      <c r="AT18" s="45">
        <v>19</v>
      </c>
      <c r="AU18" s="45">
        <v>0</v>
      </c>
      <c r="AV18" s="45">
        <v>17</v>
      </c>
      <c r="AW18" s="45">
        <v>1048</v>
      </c>
      <c r="AX18" s="45">
        <v>971</v>
      </c>
      <c r="AY18" s="45">
        <v>92</v>
      </c>
      <c r="AZ18" s="45">
        <v>60</v>
      </c>
      <c r="BA18" s="45">
        <v>114</v>
      </c>
      <c r="BB18" s="45">
        <v>17</v>
      </c>
      <c r="BC18" s="45">
        <v>315</v>
      </c>
      <c r="BD18" s="45">
        <v>1649</v>
      </c>
      <c r="BE18" s="45">
        <v>1104</v>
      </c>
      <c r="BF18" s="45">
        <v>32659</v>
      </c>
      <c r="BG18" s="45">
        <v>3773</v>
      </c>
      <c r="BH18" s="45">
        <v>10</v>
      </c>
      <c r="BI18" s="45">
        <v>114812</v>
      </c>
      <c r="BJ18" s="45">
        <v>1107</v>
      </c>
      <c r="BK18" s="45">
        <v>80</v>
      </c>
      <c r="BL18" s="45">
        <v>528</v>
      </c>
      <c r="BM18" s="45">
        <v>205</v>
      </c>
      <c r="BN18" s="45">
        <v>2330</v>
      </c>
      <c r="BO18" s="45">
        <v>116</v>
      </c>
      <c r="BP18" s="45">
        <v>33613</v>
      </c>
      <c r="BQ18" s="45">
        <v>9590</v>
      </c>
      <c r="BR18" s="45">
        <v>708844</v>
      </c>
      <c r="BS18" s="45">
        <v>41539</v>
      </c>
      <c r="BT18" s="45">
        <v>374</v>
      </c>
      <c r="BU18" s="45">
        <v>40</v>
      </c>
      <c r="BV18" s="45">
        <v>2</v>
      </c>
      <c r="BW18" s="45">
        <v>2214</v>
      </c>
      <c r="BX18" s="45">
        <v>1</v>
      </c>
      <c r="BY18" s="45">
        <v>6</v>
      </c>
      <c r="BZ18" s="45">
        <v>1152</v>
      </c>
      <c r="CA18" s="45">
        <v>0</v>
      </c>
      <c r="CB18" s="42">
        <v>2972994</v>
      </c>
      <c r="CC18" s="259"/>
      <c r="CD18" s="52">
        <v>1798039</v>
      </c>
      <c r="CE18" s="53">
        <v>1010075</v>
      </c>
      <c r="CF18" s="54">
        <v>-263981</v>
      </c>
      <c r="CG18" s="52">
        <v>9013925</v>
      </c>
      <c r="CH18" s="55">
        <v>14531052</v>
      </c>
      <c r="CI18" s="51">
        <f t="shared" si="0"/>
        <v>14531052</v>
      </c>
      <c r="CJ18" s="51">
        <f t="shared" si="1"/>
        <v>0</v>
      </c>
    </row>
    <row r="19" spans="1:88" x14ac:dyDescent="0.25">
      <c r="A19" s="8" t="s">
        <v>17</v>
      </c>
      <c r="B19" s="262"/>
      <c r="C19" s="43">
        <v>98843</v>
      </c>
      <c r="D19" s="44">
        <v>27301</v>
      </c>
      <c r="E19" s="44">
        <v>395</v>
      </c>
      <c r="F19" s="44">
        <v>102554</v>
      </c>
      <c r="G19" s="44">
        <v>36792</v>
      </c>
      <c r="H19" s="44">
        <v>926730</v>
      </c>
      <c r="I19" s="44">
        <v>714634</v>
      </c>
      <c r="J19" s="44">
        <v>738</v>
      </c>
      <c r="K19" s="44">
        <v>131213</v>
      </c>
      <c r="L19" s="44">
        <v>29242</v>
      </c>
      <c r="M19" s="44">
        <v>124305</v>
      </c>
      <c r="N19" s="44">
        <v>258536</v>
      </c>
      <c r="O19" s="44">
        <v>247106</v>
      </c>
      <c r="P19" s="44">
        <v>149231</v>
      </c>
      <c r="Q19" s="45">
        <v>65327</v>
      </c>
      <c r="R19" s="45">
        <v>1101788</v>
      </c>
      <c r="S19" s="45">
        <v>109353</v>
      </c>
      <c r="T19" s="45">
        <v>9643377</v>
      </c>
      <c r="U19" s="45">
        <v>222344</v>
      </c>
      <c r="V19" s="45">
        <v>85903</v>
      </c>
      <c r="W19" s="45">
        <v>489920</v>
      </c>
      <c r="X19" s="45">
        <v>795967</v>
      </c>
      <c r="Y19" s="45">
        <v>1633891</v>
      </c>
      <c r="Z19" s="45">
        <v>630756</v>
      </c>
      <c r="AA19" s="45">
        <v>2909815</v>
      </c>
      <c r="AB19" s="45">
        <v>120025</v>
      </c>
      <c r="AC19" s="45">
        <v>797978</v>
      </c>
      <c r="AD19" s="45">
        <v>532352</v>
      </c>
      <c r="AE19" s="45">
        <v>273312</v>
      </c>
      <c r="AF19" s="45">
        <v>86789</v>
      </c>
      <c r="AG19" s="45">
        <v>12902</v>
      </c>
      <c r="AH19" s="45">
        <v>185063</v>
      </c>
      <c r="AI19" s="45">
        <v>60542</v>
      </c>
      <c r="AJ19" s="45">
        <v>10844253</v>
      </c>
      <c r="AK19" s="45">
        <v>161251</v>
      </c>
      <c r="AL19" s="45">
        <v>1845529</v>
      </c>
      <c r="AM19" s="45">
        <v>1253336</v>
      </c>
      <c r="AN19" s="45">
        <v>717717</v>
      </c>
      <c r="AO19" s="45">
        <v>5255</v>
      </c>
      <c r="AP19" s="45">
        <v>173884</v>
      </c>
      <c r="AQ19" s="45">
        <v>6646</v>
      </c>
      <c r="AR19" s="45">
        <v>23441</v>
      </c>
      <c r="AS19" s="45">
        <v>29273</v>
      </c>
      <c r="AT19" s="45">
        <v>92380</v>
      </c>
      <c r="AU19" s="45">
        <v>701</v>
      </c>
      <c r="AV19" s="45">
        <v>34469</v>
      </c>
      <c r="AW19" s="45">
        <v>5250</v>
      </c>
      <c r="AX19" s="45">
        <v>2741</v>
      </c>
      <c r="AY19" s="45">
        <v>56787</v>
      </c>
      <c r="AZ19" s="45">
        <v>193121</v>
      </c>
      <c r="BA19" s="45">
        <v>288</v>
      </c>
      <c r="BB19" s="45">
        <v>106310</v>
      </c>
      <c r="BC19" s="45">
        <v>5866</v>
      </c>
      <c r="BD19" s="45">
        <v>16876</v>
      </c>
      <c r="BE19" s="45">
        <v>34091</v>
      </c>
      <c r="BF19" s="45">
        <v>39220</v>
      </c>
      <c r="BG19" s="45">
        <v>24488</v>
      </c>
      <c r="BH19" s="45">
        <v>2645</v>
      </c>
      <c r="BI19" s="45">
        <v>242</v>
      </c>
      <c r="BJ19" s="45">
        <v>51433</v>
      </c>
      <c r="BK19" s="45">
        <v>3016</v>
      </c>
      <c r="BL19" s="45">
        <v>1034</v>
      </c>
      <c r="BM19" s="45">
        <v>3551</v>
      </c>
      <c r="BN19" s="45">
        <v>63873</v>
      </c>
      <c r="BO19" s="45">
        <v>201779</v>
      </c>
      <c r="BP19" s="45">
        <v>154211</v>
      </c>
      <c r="BQ19" s="45">
        <v>25206</v>
      </c>
      <c r="BR19" s="45">
        <v>48719</v>
      </c>
      <c r="BS19" s="45">
        <v>4388</v>
      </c>
      <c r="BT19" s="45">
        <v>864</v>
      </c>
      <c r="BU19" s="45">
        <v>1102</v>
      </c>
      <c r="BV19" s="45">
        <v>321</v>
      </c>
      <c r="BW19" s="45">
        <v>4057</v>
      </c>
      <c r="BX19" s="45">
        <v>18576</v>
      </c>
      <c r="BY19" s="45">
        <v>13675</v>
      </c>
      <c r="BZ19" s="45">
        <v>73349</v>
      </c>
      <c r="CA19" s="45">
        <v>0</v>
      </c>
      <c r="CB19" s="42">
        <v>38950238</v>
      </c>
      <c r="CC19" s="259"/>
      <c r="CD19" s="52">
        <v>2119578</v>
      </c>
      <c r="CE19" s="53">
        <v>0</v>
      </c>
      <c r="CF19" s="54">
        <v>369620</v>
      </c>
      <c r="CG19" s="52">
        <v>35548317</v>
      </c>
      <c r="CH19" s="55">
        <v>76987753</v>
      </c>
      <c r="CI19" s="51">
        <f t="shared" si="0"/>
        <v>76987753</v>
      </c>
      <c r="CJ19" s="51">
        <f t="shared" si="1"/>
        <v>0</v>
      </c>
    </row>
    <row r="20" spans="1:88" x14ac:dyDescent="0.25">
      <c r="A20" s="8" t="s">
        <v>18</v>
      </c>
      <c r="B20" s="262"/>
      <c r="C20" s="43">
        <v>320736</v>
      </c>
      <c r="D20" s="44">
        <v>19987</v>
      </c>
      <c r="E20" s="44">
        <v>787</v>
      </c>
      <c r="F20" s="44">
        <v>43980</v>
      </c>
      <c r="G20" s="44">
        <v>143599</v>
      </c>
      <c r="H20" s="44">
        <v>379967</v>
      </c>
      <c r="I20" s="44">
        <v>388170</v>
      </c>
      <c r="J20" s="44">
        <v>8043</v>
      </c>
      <c r="K20" s="44">
        <v>35272</v>
      </c>
      <c r="L20" s="44">
        <v>25280</v>
      </c>
      <c r="M20" s="44">
        <v>29290</v>
      </c>
      <c r="N20" s="44">
        <v>402267</v>
      </c>
      <c r="O20" s="44">
        <v>68008</v>
      </c>
      <c r="P20" s="44">
        <v>25459</v>
      </c>
      <c r="Q20" s="45">
        <v>87513</v>
      </c>
      <c r="R20" s="45">
        <v>257997</v>
      </c>
      <c r="S20" s="45">
        <v>34468</v>
      </c>
      <c r="T20" s="45">
        <v>1021882</v>
      </c>
      <c r="U20" s="45">
        <v>5484174</v>
      </c>
      <c r="V20" s="45">
        <v>428393</v>
      </c>
      <c r="W20" s="45">
        <v>883521</v>
      </c>
      <c r="X20" s="45">
        <v>99868</v>
      </c>
      <c r="Y20" s="45">
        <v>591410</v>
      </c>
      <c r="Z20" s="45">
        <v>280438</v>
      </c>
      <c r="AA20" s="45">
        <v>397460</v>
      </c>
      <c r="AB20" s="45">
        <v>102376</v>
      </c>
      <c r="AC20" s="45">
        <v>393570</v>
      </c>
      <c r="AD20" s="45">
        <v>221666</v>
      </c>
      <c r="AE20" s="45">
        <v>188100</v>
      </c>
      <c r="AF20" s="45">
        <v>164293</v>
      </c>
      <c r="AG20" s="45">
        <v>28127</v>
      </c>
      <c r="AH20" s="45">
        <v>212977</v>
      </c>
      <c r="AI20" s="45">
        <v>16261</v>
      </c>
      <c r="AJ20" s="45">
        <v>17045329</v>
      </c>
      <c r="AK20" s="45">
        <v>55123</v>
      </c>
      <c r="AL20" s="45">
        <v>648820</v>
      </c>
      <c r="AM20" s="45">
        <v>746760</v>
      </c>
      <c r="AN20" s="45">
        <v>321443</v>
      </c>
      <c r="AO20" s="45">
        <v>3972</v>
      </c>
      <c r="AP20" s="45">
        <v>30688</v>
      </c>
      <c r="AQ20" s="45">
        <v>57734</v>
      </c>
      <c r="AR20" s="45">
        <v>18703</v>
      </c>
      <c r="AS20" s="45">
        <v>2884</v>
      </c>
      <c r="AT20" s="45">
        <v>901</v>
      </c>
      <c r="AU20" s="45">
        <v>4</v>
      </c>
      <c r="AV20" s="45">
        <v>49092</v>
      </c>
      <c r="AW20" s="45">
        <v>10895</v>
      </c>
      <c r="AX20" s="45">
        <v>1262</v>
      </c>
      <c r="AY20" s="45">
        <v>112843</v>
      </c>
      <c r="AZ20" s="45">
        <v>294</v>
      </c>
      <c r="BA20" s="45">
        <v>2615</v>
      </c>
      <c r="BB20" s="45">
        <v>682660</v>
      </c>
      <c r="BC20" s="45">
        <v>1645</v>
      </c>
      <c r="BD20" s="45">
        <v>143841</v>
      </c>
      <c r="BE20" s="45">
        <v>136552</v>
      </c>
      <c r="BF20" s="45">
        <v>39955</v>
      </c>
      <c r="BG20" s="45">
        <v>2159</v>
      </c>
      <c r="BH20" s="45">
        <v>25328</v>
      </c>
      <c r="BI20" s="45">
        <v>0</v>
      </c>
      <c r="BJ20" s="45">
        <v>116251</v>
      </c>
      <c r="BK20" s="45">
        <v>4034</v>
      </c>
      <c r="BL20" s="45">
        <v>521</v>
      </c>
      <c r="BM20" s="45">
        <v>1245</v>
      </c>
      <c r="BN20" s="45">
        <v>26862</v>
      </c>
      <c r="BO20" s="45">
        <v>25889</v>
      </c>
      <c r="BP20" s="45">
        <v>72698</v>
      </c>
      <c r="BQ20" s="45">
        <v>58101</v>
      </c>
      <c r="BR20" s="45">
        <v>89137</v>
      </c>
      <c r="BS20" s="45">
        <v>18848</v>
      </c>
      <c r="BT20" s="45">
        <v>2651</v>
      </c>
      <c r="BU20" s="45">
        <v>5202</v>
      </c>
      <c r="BV20" s="45">
        <v>885</v>
      </c>
      <c r="BW20" s="45">
        <v>6181</v>
      </c>
      <c r="BX20" s="45">
        <v>175148</v>
      </c>
      <c r="BY20" s="45">
        <v>1295</v>
      </c>
      <c r="BZ20" s="45">
        <v>72365</v>
      </c>
      <c r="CA20" s="45">
        <v>0</v>
      </c>
      <c r="CB20" s="42">
        <v>33604154</v>
      </c>
      <c r="CC20" s="259"/>
      <c r="CD20" s="52">
        <v>5453430</v>
      </c>
      <c r="CE20" s="53">
        <v>0</v>
      </c>
      <c r="CF20" s="54">
        <v>-2032621</v>
      </c>
      <c r="CG20" s="52">
        <v>13058388</v>
      </c>
      <c r="CH20" s="55">
        <v>50083351</v>
      </c>
      <c r="CI20" s="51">
        <f t="shared" si="0"/>
        <v>50083351</v>
      </c>
      <c r="CJ20" s="51">
        <f t="shared" si="1"/>
        <v>0</v>
      </c>
    </row>
    <row r="21" spans="1:88" x14ac:dyDescent="0.25">
      <c r="A21" s="8" t="s">
        <v>19</v>
      </c>
      <c r="B21" s="262"/>
      <c r="C21" s="43">
        <v>12719</v>
      </c>
      <c r="D21" s="44">
        <v>1520</v>
      </c>
      <c r="E21" s="44">
        <v>168</v>
      </c>
      <c r="F21" s="44">
        <v>48123</v>
      </c>
      <c r="G21" s="44">
        <v>34381</v>
      </c>
      <c r="H21" s="44">
        <v>62188</v>
      </c>
      <c r="I21" s="44">
        <v>97678</v>
      </c>
      <c r="J21" s="44">
        <v>3283</v>
      </c>
      <c r="K21" s="44">
        <v>30245</v>
      </c>
      <c r="L21" s="44">
        <v>9865</v>
      </c>
      <c r="M21" s="44">
        <v>4737</v>
      </c>
      <c r="N21" s="44">
        <v>46997</v>
      </c>
      <c r="O21" s="44">
        <v>22714</v>
      </c>
      <c r="P21" s="44">
        <v>18425</v>
      </c>
      <c r="Q21" s="45">
        <v>23505</v>
      </c>
      <c r="R21" s="45">
        <v>76249</v>
      </c>
      <c r="S21" s="45">
        <v>4806</v>
      </c>
      <c r="T21" s="45">
        <v>275406</v>
      </c>
      <c r="U21" s="45">
        <v>143107</v>
      </c>
      <c r="V21" s="45">
        <v>7720762</v>
      </c>
      <c r="W21" s="45">
        <v>6421113</v>
      </c>
      <c r="X21" s="45">
        <v>691249</v>
      </c>
      <c r="Y21" s="45">
        <v>2337827</v>
      </c>
      <c r="Z21" s="45">
        <v>1323337</v>
      </c>
      <c r="AA21" s="45">
        <v>2438145</v>
      </c>
      <c r="AB21" s="45">
        <v>537369</v>
      </c>
      <c r="AC21" s="45">
        <v>336741</v>
      </c>
      <c r="AD21" s="45">
        <v>266993</v>
      </c>
      <c r="AE21" s="45">
        <v>389636</v>
      </c>
      <c r="AF21" s="45">
        <v>77246</v>
      </c>
      <c r="AG21" s="45">
        <v>4993</v>
      </c>
      <c r="AH21" s="45">
        <v>1010086</v>
      </c>
      <c r="AI21" s="45">
        <v>8255</v>
      </c>
      <c r="AJ21" s="45">
        <v>1638249</v>
      </c>
      <c r="AK21" s="45">
        <v>42683</v>
      </c>
      <c r="AL21" s="45">
        <v>241534</v>
      </c>
      <c r="AM21" s="45">
        <v>90525</v>
      </c>
      <c r="AN21" s="45">
        <v>138955</v>
      </c>
      <c r="AO21" s="45">
        <v>4252</v>
      </c>
      <c r="AP21" s="45">
        <v>10493</v>
      </c>
      <c r="AQ21" s="45">
        <v>1634</v>
      </c>
      <c r="AR21" s="45">
        <v>1526</v>
      </c>
      <c r="AS21" s="45">
        <v>1634</v>
      </c>
      <c r="AT21" s="45">
        <v>2240</v>
      </c>
      <c r="AU21" s="45">
        <v>0</v>
      </c>
      <c r="AV21" s="45">
        <v>13804</v>
      </c>
      <c r="AW21" s="45">
        <v>6440</v>
      </c>
      <c r="AX21" s="45">
        <v>0</v>
      </c>
      <c r="AY21" s="45">
        <v>2687</v>
      </c>
      <c r="AZ21" s="45">
        <v>0</v>
      </c>
      <c r="BA21" s="45">
        <v>13</v>
      </c>
      <c r="BB21" s="45">
        <v>23696</v>
      </c>
      <c r="BC21" s="45">
        <v>1236</v>
      </c>
      <c r="BD21" s="45">
        <v>3384</v>
      </c>
      <c r="BE21" s="45">
        <v>41594</v>
      </c>
      <c r="BF21" s="45">
        <v>47409</v>
      </c>
      <c r="BG21" s="45">
        <v>27844</v>
      </c>
      <c r="BH21" s="45">
        <v>2927</v>
      </c>
      <c r="BI21" s="45">
        <v>87</v>
      </c>
      <c r="BJ21" s="45">
        <v>54878</v>
      </c>
      <c r="BK21" s="45">
        <v>647</v>
      </c>
      <c r="BL21" s="45">
        <v>10</v>
      </c>
      <c r="BM21" s="45">
        <v>595</v>
      </c>
      <c r="BN21" s="45">
        <v>13938</v>
      </c>
      <c r="BO21" s="45">
        <v>7330</v>
      </c>
      <c r="BP21" s="45">
        <v>34627</v>
      </c>
      <c r="BQ21" s="45">
        <v>5035</v>
      </c>
      <c r="BR21" s="45">
        <v>16083</v>
      </c>
      <c r="BS21" s="45">
        <v>32</v>
      </c>
      <c r="BT21" s="45">
        <v>2625</v>
      </c>
      <c r="BU21" s="45">
        <v>965</v>
      </c>
      <c r="BV21" s="45">
        <v>0</v>
      </c>
      <c r="BW21" s="45">
        <v>571</v>
      </c>
      <c r="BX21" s="45">
        <v>15649</v>
      </c>
      <c r="BY21" s="45">
        <v>5056</v>
      </c>
      <c r="BZ21" s="45">
        <v>16573</v>
      </c>
      <c r="CA21" s="45">
        <v>0</v>
      </c>
      <c r="CB21" s="42">
        <v>26999328</v>
      </c>
      <c r="CC21" s="259"/>
      <c r="CD21" s="52">
        <v>66164</v>
      </c>
      <c r="CE21" s="53">
        <v>0</v>
      </c>
      <c r="CF21" s="54">
        <v>144445</v>
      </c>
      <c r="CG21" s="52">
        <v>34876623</v>
      </c>
      <c r="CH21" s="55">
        <v>62086560</v>
      </c>
      <c r="CI21" s="51">
        <f t="shared" si="0"/>
        <v>62086560</v>
      </c>
      <c r="CJ21" s="51">
        <f t="shared" si="1"/>
        <v>0</v>
      </c>
    </row>
    <row r="22" spans="1:88" x14ac:dyDescent="0.25">
      <c r="A22" s="8" t="s">
        <v>20</v>
      </c>
      <c r="B22" s="262"/>
      <c r="C22" s="43">
        <v>532030</v>
      </c>
      <c r="D22" s="44">
        <v>9833</v>
      </c>
      <c r="E22" s="44">
        <v>266</v>
      </c>
      <c r="F22" s="44">
        <v>285194</v>
      </c>
      <c r="G22" s="44">
        <v>118672</v>
      </c>
      <c r="H22" s="44">
        <v>262822</v>
      </c>
      <c r="I22" s="44">
        <v>663993</v>
      </c>
      <c r="J22" s="44">
        <v>4324</v>
      </c>
      <c r="K22" s="44">
        <v>12974</v>
      </c>
      <c r="L22" s="44">
        <v>6046</v>
      </c>
      <c r="M22" s="44">
        <v>8224</v>
      </c>
      <c r="N22" s="44">
        <v>205256</v>
      </c>
      <c r="O22" s="44">
        <v>73446</v>
      </c>
      <c r="P22" s="44">
        <v>7935</v>
      </c>
      <c r="Q22" s="45">
        <v>19861</v>
      </c>
      <c r="R22" s="45">
        <v>182360</v>
      </c>
      <c r="S22" s="45">
        <v>7469</v>
      </c>
      <c r="T22" s="45">
        <v>370779</v>
      </c>
      <c r="U22" s="45">
        <v>158181</v>
      </c>
      <c r="V22" s="45">
        <v>1325078</v>
      </c>
      <c r="W22" s="45">
        <v>14683552</v>
      </c>
      <c r="X22" s="45">
        <v>175748</v>
      </c>
      <c r="Y22" s="45">
        <v>1334110</v>
      </c>
      <c r="Z22" s="45">
        <v>4419658</v>
      </c>
      <c r="AA22" s="45">
        <v>9796177</v>
      </c>
      <c r="AB22" s="45">
        <v>842033</v>
      </c>
      <c r="AC22" s="45">
        <v>633982</v>
      </c>
      <c r="AD22" s="45">
        <v>101976</v>
      </c>
      <c r="AE22" s="45">
        <v>1527672</v>
      </c>
      <c r="AF22" s="45">
        <v>261846</v>
      </c>
      <c r="AG22" s="45">
        <v>16999</v>
      </c>
      <c r="AH22" s="45">
        <v>151297</v>
      </c>
      <c r="AI22" s="45">
        <v>21943</v>
      </c>
      <c r="AJ22" s="45">
        <v>12200623</v>
      </c>
      <c r="AK22" s="45">
        <v>70848</v>
      </c>
      <c r="AL22" s="45">
        <v>784956</v>
      </c>
      <c r="AM22" s="45">
        <v>303068</v>
      </c>
      <c r="AN22" s="45">
        <v>194479</v>
      </c>
      <c r="AO22" s="45">
        <v>3356</v>
      </c>
      <c r="AP22" s="45">
        <v>34427</v>
      </c>
      <c r="AQ22" s="45">
        <v>10565</v>
      </c>
      <c r="AR22" s="45">
        <v>6093</v>
      </c>
      <c r="AS22" s="45">
        <v>5720</v>
      </c>
      <c r="AT22" s="45">
        <v>995</v>
      </c>
      <c r="AU22" s="45">
        <v>25</v>
      </c>
      <c r="AV22" s="45">
        <v>4706</v>
      </c>
      <c r="AW22" s="45">
        <v>25045</v>
      </c>
      <c r="AX22" s="45">
        <v>2462</v>
      </c>
      <c r="AY22" s="45">
        <v>8136</v>
      </c>
      <c r="AZ22" s="45">
        <v>0</v>
      </c>
      <c r="BA22" s="45">
        <v>592</v>
      </c>
      <c r="BB22" s="45">
        <v>702537</v>
      </c>
      <c r="BC22" s="45">
        <v>841</v>
      </c>
      <c r="BD22" s="45">
        <v>3745</v>
      </c>
      <c r="BE22" s="45">
        <v>193826</v>
      </c>
      <c r="BF22" s="45">
        <v>29360</v>
      </c>
      <c r="BG22" s="45">
        <v>8182</v>
      </c>
      <c r="BH22" s="45">
        <v>4820</v>
      </c>
      <c r="BI22" s="45">
        <v>0</v>
      </c>
      <c r="BJ22" s="45">
        <v>105691</v>
      </c>
      <c r="BK22" s="45">
        <v>2609</v>
      </c>
      <c r="BL22" s="45">
        <v>274</v>
      </c>
      <c r="BM22" s="45">
        <v>2845</v>
      </c>
      <c r="BN22" s="45">
        <v>18835</v>
      </c>
      <c r="BO22" s="45">
        <v>4903</v>
      </c>
      <c r="BP22" s="45">
        <v>629502</v>
      </c>
      <c r="BQ22" s="45">
        <v>19381</v>
      </c>
      <c r="BR22" s="45">
        <v>20765</v>
      </c>
      <c r="BS22" s="45">
        <v>2369</v>
      </c>
      <c r="BT22" s="45">
        <v>1607</v>
      </c>
      <c r="BU22" s="45">
        <v>1402</v>
      </c>
      <c r="BV22" s="45">
        <v>140</v>
      </c>
      <c r="BW22" s="45">
        <v>4039</v>
      </c>
      <c r="BX22" s="45">
        <v>39080</v>
      </c>
      <c r="BY22" s="45">
        <v>111</v>
      </c>
      <c r="BZ22" s="45">
        <v>40683</v>
      </c>
      <c r="CA22" s="45">
        <v>0</v>
      </c>
      <c r="CB22" s="42">
        <v>53715379</v>
      </c>
      <c r="CC22" s="259"/>
      <c r="CD22" s="52">
        <v>763895</v>
      </c>
      <c r="CE22" s="53">
        <v>0</v>
      </c>
      <c r="CF22" s="54">
        <v>14374366</v>
      </c>
      <c r="CG22" s="52">
        <v>28018949</v>
      </c>
      <c r="CH22" s="55">
        <v>96872589</v>
      </c>
      <c r="CI22" s="51">
        <f t="shared" si="0"/>
        <v>96872589</v>
      </c>
      <c r="CJ22" s="51">
        <f t="shared" si="1"/>
        <v>0</v>
      </c>
    </row>
    <row r="23" spans="1:88" x14ac:dyDescent="0.25">
      <c r="A23" s="8" t="s">
        <v>21</v>
      </c>
      <c r="B23" s="262"/>
      <c r="C23" s="43">
        <v>1339</v>
      </c>
      <c r="D23" s="44">
        <v>1120</v>
      </c>
      <c r="E23" s="44">
        <v>6</v>
      </c>
      <c r="F23" s="44">
        <v>2008</v>
      </c>
      <c r="G23" s="44">
        <v>2319</v>
      </c>
      <c r="H23" s="44">
        <v>4780</v>
      </c>
      <c r="I23" s="44">
        <v>609</v>
      </c>
      <c r="J23" s="44">
        <v>394</v>
      </c>
      <c r="K23" s="44">
        <v>824</v>
      </c>
      <c r="L23" s="44">
        <v>797</v>
      </c>
      <c r="M23" s="44">
        <v>295</v>
      </c>
      <c r="N23" s="44">
        <v>7243</v>
      </c>
      <c r="O23" s="44">
        <v>2851</v>
      </c>
      <c r="P23" s="44">
        <v>21366</v>
      </c>
      <c r="Q23" s="45">
        <v>8616</v>
      </c>
      <c r="R23" s="45">
        <v>4534</v>
      </c>
      <c r="S23" s="45">
        <v>1729</v>
      </c>
      <c r="T23" s="45">
        <v>20374</v>
      </c>
      <c r="U23" s="45">
        <v>6127</v>
      </c>
      <c r="V23" s="45">
        <v>9369</v>
      </c>
      <c r="W23" s="45">
        <v>57746</v>
      </c>
      <c r="X23" s="45">
        <v>4608955</v>
      </c>
      <c r="Y23" s="45">
        <v>454864</v>
      </c>
      <c r="Z23" s="45">
        <v>102726</v>
      </c>
      <c r="AA23" s="45">
        <v>271841</v>
      </c>
      <c r="AB23" s="45">
        <v>16053</v>
      </c>
      <c r="AC23" s="45">
        <v>6489</v>
      </c>
      <c r="AD23" s="45">
        <v>2975</v>
      </c>
      <c r="AE23" s="45">
        <v>192791</v>
      </c>
      <c r="AF23" s="45">
        <v>164663</v>
      </c>
      <c r="AG23" s="45">
        <v>1936</v>
      </c>
      <c r="AH23" s="45">
        <v>2613</v>
      </c>
      <c r="AI23" s="45">
        <v>2329</v>
      </c>
      <c r="AJ23" s="45">
        <v>264797</v>
      </c>
      <c r="AK23" s="45">
        <v>23739</v>
      </c>
      <c r="AL23" s="45">
        <v>104819</v>
      </c>
      <c r="AM23" s="45">
        <v>64046</v>
      </c>
      <c r="AN23" s="45">
        <v>19564</v>
      </c>
      <c r="AO23" s="45">
        <v>11633</v>
      </c>
      <c r="AP23" s="45">
        <v>15968</v>
      </c>
      <c r="AQ23" s="45">
        <v>2289</v>
      </c>
      <c r="AR23" s="45">
        <v>3892</v>
      </c>
      <c r="AS23" s="45">
        <v>912</v>
      </c>
      <c r="AT23" s="45">
        <v>19962</v>
      </c>
      <c r="AU23" s="45">
        <v>7386</v>
      </c>
      <c r="AV23" s="45">
        <v>139344</v>
      </c>
      <c r="AW23" s="45">
        <v>292670</v>
      </c>
      <c r="AX23" s="45">
        <v>19261</v>
      </c>
      <c r="AY23" s="45">
        <v>7273</v>
      </c>
      <c r="AZ23" s="45">
        <v>3041</v>
      </c>
      <c r="BA23" s="45">
        <v>2273</v>
      </c>
      <c r="BB23" s="45">
        <v>19407</v>
      </c>
      <c r="BC23" s="45">
        <v>20885</v>
      </c>
      <c r="BD23" s="45">
        <v>12932</v>
      </c>
      <c r="BE23" s="45">
        <v>68041</v>
      </c>
      <c r="BF23" s="45">
        <v>51411</v>
      </c>
      <c r="BG23" s="45">
        <v>17573</v>
      </c>
      <c r="BH23" s="45">
        <v>13801</v>
      </c>
      <c r="BI23" s="45">
        <v>0</v>
      </c>
      <c r="BJ23" s="45">
        <v>10151</v>
      </c>
      <c r="BK23" s="45">
        <v>2823</v>
      </c>
      <c r="BL23" s="45">
        <v>568</v>
      </c>
      <c r="BM23" s="45">
        <v>50779</v>
      </c>
      <c r="BN23" s="45">
        <v>972</v>
      </c>
      <c r="BO23" s="45">
        <v>1522</v>
      </c>
      <c r="BP23" s="45">
        <v>58189</v>
      </c>
      <c r="BQ23" s="45">
        <v>43333</v>
      </c>
      <c r="BR23" s="45">
        <v>115280</v>
      </c>
      <c r="BS23" s="45">
        <v>1365</v>
      </c>
      <c r="BT23" s="45">
        <v>13967</v>
      </c>
      <c r="BU23" s="45">
        <v>651</v>
      </c>
      <c r="BV23" s="45">
        <v>2418</v>
      </c>
      <c r="BW23" s="45">
        <v>2805</v>
      </c>
      <c r="BX23" s="45">
        <v>22000</v>
      </c>
      <c r="BY23" s="45">
        <v>148347</v>
      </c>
      <c r="BZ23" s="45">
        <v>6009</v>
      </c>
      <c r="CA23" s="45">
        <v>0</v>
      </c>
      <c r="CB23" s="42">
        <v>7670779</v>
      </c>
      <c r="CC23" s="259"/>
      <c r="CD23" s="52">
        <v>2084846</v>
      </c>
      <c r="CE23" s="53">
        <v>27349</v>
      </c>
      <c r="CF23" s="54">
        <v>1487639</v>
      </c>
      <c r="CG23" s="52">
        <v>23943052</v>
      </c>
      <c r="CH23" s="55">
        <v>35213665</v>
      </c>
      <c r="CI23" s="51">
        <f t="shared" si="0"/>
        <v>35213665</v>
      </c>
      <c r="CJ23" s="51">
        <f t="shared" si="1"/>
        <v>0</v>
      </c>
    </row>
    <row r="24" spans="1:88" x14ac:dyDescent="0.25">
      <c r="A24" s="8" t="s">
        <v>22</v>
      </c>
      <c r="B24" s="262"/>
      <c r="C24" s="43">
        <v>46806</v>
      </c>
      <c r="D24" s="44">
        <v>635</v>
      </c>
      <c r="E24" s="44">
        <v>931</v>
      </c>
      <c r="F24" s="44">
        <v>40468</v>
      </c>
      <c r="G24" s="44">
        <v>8187</v>
      </c>
      <c r="H24" s="44">
        <v>19300</v>
      </c>
      <c r="I24" s="44">
        <v>3558</v>
      </c>
      <c r="J24" s="44">
        <v>1548</v>
      </c>
      <c r="K24" s="44">
        <v>3938</v>
      </c>
      <c r="L24" s="44">
        <v>3365</v>
      </c>
      <c r="M24" s="44">
        <v>1513</v>
      </c>
      <c r="N24" s="44">
        <v>12714</v>
      </c>
      <c r="O24" s="44">
        <v>11626</v>
      </c>
      <c r="P24" s="44">
        <v>2056</v>
      </c>
      <c r="Q24" s="45">
        <v>38236</v>
      </c>
      <c r="R24" s="45">
        <v>16663</v>
      </c>
      <c r="S24" s="45">
        <v>3300</v>
      </c>
      <c r="T24" s="45">
        <v>60229</v>
      </c>
      <c r="U24" s="45">
        <v>73047</v>
      </c>
      <c r="V24" s="45">
        <v>209258</v>
      </c>
      <c r="W24" s="45">
        <v>98047</v>
      </c>
      <c r="X24" s="45">
        <v>961417</v>
      </c>
      <c r="Y24" s="45">
        <v>2900258</v>
      </c>
      <c r="Z24" s="45">
        <v>1031562</v>
      </c>
      <c r="AA24" s="45">
        <v>587864</v>
      </c>
      <c r="AB24" s="45">
        <v>85256</v>
      </c>
      <c r="AC24" s="45">
        <v>18996</v>
      </c>
      <c r="AD24" s="45">
        <v>1292</v>
      </c>
      <c r="AE24" s="45">
        <v>328011</v>
      </c>
      <c r="AF24" s="45">
        <v>536661</v>
      </c>
      <c r="AG24" s="45">
        <v>5150</v>
      </c>
      <c r="AH24" s="45">
        <v>21916</v>
      </c>
      <c r="AI24" s="45">
        <v>2681</v>
      </c>
      <c r="AJ24" s="45">
        <v>1252197</v>
      </c>
      <c r="AK24" s="45">
        <v>28746</v>
      </c>
      <c r="AL24" s="45">
        <v>147636</v>
      </c>
      <c r="AM24" s="45">
        <v>196757</v>
      </c>
      <c r="AN24" s="45">
        <v>264940</v>
      </c>
      <c r="AO24" s="45">
        <v>9621</v>
      </c>
      <c r="AP24" s="45">
        <v>20649</v>
      </c>
      <c r="AQ24" s="45">
        <v>12524</v>
      </c>
      <c r="AR24" s="45">
        <v>8430</v>
      </c>
      <c r="AS24" s="45">
        <v>1170</v>
      </c>
      <c r="AT24" s="45">
        <v>35</v>
      </c>
      <c r="AU24" s="45">
        <v>255</v>
      </c>
      <c r="AV24" s="45">
        <v>88791</v>
      </c>
      <c r="AW24" s="45">
        <v>45041</v>
      </c>
      <c r="AX24" s="45">
        <v>1730</v>
      </c>
      <c r="AY24" s="45">
        <v>10989</v>
      </c>
      <c r="AZ24" s="45">
        <v>2191</v>
      </c>
      <c r="BA24" s="45">
        <v>868</v>
      </c>
      <c r="BB24" s="45">
        <v>32067</v>
      </c>
      <c r="BC24" s="45">
        <v>1705</v>
      </c>
      <c r="BD24" s="45">
        <v>20310</v>
      </c>
      <c r="BE24" s="45">
        <v>48159</v>
      </c>
      <c r="BF24" s="45">
        <v>32865</v>
      </c>
      <c r="BG24" s="45">
        <v>2746</v>
      </c>
      <c r="BH24" s="45">
        <v>1144</v>
      </c>
      <c r="BI24" s="45">
        <v>36</v>
      </c>
      <c r="BJ24" s="45">
        <v>44907</v>
      </c>
      <c r="BK24" s="45">
        <v>872</v>
      </c>
      <c r="BL24" s="45">
        <v>757</v>
      </c>
      <c r="BM24" s="45">
        <v>9278</v>
      </c>
      <c r="BN24" s="45">
        <v>1658</v>
      </c>
      <c r="BO24" s="45">
        <v>2347</v>
      </c>
      <c r="BP24" s="45">
        <v>70433</v>
      </c>
      <c r="BQ24" s="45">
        <v>48796</v>
      </c>
      <c r="BR24" s="45">
        <v>55597</v>
      </c>
      <c r="BS24" s="45">
        <v>3446</v>
      </c>
      <c r="BT24" s="45">
        <v>1431</v>
      </c>
      <c r="BU24" s="45">
        <v>454</v>
      </c>
      <c r="BV24" s="45">
        <v>82</v>
      </c>
      <c r="BW24" s="45">
        <v>2232</v>
      </c>
      <c r="BX24" s="45">
        <v>7395</v>
      </c>
      <c r="BY24" s="45">
        <v>244592</v>
      </c>
      <c r="BZ24" s="45">
        <v>16716</v>
      </c>
      <c r="CA24" s="45">
        <v>0</v>
      </c>
      <c r="CB24" s="42">
        <v>9879084</v>
      </c>
      <c r="CC24" s="259"/>
      <c r="CD24" s="52">
        <v>3733971</v>
      </c>
      <c r="CE24" s="53">
        <v>73795</v>
      </c>
      <c r="CF24" s="54">
        <v>3611935</v>
      </c>
      <c r="CG24" s="52">
        <v>40588128</v>
      </c>
      <c r="CH24" s="55">
        <v>57886913</v>
      </c>
      <c r="CI24" s="51">
        <f t="shared" si="0"/>
        <v>57886913</v>
      </c>
      <c r="CJ24" s="51">
        <f t="shared" si="1"/>
        <v>0</v>
      </c>
    </row>
    <row r="25" spans="1:88" x14ac:dyDescent="0.25">
      <c r="A25" s="8" t="s">
        <v>23</v>
      </c>
      <c r="B25" s="262"/>
      <c r="C25" s="43">
        <v>543013</v>
      </c>
      <c r="D25" s="44">
        <v>4411</v>
      </c>
      <c r="E25" s="44">
        <v>943</v>
      </c>
      <c r="F25" s="44">
        <v>96137</v>
      </c>
      <c r="G25" s="44">
        <v>57284</v>
      </c>
      <c r="H25" s="44">
        <v>151108</v>
      </c>
      <c r="I25" s="44">
        <v>61036</v>
      </c>
      <c r="J25" s="44">
        <v>3814</v>
      </c>
      <c r="K25" s="44">
        <v>64239</v>
      </c>
      <c r="L25" s="44">
        <v>32767</v>
      </c>
      <c r="M25" s="44">
        <v>3843</v>
      </c>
      <c r="N25" s="44">
        <v>31235</v>
      </c>
      <c r="O25" s="44">
        <v>142088</v>
      </c>
      <c r="P25" s="44">
        <v>16085</v>
      </c>
      <c r="Q25" s="45">
        <v>73194</v>
      </c>
      <c r="R25" s="45">
        <v>76408</v>
      </c>
      <c r="S25" s="45">
        <v>10581</v>
      </c>
      <c r="T25" s="45">
        <v>24827</v>
      </c>
      <c r="U25" s="45">
        <v>40047</v>
      </c>
      <c r="V25" s="45">
        <v>55675</v>
      </c>
      <c r="W25" s="45">
        <v>163190</v>
      </c>
      <c r="X25" s="45">
        <v>56864</v>
      </c>
      <c r="Y25" s="45">
        <v>180823</v>
      </c>
      <c r="Z25" s="45">
        <v>1542459</v>
      </c>
      <c r="AA25" s="45">
        <v>1096710</v>
      </c>
      <c r="AB25" s="45">
        <v>147734</v>
      </c>
      <c r="AC25" s="45">
        <v>26982</v>
      </c>
      <c r="AD25" s="45">
        <v>43880</v>
      </c>
      <c r="AE25" s="45">
        <v>1048073</v>
      </c>
      <c r="AF25" s="45">
        <v>79622</v>
      </c>
      <c r="AG25" s="45">
        <v>8643</v>
      </c>
      <c r="AH25" s="45">
        <v>20653</v>
      </c>
      <c r="AI25" s="45">
        <v>14601</v>
      </c>
      <c r="AJ25" s="45">
        <v>548396</v>
      </c>
      <c r="AK25" s="45">
        <v>74093</v>
      </c>
      <c r="AL25" s="45">
        <v>179082</v>
      </c>
      <c r="AM25" s="45">
        <v>172668</v>
      </c>
      <c r="AN25" s="45">
        <v>43952</v>
      </c>
      <c r="AO25" s="45">
        <v>952</v>
      </c>
      <c r="AP25" s="45">
        <v>19320</v>
      </c>
      <c r="AQ25" s="45">
        <v>4610</v>
      </c>
      <c r="AR25" s="45">
        <v>23224</v>
      </c>
      <c r="AS25" s="45">
        <v>13572</v>
      </c>
      <c r="AT25" s="45">
        <v>8108</v>
      </c>
      <c r="AU25" s="45">
        <v>607</v>
      </c>
      <c r="AV25" s="45">
        <v>10883</v>
      </c>
      <c r="AW25" s="45">
        <v>34313</v>
      </c>
      <c r="AX25" s="45">
        <v>1755</v>
      </c>
      <c r="AY25" s="45">
        <v>4539</v>
      </c>
      <c r="AZ25" s="45">
        <v>8977</v>
      </c>
      <c r="BA25" s="45">
        <v>55</v>
      </c>
      <c r="BB25" s="45">
        <v>36065</v>
      </c>
      <c r="BC25" s="45">
        <v>1824</v>
      </c>
      <c r="BD25" s="45">
        <v>11930</v>
      </c>
      <c r="BE25" s="45">
        <v>16273</v>
      </c>
      <c r="BF25" s="45">
        <v>28020</v>
      </c>
      <c r="BG25" s="45">
        <v>2453</v>
      </c>
      <c r="BH25" s="45">
        <v>12625</v>
      </c>
      <c r="BI25" s="45">
        <v>266</v>
      </c>
      <c r="BJ25" s="45">
        <v>86495</v>
      </c>
      <c r="BK25" s="45">
        <v>2091</v>
      </c>
      <c r="BL25" s="45">
        <v>173</v>
      </c>
      <c r="BM25" s="45">
        <v>5014</v>
      </c>
      <c r="BN25" s="45">
        <v>12410</v>
      </c>
      <c r="BO25" s="45">
        <v>4073</v>
      </c>
      <c r="BP25" s="45">
        <v>11329</v>
      </c>
      <c r="BQ25" s="45">
        <v>5983</v>
      </c>
      <c r="BR25" s="45">
        <v>9542</v>
      </c>
      <c r="BS25" s="45">
        <v>782</v>
      </c>
      <c r="BT25" s="45">
        <v>1154</v>
      </c>
      <c r="BU25" s="45">
        <v>256</v>
      </c>
      <c r="BV25" s="45">
        <v>1631</v>
      </c>
      <c r="BW25" s="45">
        <v>1766</v>
      </c>
      <c r="BX25" s="45">
        <v>3029</v>
      </c>
      <c r="BY25" s="45">
        <v>370</v>
      </c>
      <c r="BZ25" s="45">
        <v>5035</v>
      </c>
      <c r="CA25" s="45">
        <v>0</v>
      </c>
      <c r="CB25" s="42">
        <v>7328664</v>
      </c>
      <c r="CC25" s="259"/>
      <c r="CD25" s="52">
        <v>151702</v>
      </c>
      <c r="CE25" s="53">
        <v>11741</v>
      </c>
      <c r="CF25" s="54">
        <v>6603162</v>
      </c>
      <c r="CG25" s="52">
        <v>33424118</v>
      </c>
      <c r="CH25" s="55">
        <v>47519387</v>
      </c>
      <c r="CI25" s="51">
        <f t="shared" si="0"/>
        <v>47519387</v>
      </c>
      <c r="CJ25" s="51">
        <f t="shared" si="1"/>
        <v>0</v>
      </c>
    </row>
    <row r="26" spans="1:88" x14ac:dyDescent="0.25">
      <c r="A26" s="8" t="s">
        <v>24</v>
      </c>
      <c r="B26" s="262"/>
      <c r="C26" s="43">
        <v>36273</v>
      </c>
      <c r="D26" s="44">
        <v>57026</v>
      </c>
      <c r="E26" s="44">
        <v>1632</v>
      </c>
      <c r="F26" s="44">
        <v>5252</v>
      </c>
      <c r="G26" s="44">
        <v>24729</v>
      </c>
      <c r="H26" s="44">
        <v>155501</v>
      </c>
      <c r="I26" s="44">
        <v>14242</v>
      </c>
      <c r="J26" s="44">
        <v>2499</v>
      </c>
      <c r="K26" s="44">
        <v>4003</v>
      </c>
      <c r="L26" s="44">
        <v>6227</v>
      </c>
      <c r="M26" s="44">
        <v>2163</v>
      </c>
      <c r="N26" s="44">
        <v>49088</v>
      </c>
      <c r="O26" s="44">
        <v>9940</v>
      </c>
      <c r="P26" s="44">
        <v>3645</v>
      </c>
      <c r="Q26" s="45">
        <v>4709</v>
      </c>
      <c r="R26" s="45">
        <v>16146</v>
      </c>
      <c r="S26" s="45">
        <v>5813</v>
      </c>
      <c r="T26" s="45">
        <v>191457</v>
      </c>
      <c r="U26" s="45">
        <v>66472</v>
      </c>
      <c r="V26" s="45">
        <v>5640</v>
      </c>
      <c r="W26" s="45">
        <v>212463</v>
      </c>
      <c r="X26" s="45">
        <v>1528</v>
      </c>
      <c r="Y26" s="45">
        <v>60090</v>
      </c>
      <c r="Z26" s="45">
        <v>282106</v>
      </c>
      <c r="AA26" s="45">
        <v>19502694</v>
      </c>
      <c r="AB26" s="45">
        <v>127348</v>
      </c>
      <c r="AC26" s="45">
        <v>131851</v>
      </c>
      <c r="AD26" s="45">
        <v>3697</v>
      </c>
      <c r="AE26" s="45">
        <v>1700420</v>
      </c>
      <c r="AF26" s="45">
        <v>23965</v>
      </c>
      <c r="AG26" s="45">
        <v>16775</v>
      </c>
      <c r="AH26" s="45">
        <v>78528</v>
      </c>
      <c r="AI26" s="45">
        <v>33936</v>
      </c>
      <c r="AJ26" s="45">
        <v>272491</v>
      </c>
      <c r="AK26" s="45">
        <v>517254</v>
      </c>
      <c r="AL26" s="45">
        <v>129257</v>
      </c>
      <c r="AM26" s="45">
        <v>41963</v>
      </c>
      <c r="AN26" s="45">
        <v>3430374</v>
      </c>
      <c r="AO26" s="45">
        <v>4054</v>
      </c>
      <c r="AP26" s="45">
        <v>144026</v>
      </c>
      <c r="AQ26" s="45">
        <v>12926</v>
      </c>
      <c r="AR26" s="45">
        <v>15331</v>
      </c>
      <c r="AS26" s="45">
        <v>5453</v>
      </c>
      <c r="AT26" s="45">
        <v>4320</v>
      </c>
      <c r="AU26" s="45">
        <v>120</v>
      </c>
      <c r="AV26" s="45">
        <v>37038</v>
      </c>
      <c r="AW26" s="45">
        <v>27071</v>
      </c>
      <c r="AX26" s="45">
        <v>3897</v>
      </c>
      <c r="AY26" s="45">
        <v>161215</v>
      </c>
      <c r="AZ26" s="45">
        <v>1233</v>
      </c>
      <c r="BA26" s="45">
        <v>2570</v>
      </c>
      <c r="BB26" s="45">
        <v>15406</v>
      </c>
      <c r="BC26" s="45">
        <v>9971</v>
      </c>
      <c r="BD26" s="45">
        <v>17521</v>
      </c>
      <c r="BE26" s="45">
        <v>27437</v>
      </c>
      <c r="BF26" s="45">
        <v>8933</v>
      </c>
      <c r="BG26" s="45">
        <v>13318</v>
      </c>
      <c r="BH26" s="45">
        <v>12384</v>
      </c>
      <c r="BI26" s="45">
        <v>2979</v>
      </c>
      <c r="BJ26" s="45">
        <v>79813</v>
      </c>
      <c r="BK26" s="45">
        <v>10825</v>
      </c>
      <c r="BL26" s="45">
        <v>30793</v>
      </c>
      <c r="BM26" s="45">
        <v>22326</v>
      </c>
      <c r="BN26" s="45">
        <v>39854</v>
      </c>
      <c r="BO26" s="45">
        <v>4220</v>
      </c>
      <c r="BP26" s="45">
        <v>60893</v>
      </c>
      <c r="BQ26" s="45">
        <v>22723</v>
      </c>
      <c r="BR26" s="45">
        <v>9783</v>
      </c>
      <c r="BS26" s="45">
        <v>3679</v>
      </c>
      <c r="BT26" s="45">
        <v>1377</v>
      </c>
      <c r="BU26" s="45">
        <v>741</v>
      </c>
      <c r="BV26" s="45">
        <v>890</v>
      </c>
      <c r="BW26" s="45">
        <v>4244</v>
      </c>
      <c r="BX26" s="45">
        <v>20161</v>
      </c>
      <c r="BY26" s="45">
        <v>2826</v>
      </c>
      <c r="BZ26" s="45">
        <v>17225</v>
      </c>
      <c r="CA26" s="45">
        <v>0</v>
      </c>
      <c r="CB26" s="42">
        <v>28088773</v>
      </c>
      <c r="CC26" s="259"/>
      <c r="CD26" s="52">
        <v>3523234</v>
      </c>
      <c r="CE26" s="53">
        <v>2351</v>
      </c>
      <c r="CF26" s="54">
        <v>7779070</v>
      </c>
      <c r="CG26" s="52">
        <v>80508162</v>
      </c>
      <c r="CH26" s="55">
        <v>119901590</v>
      </c>
      <c r="CI26" s="51">
        <f t="shared" si="0"/>
        <v>119901590</v>
      </c>
      <c r="CJ26" s="51">
        <f t="shared" si="1"/>
        <v>0</v>
      </c>
    </row>
    <row r="27" spans="1:88" x14ac:dyDescent="0.25">
      <c r="A27" s="8" t="s">
        <v>25</v>
      </c>
      <c r="B27" s="262"/>
      <c r="C27" s="43">
        <v>3680</v>
      </c>
      <c r="D27" s="44">
        <v>2664</v>
      </c>
      <c r="E27" s="44">
        <v>1796</v>
      </c>
      <c r="F27" s="44">
        <v>15161</v>
      </c>
      <c r="G27" s="44">
        <v>7938</v>
      </c>
      <c r="H27" s="44">
        <v>2007</v>
      </c>
      <c r="I27" s="44">
        <v>798</v>
      </c>
      <c r="J27" s="44">
        <v>0</v>
      </c>
      <c r="K27" s="44">
        <v>0</v>
      </c>
      <c r="L27" s="44">
        <v>0</v>
      </c>
      <c r="M27" s="44">
        <v>0</v>
      </c>
      <c r="N27" s="44">
        <v>624</v>
      </c>
      <c r="O27" s="44">
        <v>871</v>
      </c>
      <c r="P27" s="44">
        <v>332</v>
      </c>
      <c r="Q27" s="45">
        <v>1172</v>
      </c>
      <c r="R27" s="45">
        <v>503</v>
      </c>
      <c r="S27" s="45">
        <v>808</v>
      </c>
      <c r="T27" s="45">
        <v>11856</v>
      </c>
      <c r="U27" s="45">
        <v>677</v>
      </c>
      <c r="V27" s="45">
        <v>995</v>
      </c>
      <c r="W27" s="45">
        <v>6942</v>
      </c>
      <c r="X27" s="45">
        <v>3337</v>
      </c>
      <c r="Y27" s="45">
        <v>3938</v>
      </c>
      <c r="Z27" s="45">
        <v>6172</v>
      </c>
      <c r="AA27" s="45">
        <v>14620</v>
      </c>
      <c r="AB27" s="45">
        <v>1990365</v>
      </c>
      <c r="AC27" s="45">
        <v>2001</v>
      </c>
      <c r="AD27" s="45">
        <v>669</v>
      </c>
      <c r="AE27" s="45">
        <v>113454</v>
      </c>
      <c r="AF27" s="45">
        <v>2094</v>
      </c>
      <c r="AG27" s="45">
        <v>140</v>
      </c>
      <c r="AH27" s="45">
        <v>598</v>
      </c>
      <c r="AI27" s="45">
        <v>3203</v>
      </c>
      <c r="AJ27" s="45">
        <v>3327</v>
      </c>
      <c r="AK27" s="45">
        <v>708</v>
      </c>
      <c r="AL27" s="45">
        <v>127</v>
      </c>
      <c r="AM27" s="45">
        <v>1185</v>
      </c>
      <c r="AN27" s="45">
        <v>1579619</v>
      </c>
      <c r="AO27" s="45">
        <v>82123</v>
      </c>
      <c r="AP27" s="45">
        <v>174</v>
      </c>
      <c r="AQ27" s="45">
        <v>2153</v>
      </c>
      <c r="AR27" s="45">
        <v>405</v>
      </c>
      <c r="AS27" s="45">
        <v>112</v>
      </c>
      <c r="AT27" s="45">
        <v>56</v>
      </c>
      <c r="AU27" s="45">
        <v>1</v>
      </c>
      <c r="AV27" s="45">
        <v>13</v>
      </c>
      <c r="AW27" s="45">
        <v>55</v>
      </c>
      <c r="AX27" s="45">
        <v>0</v>
      </c>
      <c r="AY27" s="45">
        <v>0</v>
      </c>
      <c r="AZ27" s="45">
        <v>0</v>
      </c>
      <c r="BA27" s="45">
        <v>0</v>
      </c>
      <c r="BB27" s="45">
        <v>467</v>
      </c>
      <c r="BC27" s="45">
        <v>67</v>
      </c>
      <c r="BD27" s="45">
        <v>1163</v>
      </c>
      <c r="BE27" s="45">
        <v>1056</v>
      </c>
      <c r="BF27" s="45">
        <v>1248</v>
      </c>
      <c r="BG27" s="45">
        <v>217</v>
      </c>
      <c r="BH27" s="45">
        <v>144</v>
      </c>
      <c r="BI27" s="45">
        <v>0</v>
      </c>
      <c r="BJ27" s="45">
        <v>660</v>
      </c>
      <c r="BK27" s="45">
        <v>299</v>
      </c>
      <c r="BL27" s="45">
        <v>262</v>
      </c>
      <c r="BM27" s="45">
        <v>149</v>
      </c>
      <c r="BN27" s="45">
        <v>253</v>
      </c>
      <c r="BO27" s="45">
        <v>499</v>
      </c>
      <c r="BP27" s="45">
        <v>390911</v>
      </c>
      <c r="BQ27" s="45">
        <v>219</v>
      </c>
      <c r="BR27" s="45">
        <v>187</v>
      </c>
      <c r="BS27" s="45">
        <v>0</v>
      </c>
      <c r="BT27" s="45">
        <v>50</v>
      </c>
      <c r="BU27" s="45">
        <v>100</v>
      </c>
      <c r="BV27" s="45">
        <v>2</v>
      </c>
      <c r="BW27" s="45">
        <v>947</v>
      </c>
      <c r="BX27" s="45">
        <v>0</v>
      </c>
      <c r="BY27" s="45">
        <v>560</v>
      </c>
      <c r="BZ27" s="45">
        <v>0</v>
      </c>
      <c r="CA27" s="45">
        <v>0</v>
      </c>
      <c r="CB27" s="42">
        <v>4268933</v>
      </c>
      <c r="CC27" s="259"/>
      <c r="CD27" s="52">
        <v>468677</v>
      </c>
      <c r="CE27" s="53">
        <v>26690</v>
      </c>
      <c r="CF27" s="54">
        <v>6561059</v>
      </c>
      <c r="CG27" s="52">
        <v>12351565</v>
      </c>
      <c r="CH27" s="55">
        <v>23676924</v>
      </c>
      <c r="CI27" s="51">
        <f t="shared" si="0"/>
        <v>23676924</v>
      </c>
      <c r="CJ27" s="51">
        <f t="shared" si="1"/>
        <v>0</v>
      </c>
    </row>
    <row r="28" spans="1:88" x14ac:dyDescent="0.25">
      <c r="A28" s="8" t="s">
        <v>26</v>
      </c>
      <c r="B28" s="262"/>
      <c r="C28" s="43">
        <v>11283</v>
      </c>
      <c r="D28" s="44">
        <v>9828</v>
      </c>
      <c r="E28" s="44">
        <v>73</v>
      </c>
      <c r="F28" s="44">
        <v>8683</v>
      </c>
      <c r="G28" s="44">
        <v>7278</v>
      </c>
      <c r="H28" s="44">
        <v>38833</v>
      </c>
      <c r="I28" s="44">
        <v>1063</v>
      </c>
      <c r="J28" s="44">
        <v>6677</v>
      </c>
      <c r="K28" s="44">
        <v>8849</v>
      </c>
      <c r="L28" s="44">
        <v>9454</v>
      </c>
      <c r="M28" s="44">
        <v>5862</v>
      </c>
      <c r="N28" s="44">
        <v>95612</v>
      </c>
      <c r="O28" s="44">
        <v>17699</v>
      </c>
      <c r="P28" s="44">
        <v>6522</v>
      </c>
      <c r="Q28" s="45">
        <v>23914</v>
      </c>
      <c r="R28" s="45">
        <v>40352</v>
      </c>
      <c r="S28" s="45">
        <v>20986</v>
      </c>
      <c r="T28" s="45">
        <v>136626</v>
      </c>
      <c r="U28" s="45">
        <v>100782</v>
      </c>
      <c r="V28" s="45">
        <v>19028</v>
      </c>
      <c r="W28" s="45">
        <v>136303</v>
      </c>
      <c r="X28" s="45">
        <v>1532</v>
      </c>
      <c r="Y28" s="45">
        <v>153862</v>
      </c>
      <c r="Z28" s="45">
        <v>19720</v>
      </c>
      <c r="AA28" s="45">
        <v>35462</v>
      </c>
      <c r="AB28" s="45">
        <v>60804</v>
      </c>
      <c r="AC28" s="45">
        <v>1770531</v>
      </c>
      <c r="AD28" s="45">
        <v>22159</v>
      </c>
      <c r="AE28" s="45">
        <v>21371</v>
      </c>
      <c r="AF28" s="45">
        <v>72191</v>
      </c>
      <c r="AG28" s="45">
        <v>4511</v>
      </c>
      <c r="AH28" s="45">
        <v>18688</v>
      </c>
      <c r="AI28" s="45">
        <v>10659</v>
      </c>
      <c r="AJ28" s="45">
        <v>411428</v>
      </c>
      <c r="AK28" s="45">
        <v>32289</v>
      </c>
      <c r="AL28" s="45">
        <v>81775</v>
      </c>
      <c r="AM28" s="45">
        <v>152875</v>
      </c>
      <c r="AN28" s="45">
        <v>132704</v>
      </c>
      <c r="AO28" s="45">
        <v>2654</v>
      </c>
      <c r="AP28" s="45">
        <v>54997</v>
      </c>
      <c r="AQ28" s="45">
        <v>28134</v>
      </c>
      <c r="AR28" s="45">
        <v>41593</v>
      </c>
      <c r="AS28" s="45">
        <v>6811</v>
      </c>
      <c r="AT28" s="45">
        <v>5004</v>
      </c>
      <c r="AU28" s="45">
        <v>279</v>
      </c>
      <c r="AV28" s="45">
        <v>10728</v>
      </c>
      <c r="AW28" s="45">
        <v>38919</v>
      </c>
      <c r="AX28" s="45">
        <v>6743</v>
      </c>
      <c r="AY28" s="45">
        <v>22288</v>
      </c>
      <c r="AZ28" s="45">
        <v>61316</v>
      </c>
      <c r="BA28" s="45">
        <v>23608</v>
      </c>
      <c r="BB28" s="45">
        <v>145792</v>
      </c>
      <c r="BC28" s="45">
        <v>6373</v>
      </c>
      <c r="BD28" s="45">
        <v>14050</v>
      </c>
      <c r="BE28" s="45">
        <v>13490</v>
      </c>
      <c r="BF28" s="45">
        <v>15626</v>
      </c>
      <c r="BG28" s="45">
        <v>19523</v>
      </c>
      <c r="BH28" s="45">
        <v>106055</v>
      </c>
      <c r="BI28" s="45">
        <v>635</v>
      </c>
      <c r="BJ28" s="45">
        <v>13447</v>
      </c>
      <c r="BK28" s="45">
        <v>6783</v>
      </c>
      <c r="BL28" s="45">
        <v>2186</v>
      </c>
      <c r="BM28" s="45">
        <v>10997</v>
      </c>
      <c r="BN28" s="45">
        <v>13642</v>
      </c>
      <c r="BO28" s="45">
        <v>4811</v>
      </c>
      <c r="BP28" s="45">
        <v>26385</v>
      </c>
      <c r="BQ28" s="45">
        <v>48431</v>
      </c>
      <c r="BR28" s="45">
        <v>259706</v>
      </c>
      <c r="BS28" s="45">
        <v>39900</v>
      </c>
      <c r="BT28" s="45">
        <v>32487</v>
      </c>
      <c r="BU28" s="45">
        <v>5591</v>
      </c>
      <c r="BV28" s="45">
        <v>774</v>
      </c>
      <c r="BW28" s="45">
        <v>11174</v>
      </c>
      <c r="BX28" s="45">
        <v>169</v>
      </c>
      <c r="BY28" s="45">
        <v>86030</v>
      </c>
      <c r="BZ28" s="45">
        <v>16958</v>
      </c>
      <c r="CA28" s="45">
        <v>0</v>
      </c>
      <c r="CB28" s="42">
        <v>4912357</v>
      </c>
      <c r="CC28" s="259"/>
      <c r="CD28" s="52">
        <v>7269347</v>
      </c>
      <c r="CE28" s="53">
        <v>2426</v>
      </c>
      <c r="CF28" s="54">
        <v>4276248</v>
      </c>
      <c r="CG28" s="52">
        <v>27751694</v>
      </c>
      <c r="CH28" s="55">
        <v>44212072</v>
      </c>
      <c r="CI28" s="51">
        <f t="shared" si="0"/>
        <v>44212072</v>
      </c>
      <c r="CJ28" s="51">
        <f t="shared" si="1"/>
        <v>0</v>
      </c>
    </row>
    <row r="29" spans="1:88" x14ac:dyDescent="0.25">
      <c r="A29" s="8" t="s">
        <v>27</v>
      </c>
      <c r="B29" s="262"/>
      <c r="C29" s="43">
        <v>2564</v>
      </c>
      <c r="D29" s="44">
        <v>1842</v>
      </c>
      <c r="E29" s="44">
        <v>352</v>
      </c>
      <c r="F29" s="44">
        <v>1097</v>
      </c>
      <c r="G29" s="44">
        <v>2282</v>
      </c>
      <c r="H29" s="44">
        <v>56301</v>
      </c>
      <c r="I29" s="44">
        <v>59868</v>
      </c>
      <c r="J29" s="44">
        <v>2542</v>
      </c>
      <c r="K29" s="44">
        <v>4808</v>
      </c>
      <c r="L29" s="44">
        <v>2961</v>
      </c>
      <c r="M29" s="44">
        <v>4152</v>
      </c>
      <c r="N29" s="44">
        <v>12465</v>
      </c>
      <c r="O29" s="44">
        <v>5785</v>
      </c>
      <c r="P29" s="44">
        <v>1787</v>
      </c>
      <c r="Q29" s="45">
        <v>3003</v>
      </c>
      <c r="R29" s="45">
        <v>8990</v>
      </c>
      <c r="S29" s="45">
        <v>30788</v>
      </c>
      <c r="T29" s="45">
        <v>5380</v>
      </c>
      <c r="U29" s="45">
        <v>8828</v>
      </c>
      <c r="V29" s="45">
        <v>2850</v>
      </c>
      <c r="W29" s="45">
        <v>7037</v>
      </c>
      <c r="X29" s="45">
        <v>10267</v>
      </c>
      <c r="Y29" s="45">
        <v>24958</v>
      </c>
      <c r="Z29" s="45">
        <v>10447</v>
      </c>
      <c r="AA29" s="45">
        <v>14610</v>
      </c>
      <c r="AB29" s="45">
        <v>1985</v>
      </c>
      <c r="AC29" s="45">
        <v>3506</v>
      </c>
      <c r="AD29" s="45">
        <v>693052</v>
      </c>
      <c r="AE29" s="45">
        <v>5760</v>
      </c>
      <c r="AF29" s="45">
        <v>1166</v>
      </c>
      <c r="AG29" s="45">
        <v>593</v>
      </c>
      <c r="AH29" s="45">
        <v>22624</v>
      </c>
      <c r="AI29" s="45">
        <v>8197</v>
      </c>
      <c r="AJ29" s="45">
        <v>68064</v>
      </c>
      <c r="AK29" s="45">
        <v>12080</v>
      </c>
      <c r="AL29" s="45">
        <v>22649</v>
      </c>
      <c r="AM29" s="45">
        <v>50854</v>
      </c>
      <c r="AN29" s="45">
        <v>15931</v>
      </c>
      <c r="AO29" s="45">
        <v>1015</v>
      </c>
      <c r="AP29" s="45">
        <v>26059</v>
      </c>
      <c r="AQ29" s="45">
        <v>24402</v>
      </c>
      <c r="AR29" s="45">
        <v>19819</v>
      </c>
      <c r="AS29" s="45">
        <v>6572</v>
      </c>
      <c r="AT29" s="45">
        <v>16998</v>
      </c>
      <c r="AU29" s="45">
        <v>1620</v>
      </c>
      <c r="AV29" s="45">
        <v>31857</v>
      </c>
      <c r="AW29" s="45">
        <v>26569</v>
      </c>
      <c r="AX29" s="45">
        <v>4338</v>
      </c>
      <c r="AY29" s="45">
        <v>3683</v>
      </c>
      <c r="AZ29" s="45">
        <v>5148</v>
      </c>
      <c r="BA29" s="45">
        <v>1787</v>
      </c>
      <c r="BB29" s="45">
        <v>40161</v>
      </c>
      <c r="BC29" s="45">
        <v>10344</v>
      </c>
      <c r="BD29" s="45">
        <v>11868</v>
      </c>
      <c r="BE29" s="45">
        <v>3700</v>
      </c>
      <c r="BF29" s="45">
        <v>30623</v>
      </c>
      <c r="BG29" s="45">
        <v>5940</v>
      </c>
      <c r="BH29" s="45">
        <v>2362</v>
      </c>
      <c r="BI29" s="45">
        <v>1838</v>
      </c>
      <c r="BJ29" s="45">
        <v>15447</v>
      </c>
      <c r="BK29" s="45">
        <v>3261</v>
      </c>
      <c r="BL29" s="45">
        <v>4447</v>
      </c>
      <c r="BM29" s="45">
        <v>8898</v>
      </c>
      <c r="BN29" s="45">
        <v>26056</v>
      </c>
      <c r="BO29" s="45">
        <v>9923</v>
      </c>
      <c r="BP29" s="45">
        <v>35568</v>
      </c>
      <c r="BQ29" s="45">
        <v>84794</v>
      </c>
      <c r="BR29" s="45">
        <v>380930</v>
      </c>
      <c r="BS29" s="45">
        <v>29597</v>
      </c>
      <c r="BT29" s="45">
        <v>29808</v>
      </c>
      <c r="BU29" s="45">
        <v>3508</v>
      </c>
      <c r="BV29" s="45">
        <v>864</v>
      </c>
      <c r="BW29" s="45">
        <v>49597</v>
      </c>
      <c r="BX29" s="45">
        <v>23927</v>
      </c>
      <c r="BY29" s="45">
        <v>14793</v>
      </c>
      <c r="BZ29" s="45">
        <v>10627</v>
      </c>
      <c r="CA29" s="45">
        <v>0</v>
      </c>
      <c r="CB29" s="42">
        <v>2201173</v>
      </c>
      <c r="CC29" s="259"/>
      <c r="CD29" s="52">
        <v>3374016</v>
      </c>
      <c r="CE29" s="53">
        <v>5643</v>
      </c>
      <c r="CF29" s="54">
        <v>739514</v>
      </c>
      <c r="CG29" s="52">
        <v>6753253</v>
      </c>
      <c r="CH29" s="55">
        <v>13073599</v>
      </c>
      <c r="CI29" s="51">
        <f t="shared" si="0"/>
        <v>13073599</v>
      </c>
      <c r="CJ29" s="51">
        <f t="shared" si="1"/>
        <v>0</v>
      </c>
    </row>
    <row r="30" spans="1:88" x14ac:dyDescent="0.25">
      <c r="A30" s="8" t="s">
        <v>28</v>
      </c>
      <c r="B30" s="262"/>
      <c r="C30" s="43">
        <v>352207</v>
      </c>
      <c r="D30" s="44">
        <v>41016</v>
      </c>
      <c r="E30" s="44">
        <v>28042</v>
      </c>
      <c r="F30" s="44">
        <v>869838</v>
      </c>
      <c r="G30" s="44">
        <v>364617</v>
      </c>
      <c r="H30" s="44">
        <v>702609</v>
      </c>
      <c r="I30" s="44">
        <v>72563</v>
      </c>
      <c r="J30" s="44">
        <v>26041</v>
      </c>
      <c r="K30" s="44">
        <v>14109</v>
      </c>
      <c r="L30" s="44">
        <v>18470</v>
      </c>
      <c r="M30" s="44">
        <v>33115</v>
      </c>
      <c r="N30" s="44">
        <v>428164</v>
      </c>
      <c r="O30" s="44">
        <v>476445</v>
      </c>
      <c r="P30" s="44">
        <v>26124</v>
      </c>
      <c r="Q30" s="45">
        <v>371940</v>
      </c>
      <c r="R30" s="45">
        <v>552372</v>
      </c>
      <c r="S30" s="45">
        <v>111411</v>
      </c>
      <c r="T30" s="45">
        <v>479871</v>
      </c>
      <c r="U30" s="45">
        <v>596016</v>
      </c>
      <c r="V30" s="45">
        <v>1377261</v>
      </c>
      <c r="W30" s="45">
        <v>1273277</v>
      </c>
      <c r="X30" s="45">
        <v>94140</v>
      </c>
      <c r="Y30" s="45">
        <v>976466</v>
      </c>
      <c r="Z30" s="45">
        <v>1013035</v>
      </c>
      <c r="AA30" s="45">
        <v>860079</v>
      </c>
      <c r="AB30" s="45">
        <v>632145</v>
      </c>
      <c r="AC30" s="45">
        <v>201294</v>
      </c>
      <c r="AD30" s="45">
        <v>174661</v>
      </c>
      <c r="AE30" s="45">
        <v>2163266</v>
      </c>
      <c r="AF30" s="45">
        <v>2138570</v>
      </c>
      <c r="AG30" s="45">
        <v>16092</v>
      </c>
      <c r="AH30" s="45">
        <v>107680</v>
      </c>
      <c r="AI30" s="45">
        <v>66272</v>
      </c>
      <c r="AJ30" s="45">
        <v>3478364</v>
      </c>
      <c r="AK30" s="45">
        <v>130245</v>
      </c>
      <c r="AL30" s="45">
        <v>1377466</v>
      </c>
      <c r="AM30" s="45">
        <v>284917</v>
      </c>
      <c r="AN30" s="45">
        <v>1059021</v>
      </c>
      <c r="AO30" s="45">
        <v>924782</v>
      </c>
      <c r="AP30" s="45">
        <v>464324</v>
      </c>
      <c r="AQ30" s="45">
        <v>113908</v>
      </c>
      <c r="AR30" s="45">
        <v>105918</v>
      </c>
      <c r="AS30" s="45">
        <v>24694</v>
      </c>
      <c r="AT30" s="45">
        <v>26002</v>
      </c>
      <c r="AU30" s="45">
        <v>48203</v>
      </c>
      <c r="AV30" s="45">
        <v>117188</v>
      </c>
      <c r="AW30" s="45">
        <v>165693</v>
      </c>
      <c r="AX30" s="45">
        <v>35071</v>
      </c>
      <c r="AY30" s="45">
        <v>30047</v>
      </c>
      <c r="AZ30" s="45">
        <v>21533</v>
      </c>
      <c r="BA30" s="45">
        <v>1390</v>
      </c>
      <c r="BB30" s="45">
        <v>149771</v>
      </c>
      <c r="BC30" s="45">
        <v>68576</v>
      </c>
      <c r="BD30" s="45">
        <v>69365</v>
      </c>
      <c r="BE30" s="45">
        <v>125762</v>
      </c>
      <c r="BF30" s="45">
        <v>203955</v>
      </c>
      <c r="BG30" s="45">
        <v>17153</v>
      </c>
      <c r="BH30" s="45">
        <v>188114</v>
      </c>
      <c r="BI30" s="45">
        <v>0</v>
      </c>
      <c r="BJ30" s="45">
        <v>284194</v>
      </c>
      <c r="BK30" s="45">
        <v>5103</v>
      </c>
      <c r="BL30" s="45">
        <v>170420</v>
      </c>
      <c r="BM30" s="45">
        <v>31576</v>
      </c>
      <c r="BN30" s="45">
        <v>102669</v>
      </c>
      <c r="BO30" s="45">
        <v>11026</v>
      </c>
      <c r="BP30" s="45">
        <v>494157</v>
      </c>
      <c r="BQ30" s="45">
        <v>76691</v>
      </c>
      <c r="BR30" s="45">
        <v>184002</v>
      </c>
      <c r="BS30" s="45">
        <v>51422</v>
      </c>
      <c r="BT30" s="45">
        <v>14105</v>
      </c>
      <c r="BU30" s="45">
        <v>13994</v>
      </c>
      <c r="BV30" s="45">
        <v>28917</v>
      </c>
      <c r="BW30" s="45">
        <v>209527</v>
      </c>
      <c r="BX30" s="45">
        <v>82</v>
      </c>
      <c r="BY30" s="45">
        <v>36453</v>
      </c>
      <c r="BZ30" s="45">
        <v>20156</v>
      </c>
      <c r="CA30" s="45">
        <v>0</v>
      </c>
      <c r="CB30" s="42">
        <v>27625164</v>
      </c>
      <c r="CC30" s="259"/>
      <c r="CD30" s="52">
        <v>340301</v>
      </c>
      <c r="CE30" s="53">
        <v>0</v>
      </c>
      <c r="CF30" s="54">
        <v>15864644</v>
      </c>
      <c r="CG30" s="52">
        <v>2091798</v>
      </c>
      <c r="CH30" s="55">
        <v>45921907</v>
      </c>
      <c r="CI30" s="51">
        <f t="shared" si="0"/>
        <v>45921907</v>
      </c>
      <c r="CJ30" s="51">
        <f t="shared" si="1"/>
        <v>0</v>
      </c>
    </row>
    <row r="31" spans="1:88" x14ac:dyDescent="0.25">
      <c r="A31" s="14" t="s">
        <v>29</v>
      </c>
      <c r="B31" s="262"/>
      <c r="C31" s="43">
        <v>2056190</v>
      </c>
      <c r="D31" s="44">
        <v>39748</v>
      </c>
      <c r="E31" s="44">
        <v>14472</v>
      </c>
      <c r="F31" s="44">
        <v>1083295</v>
      </c>
      <c r="G31" s="44">
        <v>361120</v>
      </c>
      <c r="H31" s="44">
        <v>3157538</v>
      </c>
      <c r="I31" s="44">
        <v>478057</v>
      </c>
      <c r="J31" s="44">
        <v>85154</v>
      </c>
      <c r="K31" s="44">
        <v>302138</v>
      </c>
      <c r="L31" s="44">
        <v>238229</v>
      </c>
      <c r="M31" s="44">
        <v>54851</v>
      </c>
      <c r="N31" s="44">
        <v>997274</v>
      </c>
      <c r="O31" s="44">
        <v>1007116</v>
      </c>
      <c r="P31" s="44">
        <v>225947</v>
      </c>
      <c r="Q31" s="45">
        <v>399110</v>
      </c>
      <c r="R31" s="45">
        <v>2116036</v>
      </c>
      <c r="S31" s="45">
        <v>172730</v>
      </c>
      <c r="T31" s="45">
        <v>1931295</v>
      </c>
      <c r="U31" s="45">
        <v>2548074</v>
      </c>
      <c r="V31" s="45">
        <v>3776172</v>
      </c>
      <c r="W31" s="45">
        <v>1577637</v>
      </c>
      <c r="X31" s="45">
        <v>159119</v>
      </c>
      <c r="Y31" s="45">
        <v>687115</v>
      </c>
      <c r="Z31" s="45">
        <v>714891</v>
      </c>
      <c r="AA31" s="45">
        <v>1118358</v>
      </c>
      <c r="AB31" s="45">
        <v>274293</v>
      </c>
      <c r="AC31" s="45">
        <v>548181</v>
      </c>
      <c r="AD31" s="45">
        <v>139776</v>
      </c>
      <c r="AE31" s="45">
        <v>291921</v>
      </c>
      <c r="AF31" s="45">
        <v>4767709</v>
      </c>
      <c r="AG31" s="45">
        <v>434339</v>
      </c>
      <c r="AH31" s="45">
        <v>296934</v>
      </c>
      <c r="AI31" s="45">
        <v>572318</v>
      </c>
      <c r="AJ31" s="45">
        <v>2045880</v>
      </c>
      <c r="AK31" s="45">
        <v>295033</v>
      </c>
      <c r="AL31" s="45">
        <v>1304035</v>
      </c>
      <c r="AM31" s="45">
        <v>2905307</v>
      </c>
      <c r="AN31" s="45">
        <v>3298742</v>
      </c>
      <c r="AO31" s="45">
        <v>20818</v>
      </c>
      <c r="AP31" s="45">
        <v>1782681</v>
      </c>
      <c r="AQ31" s="45">
        <v>582058</v>
      </c>
      <c r="AR31" s="45">
        <v>757537</v>
      </c>
      <c r="AS31" s="45">
        <v>102886</v>
      </c>
      <c r="AT31" s="45">
        <v>56246</v>
      </c>
      <c r="AU31" s="45">
        <v>61915</v>
      </c>
      <c r="AV31" s="45">
        <v>516181</v>
      </c>
      <c r="AW31" s="45">
        <v>114271</v>
      </c>
      <c r="AX31" s="45">
        <v>57993</v>
      </c>
      <c r="AY31" s="45">
        <v>165639</v>
      </c>
      <c r="AZ31" s="45">
        <v>9997</v>
      </c>
      <c r="BA31" s="45">
        <v>35314</v>
      </c>
      <c r="BB31" s="45">
        <v>16476251</v>
      </c>
      <c r="BC31" s="45">
        <v>90296</v>
      </c>
      <c r="BD31" s="45">
        <v>214376</v>
      </c>
      <c r="BE31" s="45">
        <v>134828</v>
      </c>
      <c r="BF31" s="45">
        <v>340019</v>
      </c>
      <c r="BG31" s="45">
        <v>228312</v>
      </c>
      <c r="BH31" s="45">
        <v>33246</v>
      </c>
      <c r="BI31" s="45">
        <v>49288</v>
      </c>
      <c r="BJ31" s="45">
        <v>297864</v>
      </c>
      <c r="BK31" s="45">
        <v>13130</v>
      </c>
      <c r="BL31" s="45">
        <v>15722</v>
      </c>
      <c r="BM31" s="45">
        <v>32516</v>
      </c>
      <c r="BN31" s="45">
        <v>101890</v>
      </c>
      <c r="BO31" s="45">
        <v>237333</v>
      </c>
      <c r="BP31" s="45">
        <v>1362779</v>
      </c>
      <c r="BQ31" s="45">
        <v>1881887</v>
      </c>
      <c r="BR31" s="45">
        <v>1461474</v>
      </c>
      <c r="BS31" s="45">
        <v>384773</v>
      </c>
      <c r="BT31" s="45">
        <v>227974</v>
      </c>
      <c r="BU31" s="45">
        <v>42706</v>
      </c>
      <c r="BV31" s="45">
        <v>20961</v>
      </c>
      <c r="BW31" s="45">
        <v>544924</v>
      </c>
      <c r="BX31" s="45">
        <v>14074</v>
      </c>
      <c r="BY31" s="45">
        <v>33707</v>
      </c>
      <c r="BZ31" s="45">
        <v>197397</v>
      </c>
      <c r="CA31" s="45">
        <v>0</v>
      </c>
      <c r="CB31" s="42">
        <v>71177397</v>
      </c>
      <c r="CC31" s="259"/>
      <c r="CD31" s="52">
        <v>39148996</v>
      </c>
      <c r="CE31" s="53">
        <v>50725</v>
      </c>
      <c r="CF31" s="54">
        <v>205362</v>
      </c>
      <c r="CG31" s="52">
        <v>2223327</v>
      </c>
      <c r="CH31" s="55">
        <v>112805807</v>
      </c>
      <c r="CI31" s="51">
        <f t="shared" si="0"/>
        <v>112805807</v>
      </c>
      <c r="CJ31" s="51">
        <f t="shared" si="1"/>
        <v>0</v>
      </c>
    </row>
    <row r="32" spans="1:88" x14ac:dyDescent="0.25">
      <c r="A32" s="8" t="s">
        <v>30</v>
      </c>
      <c r="B32" s="262"/>
      <c r="C32" s="43">
        <v>114002</v>
      </c>
      <c r="D32" s="44">
        <v>31917</v>
      </c>
      <c r="E32" s="44">
        <v>426</v>
      </c>
      <c r="F32" s="44">
        <v>46353</v>
      </c>
      <c r="G32" s="44">
        <v>17314</v>
      </c>
      <c r="H32" s="44">
        <v>374975</v>
      </c>
      <c r="I32" s="44">
        <v>35307</v>
      </c>
      <c r="J32" s="44">
        <v>5923</v>
      </c>
      <c r="K32" s="44">
        <v>32561</v>
      </c>
      <c r="L32" s="44">
        <v>17801</v>
      </c>
      <c r="M32" s="44">
        <v>13934</v>
      </c>
      <c r="N32" s="44">
        <v>28738</v>
      </c>
      <c r="O32" s="44">
        <v>47062</v>
      </c>
      <c r="P32" s="44">
        <v>30389</v>
      </c>
      <c r="Q32" s="45">
        <v>15181</v>
      </c>
      <c r="R32" s="45">
        <v>117678</v>
      </c>
      <c r="S32" s="45">
        <v>29308</v>
      </c>
      <c r="T32" s="45">
        <v>87881</v>
      </c>
      <c r="U32" s="45">
        <v>101255</v>
      </c>
      <c r="V32" s="45">
        <v>141756</v>
      </c>
      <c r="W32" s="45">
        <v>151384</v>
      </c>
      <c r="X32" s="45">
        <v>31936</v>
      </c>
      <c r="Y32" s="45">
        <v>51939</v>
      </c>
      <c r="Z32" s="45">
        <v>78836</v>
      </c>
      <c r="AA32" s="45">
        <v>131887</v>
      </c>
      <c r="AB32" s="45">
        <v>34124</v>
      </c>
      <c r="AC32" s="45">
        <v>37838</v>
      </c>
      <c r="AD32" s="45">
        <v>7444</v>
      </c>
      <c r="AE32" s="45">
        <v>31975</v>
      </c>
      <c r="AF32" s="45">
        <v>190952</v>
      </c>
      <c r="AG32" s="45">
        <v>311079</v>
      </c>
      <c r="AH32" s="45">
        <v>26814</v>
      </c>
      <c r="AI32" s="45">
        <v>233646</v>
      </c>
      <c r="AJ32" s="45">
        <v>202196</v>
      </c>
      <c r="AK32" s="45">
        <v>76210</v>
      </c>
      <c r="AL32" s="45">
        <v>154447</v>
      </c>
      <c r="AM32" s="45">
        <v>131554</v>
      </c>
      <c r="AN32" s="45">
        <v>311763</v>
      </c>
      <c r="AO32" s="45">
        <v>3442</v>
      </c>
      <c r="AP32" s="45">
        <v>52501</v>
      </c>
      <c r="AQ32" s="45">
        <v>150615</v>
      </c>
      <c r="AR32" s="45">
        <v>126474</v>
      </c>
      <c r="AS32" s="45">
        <v>9299</v>
      </c>
      <c r="AT32" s="45">
        <v>18503</v>
      </c>
      <c r="AU32" s="45">
        <v>1612</v>
      </c>
      <c r="AV32" s="45">
        <v>27006</v>
      </c>
      <c r="AW32" s="45">
        <v>40759</v>
      </c>
      <c r="AX32" s="45">
        <v>5302</v>
      </c>
      <c r="AY32" s="45">
        <v>55501</v>
      </c>
      <c r="AZ32" s="45">
        <v>34173</v>
      </c>
      <c r="BA32" s="45">
        <v>1996</v>
      </c>
      <c r="BB32" s="45">
        <v>1930026</v>
      </c>
      <c r="BC32" s="45">
        <v>8725</v>
      </c>
      <c r="BD32" s="45">
        <v>30148</v>
      </c>
      <c r="BE32" s="45">
        <v>110824</v>
      </c>
      <c r="BF32" s="45">
        <v>66966</v>
      </c>
      <c r="BG32" s="45">
        <v>2864</v>
      </c>
      <c r="BH32" s="45">
        <v>3051</v>
      </c>
      <c r="BI32" s="45">
        <v>265</v>
      </c>
      <c r="BJ32" s="45">
        <v>36708</v>
      </c>
      <c r="BK32" s="45">
        <v>5766</v>
      </c>
      <c r="BL32" s="45">
        <v>10576</v>
      </c>
      <c r="BM32" s="45">
        <v>6182</v>
      </c>
      <c r="BN32" s="45">
        <v>227654</v>
      </c>
      <c r="BO32" s="45">
        <v>8919</v>
      </c>
      <c r="BP32" s="45">
        <v>66067</v>
      </c>
      <c r="BQ32" s="45">
        <v>95644</v>
      </c>
      <c r="BR32" s="45">
        <v>118090</v>
      </c>
      <c r="BS32" s="45">
        <v>55780</v>
      </c>
      <c r="BT32" s="45">
        <v>28362</v>
      </c>
      <c r="BU32" s="45">
        <v>5618</v>
      </c>
      <c r="BV32" s="45">
        <v>999</v>
      </c>
      <c r="BW32" s="45">
        <v>29484</v>
      </c>
      <c r="BX32" s="45">
        <v>2059</v>
      </c>
      <c r="BY32" s="45">
        <v>1333</v>
      </c>
      <c r="BZ32" s="45">
        <v>51000</v>
      </c>
      <c r="CA32" s="45">
        <v>0</v>
      </c>
      <c r="CB32" s="42">
        <v>6916078</v>
      </c>
      <c r="CC32" s="259"/>
      <c r="CD32" s="52">
        <v>418699</v>
      </c>
      <c r="CE32" s="53">
        <v>844569</v>
      </c>
      <c r="CF32" s="54">
        <v>-9551</v>
      </c>
      <c r="CG32" s="52">
        <v>0</v>
      </c>
      <c r="CH32" s="55">
        <v>8169795</v>
      </c>
      <c r="CI32" s="51">
        <f t="shared" si="0"/>
        <v>8169795</v>
      </c>
      <c r="CJ32" s="51">
        <f t="shared" si="1"/>
        <v>0</v>
      </c>
    </row>
    <row r="33" spans="1:88" x14ac:dyDescent="0.25">
      <c r="A33" s="8" t="s">
        <v>31</v>
      </c>
      <c r="B33" s="262"/>
      <c r="C33" s="43">
        <v>796</v>
      </c>
      <c r="D33" s="44">
        <v>8583</v>
      </c>
      <c r="E33" s="44">
        <v>153</v>
      </c>
      <c r="F33" s="44">
        <v>81929</v>
      </c>
      <c r="G33" s="44">
        <v>5176</v>
      </c>
      <c r="H33" s="44">
        <v>180350</v>
      </c>
      <c r="I33" s="44">
        <v>18789</v>
      </c>
      <c r="J33" s="44">
        <v>599</v>
      </c>
      <c r="K33" s="44">
        <v>11805</v>
      </c>
      <c r="L33" s="44">
        <v>1118</v>
      </c>
      <c r="M33" s="44">
        <v>12724</v>
      </c>
      <c r="N33" s="44">
        <v>32898</v>
      </c>
      <c r="O33" s="44">
        <v>39638</v>
      </c>
      <c r="P33" s="44">
        <v>7369</v>
      </c>
      <c r="Q33" s="45">
        <v>37057</v>
      </c>
      <c r="R33" s="45">
        <v>69044</v>
      </c>
      <c r="S33" s="45">
        <v>12670</v>
      </c>
      <c r="T33" s="45">
        <v>13798</v>
      </c>
      <c r="U33" s="45">
        <v>95049</v>
      </c>
      <c r="V33" s="45">
        <v>228422</v>
      </c>
      <c r="W33" s="45">
        <v>866567</v>
      </c>
      <c r="X33" s="45">
        <v>1814</v>
      </c>
      <c r="Y33" s="45">
        <v>15296</v>
      </c>
      <c r="Z33" s="45">
        <v>89118</v>
      </c>
      <c r="AA33" s="45">
        <v>8564</v>
      </c>
      <c r="AB33" s="45">
        <v>44840</v>
      </c>
      <c r="AC33" s="45">
        <v>14934</v>
      </c>
      <c r="AD33" s="45">
        <v>2204</v>
      </c>
      <c r="AE33" s="45">
        <v>49737</v>
      </c>
      <c r="AF33" s="45">
        <v>233777</v>
      </c>
      <c r="AG33" s="45">
        <v>10713</v>
      </c>
      <c r="AH33" s="45">
        <v>475018</v>
      </c>
      <c r="AI33" s="45">
        <v>353921</v>
      </c>
      <c r="AJ33" s="45">
        <v>813296</v>
      </c>
      <c r="AK33" s="45">
        <v>68266</v>
      </c>
      <c r="AL33" s="45">
        <v>84428</v>
      </c>
      <c r="AM33" s="45">
        <v>91266</v>
      </c>
      <c r="AN33" s="45">
        <v>88866</v>
      </c>
      <c r="AO33" s="45">
        <v>1288</v>
      </c>
      <c r="AP33" s="45">
        <v>43685</v>
      </c>
      <c r="AQ33" s="45">
        <v>22419</v>
      </c>
      <c r="AR33" s="45">
        <v>17334</v>
      </c>
      <c r="AS33" s="45">
        <v>6042</v>
      </c>
      <c r="AT33" s="45">
        <v>1932</v>
      </c>
      <c r="AU33" s="45">
        <v>347</v>
      </c>
      <c r="AV33" s="45">
        <v>14865</v>
      </c>
      <c r="AW33" s="45">
        <v>1245</v>
      </c>
      <c r="AX33" s="45">
        <v>2080</v>
      </c>
      <c r="AY33" s="45">
        <v>0</v>
      </c>
      <c r="AZ33" s="45">
        <v>0</v>
      </c>
      <c r="BA33" s="45">
        <v>0</v>
      </c>
      <c r="BB33" s="45">
        <v>3557956</v>
      </c>
      <c r="BC33" s="45">
        <v>1017</v>
      </c>
      <c r="BD33" s="45">
        <v>79921</v>
      </c>
      <c r="BE33" s="45">
        <v>7887</v>
      </c>
      <c r="BF33" s="45">
        <v>6755</v>
      </c>
      <c r="BG33" s="45">
        <v>880</v>
      </c>
      <c r="BH33" s="45">
        <v>1169</v>
      </c>
      <c r="BI33" s="45">
        <v>101</v>
      </c>
      <c r="BJ33" s="45">
        <v>13384</v>
      </c>
      <c r="BK33" s="45">
        <v>1195</v>
      </c>
      <c r="BL33" s="45">
        <v>1322</v>
      </c>
      <c r="BM33" s="45">
        <v>1666</v>
      </c>
      <c r="BN33" s="45">
        <v>276090</v>
      </c>
      <c r="BO33" s="45">
        <v>17530</v>
      </c>
      <c r="BP33" s="45">
        <v>244037</v>
      </c>
      <c r="BQ33" s="45">
        <v>76987</v>
      </c>
      <c r="BR33" s="45">
        <v>102234</v>
      </c>
      <c r="BS33" s="45">
        <v>16450</v>
      </c>
      <c r="BT33" s="45">
        <v>6838</v>
      </c>
      <c r="BU33" s="45">
        <v>2705</v>
      </c>
      <c r="BV33" s="45">
        <v>202</v>
      </c>
      <c r="BW33" s="45">
        <v>6774</v>
      </c>
      <c r="BX33" s="45">
        <v>4736</v>
      </c>
      <c r="BY33" s="45">
        <v>717</v>
      </c>
      <c r="BZ33" s="45">
        <v>58987</v>
      </c>
      <c r="CA33" s="45">
        <v>0</v>
      </c>
      <c r="CB33" s="42">
        <v>8769369</v>
      </c>
      <c r="CC33" s="259"/>
      <c r="CD33" s="52">
        <v>4732014</v>
      </c>
      <c r="CE33" s="53">
        <v>330290</v>
      </c>
      <c r="CF33" s="54">
        <v>-4158</v>
      </c>
      <c r="CG33" s="52">
        <v>5300435</v>
      </c>
      <c r="CH33" s="55">
        <v>19127950</v>
      </c>
      <c r="CI33" s="51">
        <f t="shared" si="0"/>
        <v>19127950</v>
      </c>
      <c r="CJ33" s="51">
        <f t="shared" si="1"/>
        <v>0</v>
      </c>
    </row>
    <row r="34" spans="1:88" ht="27.6" x14ac:dyDescent="0.25">
      <c r="A34" s="8" t="s">
        <v>32</v>
      </c>
      <c r="B34" s="262"/>
      <c r="C34" s="43">
        <v>27162</v>
      </c>
      <c r="D34" s="44">
        <v>14944</v>
      </c>
      <c r="E34" s="44">
        <v>128</v>
      </c>
      <c r="F34" s="44">
        <v>88566</v>
      </c>
      <c r="G34" s="44">
        <v>55340</v>
      </c>
      <c r="H34" s="44">
        <v>198320</v>
      </c>
      <c r="I34" s="44">
        <v>41002</v>
      </c>
      <c r="J34" s="44">
        <v>4842</v>
      </c>
      <c r="K34" s="44">
        <v>39289</v>
      </c>
      <c r="L34" s="44">
        <v>10561</v>
      </c>
      <c r="M34" s="44">
        <v>16334</v>
      </c>
      <c r="N34" s="44">
        <v>23556</v>
      </c>
      <c r="O34" s="44">
        <v>67002</v>
      </c>
      <c r="P34" s="44">
        <v>16010</v>
      </c>
      <c r="Q34" s="45">
        <v>83609</v>
      </c>
      <c r="R34" s="45">
        <v>107195</v>
      </c>
      <c r="S34" s="45">
        <v>31944</v>
      </c>
      <c r="T34" s="45">
        <v>92870</v>
      </c>
      <c r="U34" s="45">
        <v>129363</v>
      </c>
      <c r="V34" s="45">
        <v>128049</v>
      </c>
      <c r="W34" s="45">
        <v>80859</v>
      </c>
      <c r="X34" s="45">
        <v>19723</v>
      </c>
      <c r="Y34" s="45">
        <v>53718</v>
      </c>
      <c r="Z34" s="45">
        <v>71413</v>
      </c>
      <c r="AA34" s="45">
        <v>64187</v>
      </c>
      <c r="AB34" s="45">
        <v>33632</v>
      </c>
      <c r="AC34" s="45">
        <v>39013</v>
      </c>
      <c r="AD34" s="45">
        <v>8519</v>
      </c>
      <c r="AE34" s="45">
        <v>37090</v>
      </c>
      <c r="AF34" s="45">
        <v>277617</v>
      </c>
      <c r="AG34" s="45">
        <v>324157</v>
      </c>
      <c r="AH34" s="45">
        <v>200925</v>
      </c>
      <c r="AI34" s="45">
        <v>354099</v>
      </c>
      <c r="AJ34" s="45">
        <v>322275</v>
      </c>
      <c r="AK34" s="45">
        <v>69445</v>
      </c>
      <c r="AL34" s="45">
        <v>325515</v>
      </c>
      <c r="AM34" s="45">
        <v>96775</v>
      </c>
      <c r="AN34" s="45">
        <v>336212</v>
      </c>
      <c r="AO34" s="45">
        <v>5182</v>
      </c>
      <c r="AP34" s="45">
        <v>100165</v>
      </c>
      <c r="AQ34" s="45">
        <v>93039</v>
      </c>
      <c r="AR34" s="45">
        <v>64298</v>
      </c>
      <c r="AS34" s="45">
        <v>7856</v>
      </c>
      <c r="AT34" s="45">
        <v>4767</v>
      </c>
      <c r="AU34" s="45">
        <v>1121</v>
      </c>
      <c r="AV34" s="45">
        <v>9109</v>
      </c>
      <c r="AW34" s="45">
        <v>56577</v>
      </c>
      <c r="AX34" s="45">
        <v>6832</v>
      </c>
      <c r="AY34" s="45">
        <v>6754</v>
      </c>
      <c r="AZ34" s="45">
        <v>1889</v>
      </c>
      <c r="BA34" s="45">
        <v>2365</v>
      </c>
      <c r="BB34" s="45">
        <v>1708342</v>
      </c>
      <c r="BC34" s="45">
        <v>11515</v>
      </c>
      <c r="BD34" s="45">
        <v>11739</v>
      </c>
      <c r="BE34" s="45">
        <v>57620</v>
      </c>
      <c r="BF34" s="45">
        <v>64564</v>
      </c>
      <c r="BG34" s="45">
        <v>2756</v>
      </c>
      <c r="BH34" s="45">
        <v>3641</v>
      </c>
      <c r="BI34" s="45">
        <v>302</v>
      </c>
      <c r="BJ34" s="45">
        <v>56930</v>
      </c>
      <c r="BK34" s="45">
        <v>7200</v>
      </c>
      <c r="BL34" s="45">
        <v>51130</v>
      </c>
      <c r="BM34" s="45">
        <v>6289</v>
      </c>
      <c r="BN34" s="45">
        <v>190055</v>
      </c>
      <c r="BO34" s="45">
        <v>16456</v>
      </c>
      <c r="BP34" s="45">
        <v>67206</v>
      </c>
      <c r="BQ34" s="45">
        <v>96143</v>
      </c>
      <c r="BR34" s="45">
        <v>107592</v>
      </c>
      <c r="BS34" s="45">
        <v>66578</v>
      </c>
      <c r="BT34" s="45">
        <v>34550</v>
      </c>
      <c r="BU34" s="45">
        <v>10129</v>
      </c>
      <c r="BV34" s="45">
        <v>484</v>
      </c>
      <c r="BW34" s="45">
        <v>48531</v>
      </c>
      <c r="BX34" s="45">
        <v>11036</v>
      </c>
      <c r="BY34" s="45">
        <v>3596</v>
      </c>
      <c r="BZ34" s="45">
        <v>39834</v>
      </c>
      <c r="CA34" s="45">
        <v>0</v>
      </c>
      <c r="CB34" s="42">
        <v>6925432</v>
      </c>
      <c r="CC34" s="259"/>
      <c r="CD34" s="52">
        <v>2626793</v>
      </c>
      <c r="CE34" s="53">
        <v>1448656</v>
      </c>
      <c r="CF34" s="54">
        <v>2714</v>
      </c>
      <c r="CG34" s="52">
        <v>2663</v>
      </c>
      <c r="CH34" s="55">
        <v>11006258</v>
      </c>
      <c r="CI34" s="51">
        <f t="shared" si="0"/>
        <v>11006258</v>
      </c>
      <c r="CJ34" s="51">
        <f t="shared" si="1"/>
        <v>0</v>
      </c>
    </row>
    <row r="35" spans="1:88" x14ac:dyDescent="0.25">
      <c r="A35" s="8" t="s">
        <v>33</v>
      </c>
      <c r="B35" s="262"/>
      <c r="C35" s="43">
        <v>353227</v>
      </c>
      <c r="D35" s="44">
        <v>200649</v>
      </c>
      <c r="E35" s="44">
        <v>758</v>
      </c>
      <c r="F35" s="44">
        <v>153244</v>
      </c>
      <c r="G35" s="44">
        <v>151468</v>
      </c>
      <c r="H35" s="44">
        <v>562488</v>
      </c>
      <c r="I35" s="44">
        <v>37561</v>
      </c>
      <c r="J35" s="44">
        <v>24366</v>
      </c>
      <c r="K35" s="44">
        <v>62530</v>
      </c>
      <c r="L35" s="44">
        <v>45213</v>
      </c>
      <c r="M35" s="44">
        <v>21860</v>
      </c>
      <c r="N35" s="44">
        <v>244939</v>
      </c>
      <c r="O35" s="44">
        <v>312516</v>
      </c>
      <c r="P35" s="44">
        <v>48833</v>
      </c>
      <c r="Q35" s="45">
        <v>168299</v>
      </c>
      <c r="R35" s="45">
        <v>516541</v>
      </c>
      <c r="S35" s="45">
        <v>25309</v>
      </c>
      <c r="T35" s="45">
        <v>690221</v>
      </c>
      <c r="U35" s="45">
        <v>696591</v>
      </c>
      <c r="V35" s="45">
        <v>228675</v>
      </c>
      <c r="W35" s="45">
        <v>1368840</v>
      </c>
      <c r="X35" s="45">
        <v>67604</v>
      </c>
      <c r="Y35" s="45">
        <v>1038758</v>
      </c>
      <c r="Z35" s="45">
        <v>511902</v>
      </c>
      <c r="AA35" s="45">
        <v>381229</v>
      </c>
      <c r="AB35" s="45">
        <v>208466</v>
      </c>
      <c r="AC35" s="45">
        <v>198238</v>
      </c>
      <c r="AD35" s="45">
        <v>20084</v>
      </c>
      <c r="AE35" s="45">
        <v>1185570</v>
      </c>
      <c r="AF35" s="45">
        <v>13188979</v>
      </c>
      <c r="AG35" s="45">
        <v>211438</v>
      </c>
      <c r="AH35" s="45">
        <v>244986</v>
      </c>
      <c r="AI35" s="45">
        <v>243231</v>
      </c>
      <c r="AJ35" s="45">
        <v>72086710</v>
      </c>
      <c r="AK35" s="45">
        <v>291740</v>
      </c>
      <c r="AL35" s="45">
        <v>3379927</v>
      </c>
      <c r="AM35" s="45">
        <v>1816143</v>
      </c>
      <c r="AN35" s="45">
        <v>668423</v>
      </c>
      <c r="AO35" s="45">
        <v>8860</v>
      </c>
      <c r="AP35" s="45">
        <v>7077097</v>
      </c>
      <c r="AQ35" s="45">
        <v>354506</v>
      </c>
      <c r="AR35" s="45">
        <v>307832</v>
      </c>
      <c r="AS35" s="45">
        <v>2644</v>
      </c>
      <c r="AT35" s="45">
        <v>1277</v>
      </c>
      <c r="AU35" s="45">
        <v>1281</v>
      </c>
      <c r="AV35" s="45">
        <v>711134</v>
      </c>
      <c r="AW35" s="45">
        <v>148472</v>
      </c>
      <c r="AX35" s="45">
        <v>51800</v>
      </c>
      <c r="AY35" s="45">
        <v>94775</v>
      </c>
      <c r="AZ35" s="45">
        <v>56125</v>
      </c>
      <c r="BA35" s="45">
        <v>47533</v>
      </c>
      <c r="BB35" s="45">
        <v>16692255</v>
      </c>
      <c r="BC35" s="45">
        <v>45633</v>
      </c>
      <c r="BD35" s="45">
        <v>300766</v>
      </c>
      <c r="BE35" s="45">
        <v>6198166</v>
      </c>
      <c r="BF35" s="45">
        <v>88901</v>
      </c>
      <c r="BG35" s="45">
        <v>26536</v>
      </c>
      <c r="BH35" s="45">
        <v>182780</v>
      </c>
      <c r="BI35" s="45">
        <v>0</v>
      </c>
      <c r="BJ35" s="45">
        <v>752656</v>
      </c>
      <c r="BK35" s="45">
        <v>5506</v>
      </c>
      <c r="BL35" s="45">
        <v>120379</v>
      </c>
      <c r="BM35" s="45">
        <v>53726</v>
      </c>
      <c r="BN35" s="45">
        <v>246859</v>
      </c>
      <c r="BO35" s="45">
        <v>66850</v>
      </c>
      <c r="BP35" s="45">
        <v>6730796</v>
      </c>
      <c r="BQ35" s="45">
        <v>1383050</v>
      </c>
      <c r="BR35" s="45">
        <v>701774</v>
      </c>
      <c r="BS35" s="45">
        <v>302264</v>
      </c>
      <c r="BT35" s="45">
        <v>110492</v>
      </c>
      <c r="BU35" s="45">
        <v>190217</v>
      </c>
      <c r="BV35" s="45">
        <v>3725</v>
      </c>
      <c r="BW35" s="45">
        <v>63753</v>
      </c>
      <c r="BX35" s="45">
        <v>8220</v>
      </c>
      <c r="BY35" s="45">
        <v>36532</v>
      </c>
      <c r="BZ35" s="45">
        <v>208522</v>
      </c>
      <c r="CA35" s="45">
        <v>0</v>
      </c>
      <c r="CB35" s="42">
        <v>145041250</v>
      </c>
      <c r="CC35" s="259"/>
      <c r="CD35" s="52">
        <v>29280917</v>
      </c>
      <c r="CE35" s="53">
        <v>107498</v>
      </c>
      <c r="CF35" s="54">
        <v>154303580</v>
      </c>
      <c r="CG35" s="52">
        <v>16949308</v>
      </c>
      <c r="CH35" s="55">
        <v>345682553</v>
      </c>
      <c r="CI35" s="51">
        <f t="shared" si="0"/>
        <v>345682553</v>
      </c>
      <c r="CJ35" s="51">
        <f t="shared" si="1"/>
        <v>0</v>
      </c>
    </row>
    <row r="36" spans="1:88" x14ac:dyDescent="0.25">
      <c r="A36" s="8" t="s">
        <v>34</v>
      </c>
      <c r="B36" s="262"/>
      <c r="C36" s="43">
        <v>65079</v>
      </c>
      <c r="D36" s="44">
        <v>45054</v>
      </c>
      <c r="E36" s="44">
        <v>977</v>
      </c>
      <c r="F36" s="44">
        <v>31338</v>
      </c>
      <c r="G36" s="44">
        <v>52288</v>
      </c>
      <c r="H36" s="44">
        <v>185047</v>
      </c>
      <c r="I36" s="44">
        <v>26663</v>
      </c>
      <c r="J36" s="44">
        <v>14243</v>
      </c>
      <c r="K36" s="44">
        <v>22216</v>
      </c>
      <c r="L36" s="44">
        <v>16154</v>
      </c>
      <c r="M36" s="44">
        <v>6779</v>
      </c>
      <c r="N36" s="44">
        <v>29935</v>
      </c>
      <c r="O36" s="44">
        <v>25812</v>
      </c>
      <c r="P36" s="44">
        <v>16443</v>
      </c>
      <c r="Q36" s="45">
        <v>17228</v>
      </c>
      <c r="R36" s="45">
        <v>49824</v>
      </c>
      <c r="S36" s="45">
        <v>16471</v>
      </c>
      <c r="T36" s="45">
        <v>120193</v>
      </c>
      <c r="U36" s="45">
        <v>77162</v>
      </c>
      <c r="V36" s="45">
        <v>19622</v>
      </c>
      <c r="W36" s="45">
        <v>153540</v>
      </c>
      <c r="X36" s="45">
        <v>9699</v>
      </c>
      <c r="Y36" s="45">
        <v>98993</v>
      </c>
      <c r="Z36" s="45">
        <v>130267</v>
      </c>
      <c r="AA36" s="45">
        <v>6312182</v>
      </c>
      <c r="AB36" s="45">
        <v>557512</v>
      </c>
      <c r="AC36" s="45">
        <v>80965</v>
      </c>
      <c r="AD36" s="45">
        <v>12712</v>
      </c>
      <c r="AE36" s="45">
        <v>643216</v>
      </c>
      <c r="AF36" s="45">
        <v>57653</v>
      </c>
      <c r="AG36" s="45">
        <v>14698</v>
      </c>
      <c r="AH36" s="45">
        <v>74397</v>
      </c>
      <c r="AI36" s="45">
        <v>54155</v>
      </c>
      <c r="AJ36" s="45">
        <v>479000</v>
      </c>
      <c r="AK36" s="45">
        <v>2174607</v>
      </c>
      <c r="AL36" s="45">
        <v>517108</v>
      </c>
      <c r="AM36" s="45">
        <v>199894</v>
      </c>
      <c r="AN36" s="45">
        <v>3430136</v>
      </c>
      <c r="AO36" s="45">
        <v>46465</v>
      </c>
      <c r="AP36" s="45">
        <v>168726</v>
      </c>
      <c r="AQ36" s="45">
        <v>14534</v>
      </c>
      <c r="AR36" s="45">
        <v>23060</v>
      </c>
      <c r="AS36" s="45">
        <v>20800</v>
      </c>
      <c r="AT36" s="45">
        <v>5141</v>
      </c>
      <c r="AU36" s="45">
        <v>420</v>
      </c>
      <c r="AV36" s="45">
        <v>28509</v>
      </c>
      <c r="AW36" s="45">
        <v>70612</v>
      </c>
      <c r="AX36" s="45">
        <v>15674</v>
      </c>
      <c r="AY36" s="45">
        <v>138219</v>
      </c>
      <c r="AZ36" s="45">
        <v>45975</v>
      </c>
      <c r="BA36" s="45">
        <v>22901</v>
      </c>
      <c r="BB36" s="45">
        <v>61464</v>
      </c>
      <c r="BC36" s="45">
        <v>20676</v>
      </c>
      <c r="BD36" s="45">
        <v>48496</v>
      </c>
      <c r="BE36" s="45">
        <v>15662</v>
      </c>
      <c r="BF36" s="45">
        <v>18880</v>
      </c>
      <c r="BG36" s="45">
        <v>31003</v>
      </c>
      <c r="BH36" s="45">
        <v>17504</v>
      </c>
      <c r="BI36" s="45">
        <v>3640</v>
      </c>
      <c r="BJ36" s="45">
        <v>690436</v>
      </c>
      <c r="BK36" s="45">
        <v>30099</v>
      </c>
      <c r="BL36" s="45">
        <v>24480</v>
      </c>
      <c r="BM36" s="45">
        <v>36010</v>
      </c>
      <c r="BN36" s="45">
        <v>74812</v>
      </c>
      <c r="BO36" s="45">
        <v>39090</v>
      </c>
      <c r="BP36" s="45">
        <v>495916</v>
      </c>
      <c r="BQ36" s="45">
        <v>42119</v>
      </c>
      <c r="BR36" s="45">
        <v>54447</v>
      </c>
      <c r="BS36" s="45">
        <v>10972</v>
      </c>
      <c r="BT36" s="45">
        <v>3177</v>
      </c>
      <c r="BU36" s="45">
        <v>781</v>
      </c>
      <c r="BV36" s="45">
        <v>837</v>
      </c>
      <c r="BW36" s="45">
        <v>6636</v>
      </c>
      <c r="BX36" s="45">
        <v>6084</v>
      </c>
      <c r="BY36" s="45">
        <v>4418</v>
      </c>
      <c r="BZ36" s="45">
        <v>37212</v>
      </c>
      <c r="CA36" s="45">
        <v>0</v>
      </c>
      <c r="CB36" s="42">
        <v>18215149</v>
      </c>
      <c r="CC36" s="259"/>
      <c r="CD36" s="52">
        <v>13171340</v>
      </c>
      <c r="CE36" s="53">
        <v>13104</v>
      </c>
      <c r="CF36" s="54">
        <v>5732904</v>
      </c>
      <c r="CG36" s="52">
        <v>15273604</v>
      </c>
      <c r="CH36" s="55">
        <v>52406101</v>
      </c>
      <c r="CI36" s="51">
        <f t="shared" si="0"/>
        <v>52406101</v>
      </c>
      <c r="CJ36" s="51">
        <f t="shared" si="1"/>
        <v>0</v>
      </c>
    </row>
    <row r="37" spans="1:88" x14ac:dyDescent="0.25">
      <c r="A37" s="8" t="s">
        <v>35</v>
      </c>
      <c r="B37" s="262"/>
      <c r="C37" s="43">
        <v>3701100</v>
      </c>
      <c r="D37" s="44">
        <v>211859</v>
      </c>
      <c r="E37" s="44">
        <v>12010</v>
      </c>
      <c r="F37" s="44">
        <v>175586</v>
      </c>
      <c r="G37" s="44">
        <v>133136</v>
      </c>
      <c r="H37" s="44">
        <v>16089360</v>
      </c>
      <c r="I37" s="44">
        <v>1055833</v>
      </c>
      <c r="J37" s="44">
        <v>234472</v>
      </c>
      <c r="K37" s="44">
        <v>903681</v>
      </c>
      <c r="L37" s="44">
        <v>587041</v>
      </c>
      <c r="M37" s="44">
        <v>309503</v>
      </c>
      <c r="N37" s="44">
        <v>1833597</v>
      </c>
      <c r="O37" s="44">
        <v>1637087</v>
      </c>
      <c r="P37" s="44">
        <v>492723</v>
      </c>
      <c r="Q37" s="45">
        <v>631145</v>
      </c>
      <c r="R37" s="45">
        <v>2608162</v>
      </c>
      <c r="S37" s="45">
        <v>488495</v>
      </c>
      <c r="T37" s="45">
        <v>3672557</v>
      </c>
      <c r="U37" s="45">
        <v>1943965</v>
      </c>
      <c r="V37" s="45">
        <v>1926784</v>
      </c>
      <c r="W37" s="45">
        <v>2464543</v>
      </c>
      <c r="X37" s="45">
        <v>3056125</v>
      </c>
      <c r="Y37" s="45">
        <v>2508981</v>
      </c>
      <c r="Z37" s="45">
        <v>1255931</v>
      </c>
      <c r="AA37" s="45">
        <v>4360631</v>
      </c>
      <c r="AB37" s="45">
        <v>471003</v>
      </c>
      <c r="AC37" s="45">
        <v>2415636</v>
      </c>
      <c r="AD37" s="45">
        <v>623411</v>
      </c>
      <c r="AE37" s="45">
        <v>957120</v>
      </c>
      <c r="AF37" s="45">
        <v>1592429</v>
      </c>
      <c r="AG37" s="45">
        <v>39342</v>
      </c>
      <c r="AH37" s="45">
        <v>341710</v>
      </c>
      <c r="AI37" s="45">
        <v>53413</v>
      </c>
      <c r="AJ37" s="45">
        <v>12142263</v>
      </c>
      <c r="AK37" s="45">
        <v>306388</v>
      </c>
      <c r="AL37" s="45">
        <v>1103410</v>
      </c>
      <c r="AM37" s="45">
        <v>2342796</v>
      </c>
      <c r="AN37" s="45">
        <v>1769440</v>
      </c>
      <c r="AO37" s="45">
        <v>62008</v>
      </c>
      <c r="AP37" s="45">
        <v>283508</v>
      </c>
      <c r="AQ37" s="45">
        <v>515714</v>
      </c>
      <c r="AR37" s="45">
        <v>2231169</v>
      </c>
      <c r="AS37" s="45">
        <v>331328</v>
      </c>
      <c r="AT37" s="45">
        <v>65273</v>
      </c>
      <c r="AU37" s="45">
        <v>12438</v>
      </c>
      <c r="AV37" s="45">
        <v>778967</v>
      </c>
      <c r="AW37" s="45">
        <v>287220</v>
      </c>
      <c r="AX37" s="45">
        <v>45438</v>
      </c>
      <c r="AY37" s="45">
        <v>310996</v>
      </c>
      <c r="AZ37" s="45">
        <v>400380</v>
      </c>
      <c r="BA37" s="45">
        <v>46766</v>
      </c>
      <c r="BB37" s="45">
        <v>764828</v>
      </c>
      <c r="BC37" s="45">
        <v>55743</v>
      </c>
      <c r="BD37" s="45">
        <v>90774</v>
      </c>
      <c r="BE37" s="45">
        <v>256936</v>
      </c>
      <c r="BF37" s="45">
        <v>277672</v>
      </c>
      <c r="BG37" s="45">
        <v>166027</v>
      </c>
      <c r="BH37" s="45">
        <v>67722</v>
      </c>
      <c r="BI37" s="45">
        <v>118999</v>
      </c>
      <c r="BJ37" s="45">
        <v>230949</v>
      </c>
      <c r="BK37" s="45">
        <v>21178</v>
      </c>
      <c r="BL37" s="45">
        <v>23264</v>
      </c>
      <c r="BM37" s="45">
        <v>68302</v>
      </c>
      <c r="BN37" s="45">
        <v>232150</v>
      </c>
      <c r="BO37" s="45">
        <v>411602</v>
      </c>
      <c r="BP37" s="45">
        <v>899599</v>
      </c>
      <c r="BQ37" s="45">
        <v>541213</v>
      </c>
      <c r="BR37" s="45">
        <v>2217182</v>
      </c>
      <c r="BS37" s="45">
        <v>292917</v>
      </c>
      <c r="BT37" s="45">
        <v>105123</v>
      </c>
      <c r="BU37" s="45">
        <v>14456</v>
      </c>
      <c r="BV37" s="45">
        <v>9528</v>
      </c>
      <c r="BW37" s="45">
        <v>73882</v>
      </c>
      <c r="BX37" s="45">
        <v>304157</v>
      </c>
      <c r="BY37" s="45">
        <v>174807</v>
      </c>
      <c r="BZ37" s="45">
        <v>167219</v>
      </c>
      <c r="CA37" s="45">
        <v>0</v>
      </c>
      <c r="CB37" s="42">
        <v>89410102</v>
      </c>
      <c r="CC37" s="259"/>
      <c r="CD37" s="52">
        <v>24503564</v>
      </c>
      <c r="CE37" s="53">
        <v>2137055</v>
      </c>
      <c r="CF37" s="54">
        <v>10617775</v>
      </c>
      <c r="CG37" s="52">
        <v>47983814</v>
      </c>
      <c r="CH37" s="55">
        <v>174652310</v>
      </c>
      <c r="CI37" s="51">
        <f t="shared" si="0"/>
        <v>174652310</v>
      </c>
      <c r="CJ37" s="51">
        <f t="shared" si="1"/>
        <v>0</v>
      </c>
    </row>
    <row r="38" spans="1:88" x14ac:dyDescent="0.25">
      <c r="A38" s="8" t="s">
        <v>36</v>
      </c>
      <c r="B38" s="262"/>
      <c r="C38" s="43">
        <v>3679480</v>
      </c>
      <c r="D38" s="44">
        <v>229693</v>
      </c>
      <c r="E38" s="44">
        <v>16751</v>
      </c>
      <c r="F38" s="44">
        <v>97683</v>
      </c>
      <c r="G38" s="44">
        <v>126298</v>
      </c>
      <c r="H38" s="44">
        <v>5547828</v>
      </c>
      <c r="I38" s="44">
        <v>437078</v>
      </c>
      <c r="J38" s="44">
        <v>48301</v>
      </c>
      <c r="K38" s="44">
        <v>186267</v>
      </c>
      <c r="L38" s="44">
        <v>169665</v>
      </c>
      <c r="M38" s="44">
        <v>105660</v>
      </c>
      <c r="N38" s="44">
        <v>1055188</v>
      </c>
      <c r="O38" s="44">
        <v>753218</v>
      </c>
      <c r="P38" s="44">
        <v>213991</v>
      </c>
      <c r="Q38" s="45">
        <v>318460</v>
      </c>
      <c r="R38" s="45">
        <v>1082284</v>
      </c>
      <c r="S38" s="45">
        <v>156495</v>
      </c>
      <c r="T38" s="45">
        <v>1093907</v>
      </c>
      <c r="U38" s="45">
        <v>740740</v>
      </c>
      <c r="V38" s="45">
        <v>695666</v>
      </c>
      <c r="W38" s="45">
        <v>1018122</v>
      </c>
      <c r="X38" s="45">
        <v>776397</v>
      </c>
      <c r="Y38" s="45">
        <v>1124291</v>
      </c>
      <c r="Z38" s="45">
        <v>736630</v>
      </c>
      <c r="AA38" s="45">
        <v>970852</v>
      </c>
      <c r="AB38" s="45">
        <v>253023</v>
      </c>
      <c r="AC38" s="45">
        <v>1432361</v>
      </c>
      <c r="AD38" s="45">
        <v>270578</v>
      </c>
      <c r="AE38" s="45">
        <v>321748</v>
      </c>
      <c r="AF38" s="45">
        <v>502934</v>
      </c>
      <c r="AG38" s="45">
        <v>18769</v>
      </c>
      <c r="AH38" s="45">
        <v>222504</v>
      </c>
      <c r="AI38" s="45">
        <v>87353</v>
      </c>
      <c r="AJ38" s="45">
        <v>4249931</v>
      </c>
      <c r="AK38" s="45">
        <v>134306</v>
      </c>
      <c r="AL38" s="45">
        <v>1234701</v>
      </c>
      <c r="AM38" s="45">
        <v>-630558</v>
      </c>
      <c r="AN38" s="45">
        <v>3663687</v>
      </c>
      <c r="AO38" s="45">
        <v>93897</v>
      </c>
      <c r="AP38" s="45">
        <v>326712</v>
      </c>
      <c r="AQ38" s="45">
        <v>105018</v>
      </c>
      <c r="AR38" s="45">
        <v>975900</v>
      </c>
      <c r="AS38" s="45">
        <v>59628</v>
      </c>
      <c r="AT38" s="45">
        <v>39946</v>
      </c>
      <c r="AU38" s="45">
        <v>3134</v>
      </c>
      <c r="AV38" s="45">
        <v>245951</v>
      </c>
      <c r="AW38" s="45">
        <v>100076</v>
      </c>
      <c r="AX38" s="45">
        <v>25806</v>
      </c>
      <c r="AY38" s="45">
        <v>158248</v>
      </c>
      <c r="AZ38" s="45">
        <v>453520</v>
      </c>
      <c r="BA38" s="45">
        <v>51759</v>
      </c>
      <c r="BB38" s="45">
        <v>507541</v>
      </c>
      <c r="BC38" s="45">
        <v>24382</v>
      </c>
      <c r="BD38" s="45">
        <v>48529</v>
      </c>
      <c r="BE38" s="45">
        <v>63104</v>
      </c>
      <c r="BF38" s="45">
        <v>114818</v>
      </c>
      <c r="BG38" s="45">
        <v>106885</v>
      </c>
      <c r="BH38" s="45">
        <v>29992</v>
      </c>
      <c r="BI38" s="45">
        <v>65344</v>
      </c>
      <c r="BJ38" s="45">
        <v>137822</v>
      </c>
      <c r="BK38" s="45">
        <v>24274</v>
      </c>
      <c r="BL38" s="45">
        <v>13351</v>
      </c>
      <c r="BM38" s="45">
        <v>43289</v>
      </c>
      <c r="BN38" s="45">
        <v>118576</v>
      </c>
      <c r="BO38" s="45">
        <v>114709</v>
      </c>
      <c r="BP38" s="45">
        <v>557045</v>
      </c>
      <c r="BQ38" s="45">
        <v>278441</v>
      </c>
      <c r="BR38" s="45">
        <v>647203</v>
      </c>
      <c r="BS38" s="45">
        <v>165021</v>
      </c>
      <c r="BT38" s="45">
        <v>47626</v>
      </c>
      <c r="BU38" s="45">
        <v>9796</v>
      </c>
      <c r="BV38" s="45">
        <v>3964</v>
      </c>
      <c r="BW38" s="45">
        <v>33084</v>
      </c>
      <c r="BX38" s="45">
        <v>145199</v>
      </c>
      <c r="BY38" s="45">
        <v>129054</v>
      </c>
      <c r="BZ38" s="45">
        <v>145796</v>
      </c>
      <c r="CA38" s="45">
        <v>0</v>
      </c>
      <c r="CB38" s="42">
        <v>39356722</v>
      </c>
      <c r="CC38" s="259"/>
      <c r="CD38" s="52">
        <v>97827641</v>
      </c>
      <c r="CE38" s="53">
        <v>962671</v>
      </c>
      <c r="CF38" s="54">
        <v>5351711</v>
      </c>
      <c r="CG38" s="52">
        <v>47841185</v>
      </c>
      <c r="CH38" s="55">
        <v>191339930</v>
      </c>
      <c r="CI38" s="51">
        <f t="shared" si="0"/>
        <v>191339930</v>
      </c>
      <c r="CJ38" s="51">
        <f t="shared" si="1"/>
        <v>0</v>
      </c>
    </row>
    <row r="39" spans="1:88" x14ac:dyDescent="0.25">
      <c r="A39" s="8" t="s">
        <v>37</v>
      </c>
      <c r="B39" s="262"/>
      <c r="C39" s="43">
        <v>1309520</v>
      </c>
      <c r="D39" s="44">
        <v>142221</v>
      </c>
      <c r="E39" s="44">
        <v>2580</v>
      </c>
      <c r="F39" s="44">
        <v>475442</v>
      </c>
      <c r="G39" s="44">
        <v>747196</v>
      </c>
      <c r="H39" s="44">
        <v>6046193</v>
      </c>
      <c r="I39" s="44">
        <v>846019</v>
      </c>
      <c r="J39" s="44">
        <v>126512</v>
      </c>
      <c r="K39" s="44">
        <v>196134</v>
      </c>
      <c r="L39" s="44">
        <v>92030</v>
      </c>
      <c r="M39" s="44">
        <v>76727</v>
      </c>
      <c r="N39" s="44">
        <v>3013439</v>
      </c>
      <c r="O39" s="44">
        <v>1488828</v>
      </c>
      <c r="P39" s="44">
        <v>200625</v>
      </c>
      <c r="Q39" s="45">
        <v>2640392</v>
      </c>
      <c r="R39" s="45">
        <v>2601773</v>
      </c>
      <c r="S39" s="45">
        <v>160940</v>
      </c>
      <c r="T39" s="45">
        <v>2189712</v>
      </c>
      <c r="U39" s="45">
        <v>3131883</v>
      </c>
      <c r="V39" s="45">
        <v>3240821</v>
      </c>
      <c r="W39" s="45">
        <v>1788863</v>
      </c>
      <c r="X39" s="45">
        <v>432442</v>
      </c>
      <c r="Y39" s="45">
        <v>1269827</v>
      </c>
      <c r="Z39" s="45">
        <v>1045812</v>
      </c>
      <c r="AA39" s="45">
        <v>1986169</v>
      </c>
      <c r="AB39" s="45">
        <v>359296</v>
      </c>
      <c r="AC39" s="45">
        <v>759926</v>
      </c>
      <c r="AD39" s="45">
        <v>449862</v>
      </c>
      <c r="AE39" s="45">
        <v>678043</v>
      </c>
      <c r="AF39" s="45">
        <v>2971463</v>
      </c>
      <c r="AG39" s="45">
        <v>28039</v>
      </c>
      <c r="AH39" s="45">
        <v>872623</v>
      </c>
      <c r="AI39" s="45">
        <v>84474</v>
      </c>
      <c r="AJ39" s="45">
        <v>5676163</v>
      </c>
      <c r="AK39" s="45">
        <v>3639278</v>
      </c>
      <c r="AL39" s="45">
        <v>10018588</v>
      </c>
      <c r="AM39" s="45">
        <v>3847064</v>
      </c>
      <c r="AN39" s="45">
        <v>12421423</v>
      </c>
      <c r="AO39" s="45">
        <v>108951</v>
      </c>
      <c r="AP39" s="45">
        <v>7378445</v>
      </c>
      <c r="AQ39" s="45">
        <v>156015</v>
      </c>
      <c r="AR39" s="45">
        <v>216542</v>
      </c>
      <c r="AS39" s="45">
        <v>163739</v>
      </c>
      <c r="AT39" s="45">
        <v>46019</v>
      </c>
      <c r="AU39" s="45">
        <v>1124</v>
      </c>
      <c r="AV39" s="45">
        <v>124354</v>
      </c>
      <c r="AW39" s="45">
        <v>169706</v>
      </c>
      <c r="AX39" s="45">
        <v>36892</v>
      </c>
      <c r="AY39" s="45">
        <v>121668</v>
      </c>
      <c r="AZ39" s="45">
        <v>145451</v>
      </c>
      <c r="BA39" s="45">
        <v>93871</v>
      </c>
      <c r="BB39" s="45">
        <v>785691</v>
      </c>
      <c r="BC39" s="45">
        <v>156615</v>
      </c>
      <c r="BD39" s="45">
        <v>93794</v>
      </c>
      <c r="BE39" s="45">
        <v>182336</v>
      </c>
      <c r="BF39" s="45">
        <v>115435</v>
      </c>
      <c r="BG39" s="45">
        <v>130377</v>
      </c>
      <c r="BH39" s="45">
        <v>397787</v>
      </c>
      <c r="BI39" s="45">
        <v>1747</v>
      </c>
      <c r="BJ39" s="45">
        <v>787110</v>
      </c>
      <c r="BK39" s="45">
        <v>147339</v>
      </c>
      <c r="BL39" s="45">
        <v>3130388</v>
      </c>
      <c r="BM39" s="45">
        <v>67698</v>
      </c>
      <c r="BN39" s="45">
        <v>152279</v>
      </c>
      <c r="BO39" s="45">
        <v>260986</v>
      </c>
      <c r="BP39" s="45">
        <v>823522</v>
      </c>
      <c r="BQ39" s="45">
        <v>566632</v>
      </c>
      <c r="BR39" s="45">
        <v>369929</v>
      </c>
      <c r="BS39" s="45">
        <v>51747</v>
      </c>
      <c r="BT39" s="45">
        <v>79796</v>
      </c>
      <c r="BU39" s="45">
        <v>8694</v>
      </c>
      <c r="BV39" s="45">
        <v>1011</v>
      </c>
      <c r="BW39" s="45">
        <v>52389</v>
      </c>
      <c r="BX39" s="45">
        <v>20071</v>
      </c>
      <c r="BY39" s="45">
        <v>161928</v>
      </c>
      <c r="BZ39" s="45">
        <v>192654</v>
      </c>
      <c r="CA39" s="45">
        <v>0</v>
      </c>
      <c r="CB39" s="42">
        <v>94559074</v>
      </c>
      <c r="CC39" s="259"/>
      <c r="CD39" s="52">
        <v>20041072</v>
      </c>
      <c r="CE39" s="53">
        <v>8823577</v>
      </c>
      <c r="CF39" s="54">
        <v>919749</v>
      </c>
      <c r="CG39" s="52">
        <v>32505245</v>
      </c>
      <c r="CH39" s="55">
        <v>156848717</v>
      </c>
      <c r="CI39" s="51">
        <f t="shared" si="0"/>
        <v>156848717</v>
      </c>
      <c r="CJ39" s="51">
        <f t="shared" si="1"/>
        <v>0</v>
      </c>
    </row>
    <row r="40" spans="1:88" x14ac:dyDescent="0.25">
      <c r="A40" s="8" t="s">
        <v>38</v>
      </c>
      <c r="B40" s="262"/>
      <c r="C40" s="43">
        <v>14805</v>
      </c>
      <c r="D40" s="44">
        <v>10700</v>
      </c>
      <c r="E40" s="44">
        <v>2457</v>
      </c>
      <c r="F40" s="44">
        <v>930</v>
      </c>
      <c r="G40" s="44">
        <v>22516</v>
      </c>
      <c r="H40" s="44">
        <v>51003</v>
      </c>
      <c r="I40" s="44">
        <v>8839</v>
      </c>
      <c r="J40" s="44">
        <v>2693</v>
      </c>
      <c r="K40" s="44">
        <v>9245</v>
      </c>
      <c r="L40" s="44">
        <v>5570</v>
      </c>
      <c r="M40" s="44">
        <v>2113</v>
      </c>
      <c r="N40" s="44">
        <v>33845</v>
      </c>
      <c r="O40" s="44">
        <v>71501</v>
      </c>
      <c r="P40" s="44">
        <v>10131</v>
      </c>
      <c r="Q40" s="45">
        <v>81298</v>
      </c>
      <c r="R40" s="45">
        <v>101636</v>
      </c>
      <c r="S40" s="45">
        <v>8530</v>
      </c>
      <c r="T40" s="45">
        <v>32286</v>
      </c>
      <c r="U40" s="45">
        <v>42409</v>
      </c>
      <c r="V40" s="45">
        <v>18584</v>
      </c>
      <c r="W40" s="45">
        <v>45034</v>
      </c>
      <c r="X40" s="45">
        <v>39607</v>
      </c>
      <c r="Y40" s="45">
        <v>57356</v>
      </c>
      <c r="Z40" s="45">
        <v>32514</v>
      </c>
      <c r="AA40" s="45">
        <v>51496</v>
      </c>
      <c r="AB40" s="45">
        <v>46052</v>
      </c>
      <c r="AC40" s="45">
        <v>47291</v>
      </c>
      <c r="AD40" s="45">
        <v>3524</v>
      </c>
      <c r="AE40" s="45">
        <v>37560</v>
      </c>
      <c r="AF40" s="45">
        <v>13301</v>
      </c>
      <c r="AG40" s="45">
        <v>1271</v>
      </c>
      <c r="AH40" s="45">
        <v>9038</v>
      </c>
      <c r="AI40" s="45">
        <v>945</v>
      </c>
      <c r="AJ40" s="45">
        <v>90106</v>
      </c>
      <c r="AK40" s="45">
        <v>35263</v>
      </c>
      <c r="AL40" s="45">
        <v>343196</v>
      </c>
      <c r="AM40" s="45">
        <v>40579</v>
      </c>
      <c r="AN40" s="45">
        <v>161236</v>
      </c>
      <c r="AO40" s="45">
        <v>260593</v>
      </c>
      <c r="AP40" s="45">
        <v>487424</v>
      </c>
      <c r="AQ40" s="45">
        <v>4857</v>
      </c>
      <c r="AR40" s="45">
        <v>2943</v>
      </c>
      <c r="AS40" s="45">
        <v>6069</v>
      </c>
      <c r="AT40" s="45">
        <v>8404</v>
      </c>
      <c r="AU40" s="45">
        <v>57</v>
      </c>
      <c r="AV40" s="45">
        <v>2688</v>
      </c>
      <c r="AW40" s="45">
        <v>31791</v>
      </c>
      <c r="AX40" s="45">
        <v>2510</v>
      </c>
      <c r="AY40" s="45">
        <v>36413</v>
      </c>
      <c r="AZ40" s="45">
        <v>5683</v>
      </c>
      <c r="BA40" s="45">
        <v>7678</v>
      </c>
      <c r="BB40" s="45">
        <v>23202</v>
      </c>
      <c r="BC40" s="45">
        <v>11091</v>
      </c>
      <c r="BD40" s="45">
        <v>19344</v>
      </c>
      <c r="BE40" s="45">
        <v>4417</v>
      </c>
      <c r="BF40" s="45">
        <v>38010</v>
      </c>
      <c r="BG40" s="45">
        <v>8913</v>
      </c>
      <c r="BH40" s="45">
        <v>2744</v>
      </c>
      <c r="BI40" s="45">
        <v>0</v>
      </c>
      <c r="BJ40" s="45">
        <v>30198</v>
      </c>
      <c r="BK40" s="45">
        <v>6088</v>
      </c>
      <c r="BL40" s="45">
        <v>1102633</v>
      </c>
      <c r="BM40" s="45">
        <v>4671</v>
      </c>
      <c r="BN40" s="45">
        <v>234</v>
      </c>
      <c r="BO40" s="45">
        <v>2356</v>
      </c>
      <c r="BP40" s="45">
        <v>14866</v>
      </c>
      <c r="BQ40" s="45">
        <v>8981</v>
      </c>
      <c r="BR40" s="45">
        <v>7323</v>
      </c>
      <c r="BS40" s="45">
        <v>0</v>
      </c>
      <c r="BT40" s="45">
        <v>22515</v>
      </c>
      <c r="BU40" s="45">
        <v>427</v>
      </c>
      <c r="BV40" s="45">
        <v>19</v>
      </c>
      <c r="BW40" s="45">
        <v>7616</v>
      </c>
      <c r="BX40" s="45">
        <v>312</v>
      </c>
      <c r="BY40" s="45">
        <v>17088</v>
      </c>
      <c r="BZ40" s="45">
        <v>2379</v>
      </c>
      <c r="CA40" s="45">
        <v>0</v>
      </c>
      <c r="CB40" s="42">
        <v>3778997</v>
      </c>
      <c r="CC40" s="259"/>
      <c r="CD40" s="52">
        <v>1155632</v>
      </c>
      <c r="CE40" s="53">
        <v>0</v>
      </c>
      <c r="CF40" s="54">
        <v>5259</v>
      </c>
      <c r="CG40" s="52">
        <v>5557670</v>
      </c>
      <c r="CH40" s="55">
        <v>10497558</v>
      </c>
      <c r="CI40" s="51">
        <f t="shared" si="0"/>
        <v>10497558</v>
      </c>
      <c r="CJ40" s="51">
        <f t="shared" si="1"/>
        <v>0</v>
      </c>
    </row>
    <row r="41" spans="1:88" x14ac:dyDescent="0.25">
      <c r="A41" s="8" t="s">
        <v>39</v>
      </c>
      <c r="B41" s="262"/>
      <c r="C41" s="43">
        <v>203994</v>
      </c>
      <c r="D41" s="44">
        <v>6428</v>
      </c>
      <c r="E41" s="44">
        <v>8568</v>
      </c>
      <c r="F41" s="44">
        <v>62272</v>
      </c>
      <c r="G41" s="44">
        <v>232679</v>
      </c>
      <c r="H41" s="44">
        <v>951587</v>
      </c>
      <c r="I41" s="44">
        <v>521308</v>
      </c>
      <c r="J41" s="44">
        <v>61403</v>
      </c>
      <c r="K41" s="44">
        <v>39219</v>
      </c>
      <c r="L41" s="44">
        <v>73371</v>
      </c>
      <c r="M41" s="44">
        <v>15337</v>
      </c>
      <c r="N41" s="44">
        <v>61392</v>
      </c>
      <c r="O41" s="44">
        <v>165021</v>
      </c>
      <c r="P41" s="44">
        <v>146465</v>
      </c>
      <c r="Q41" s="45">
        <v>695336</v>
      </c>
      <c r="R41" s="45">
        <v>415748</v>
      </c>
      <c r="S41" s="45">
        <v>85542</v>
      </c>
      <c r="T41" s="45">
        <v>288568</v>
      </c>
      <c r="U41" s="45">
        <v>440080</v>
      </c>
      <c r="V41" s="45">
        <v>222120</v>
      </c>
      <c r="W41" s="45">
        <v>174664</v>
      </c>
      <c r="X41" s="45">
        <v>74116</v>
      </c>
      <c r="Y41" s="45">
        <v>479116</v>
      </c>
      <c r="Z41" s="45">
        <v>184268</v>
      </c>
      <c r="AA41" s="45">
        <v>459192</v>
      </c>
      <c r="AB41" s="45">
        <v>68515</v>
      </c>
      <c r="AC41" s="45">
        <v>161566</v>
      </c>
      <c r="AD41" s="45">
        <v>48992</v>
      </c>
      <c r="AE41" s="45">
        <v>110010</v>
      </c>
      <c r="AF41" s="45">
        <v>629712</v>
      </c>
      <c r="AG41" s="45">
        <v>21492</v>
      </c>
      <c r="AH41" s="45">
        <v>62913</v>
      </c>
      <c r="AI41" s="45">
        <v>23302</v>
      </c>
      <c r="AJ41" s="45">
        <v>934385</v>
      </c>
      <c r="AK41" s="45">
        <v>472097</v>
      </c>
      <c r="AL41" s="45">
        <v>6381059</v>
      </c>
      <c r="AM41" s="45">
        <v>6981598</v>
      </c>
      <c r="AN41" s="45">
        <v>7839555</v>
      </c>
      <c r="AO41" s="45">
        <v>2584069</v>
      </c>
      <c r="AP41" s="45">
        <v>11803951</v>
      </c>
      <c r="AQ41" s="45">
        <v>60321</v>
      </c>
      <c r="AR41" s="45">
        <v>42620</v>
      </c>
      <c r="AS41" s="45">
        <v>322325</v>
      </c>
      <c r="AT41" s="45">
        <v>38504</v>
      </c>
      <c r="AU41" s="45">
        <v>4673</v>
      </c>
      <c r="AV41" s="45">
        <v>919263</v>
      </c>
      <c r="AW41" s="45">
        <v>142557</v>
      </c>
      <c r="AX41" s="45">
        <v>68074</v>
      </c>
      <c r="AY41" s="45">
        <v>129865</v>
      </c>
      <c r="AZ41" s="45">
        <v>42093</v>
      </c>
      <c r="BA41" s="45">
        <v>55638</v>
      </c>
      <c r="BB41" s="45">
        <v>335587</v>
      </c>
      <c r="BC41" s="45">
        <v>177513</v>
      </c>
      <c r="BD41" s="45">
        <v>1012206</v>
      </c>
      <c r="BE41" s="45">
        <v>52937</v>
      </c>
      <c r="BF41" s="45">
        <v>57030</v>
      </c>
      <c r="BG41" s="45">
        <v>292882</v>
      </c>
      <c r="BH41" s="45">
        <v>137697</v>
      </c>
      <c r="BI41" s="45">
        <v>670</v>
      </c>
      <c r="BJ41" s="45">
        <v>504835</v>
      </c>
      <c r="BK41" s="45">
        <v>100083</v>
      </c>
      <c r="BL41" s="45">
        <v>84140</v>
      </c>
      <c r="BM41" s="45">
        <v>69740</v>
      </c>
      <c r="BN41" s="45">
        <v>83112</v>
      </c>
      <c r="BO41" s="45">
        <v>302590</v>
      </c>
      <c r="BP41" s="45">
        <v>162153</v>
      </c>
      <c r="BQ41" s="45">
        <v>66197</v>
      </c>
      <c r="BR41" s="45">
        <v>96322</v>
      </c>
      <c r="BS41" s="45">
        <v>14278</v>
      </c>
      <c r="BT41" s="45">
        <v>53547</v>
      </c>
      <c r="BU41" s="45">
        <v>9886</v>
      </c>
      <c r="BV41" s="45">
        <v>1440</v>
      </c>
      <c r="BW41" s="45">
        <v>16324</v>
      </c>
      <c r="BX41" s="45">
        <v>38366</v>
      </c>
      <c r="BY41" s="45">
        <v>53497</v>
      </c>
      <c r="BZ41" s="45">
        <v>116493</v>
      </c>
      <c r="CA41" s="45">
        <v>0</v>
      </c>
      <c r="CB41" s="42">
        <v>49856468</v>
      </c>
      <c r="CC41" s="259"/>
      <c r="CD41" s="52">
        <v>3777252</v>
      </c>
      <c r="CE41" s="53">
        <v>21307123</v>
      </c>
      <c r="CF41" s="54">
        <v>-3184</v>
      </c>
      <c r="CG41" s="52">
        <v>11227035</v>
      </c>
      <c r="CH41" s="55">
        <v>86164694</v>
      </c>
      <c r="CI41" s="51">
        <f t="shared" si="0"/>
        <v>86164694</v>
      </c>
      <c r="CJ41" s="51">
        <f t="shared" si="1"/>
        <v>0</v>
      </c>
    </row>
    <row r="42" spans="1:88" x14ac:dyDescent="0.25">
      <c r="A42" s="8" t="s">
        <v>40</v>
      </c>
      <c r="B42" s="262"/>
      <c r="C42" s="43">
        <v>11912</v>
      </c>
      <c r="D42" s="44">
        <v>4751</v>
      </c>
      <c r="E42" s="44">
        <v>48</v>
      </c>
      <c r="F42" s="44">
        <v>19853</v>
      </c>
      <c r="G42" s="44">
        <v>18627</v>
      </c>
      <c r="H42" s="44">
        <v>96596</v>
      </c>
      <c r="I42" s="44">
        <v>21139</v>
      </c>
      <c r="J42" s="44">
        <v>11272</v>
      </c>
      <c r="K42" s="44">
        <v>12950</v>
      </c>
      <c r="L42" s="44">
        <v>13812</v>
      </c>
      <c r="M42" s="44">
        <v>5379</v>
      </c>
      <c r="N42" s="44">
        <v>22415</v>
      </c>
      <c r="O42" s="44">
        <v>37440</v>
      </c>
      <c r="P42" s="44">
        <v>13977</v>
      </c>
      <c r="Q42" s="45">
        <v>18917</v>
      </c>
      <c r="R42" s="45">
        <v>53426</v>
      </c>
      <c r="S42" s="45">
        <v>20279</v>
      </c>
      <c r="T42" s="45">
        <v>75469</v>
      </c>
      <c r="U42" s="45">
        <v>64985</v>
      </c>
      <c r="V42" s="45">
        <v>8619</v>
      </c>
      <c r="W42" s="45">
        <v>91929</v>
      </c>
      <c r="X42" s="45">
        <v>8280</v>
      </c>
      <c r="Y42" s="45">
        <v>93209</v>
      </c>
      <c r="Z42" s="45">
        <v>71020</v>
      </c>
      <c r="AA42" s="45">
        <v>88761</v>
      </c>
      <c r="AB42" s="45">
        <v>20050</v>
      </c>
      <c r="AC42" s="45">
        <v>50207</v>
      </c>
      <c r="AD42" s="45">
        <v>3973</v>
      </c>
      <c r="AE42" s="45">
        <v>159662</v>
      </c>
      <c r="AF42" s="45">
        <v>27616</v>
      </c>
      <c r="AG42" s="45">
        <v>1407</v>
      </c>
      <c r="AH42" s="45">
        <v>25619</v>
      </c>
      <c r="AI42" s="45">
        <v>1598</v>
      </c>
      <c r="AJ42" s="45">
        <v>399850</v>
      </c>
      <c r="AK42" s="45">
        <v>78686</v>
      </c>
      <c r="AL42" s="45">
        <v>326740</v>
      </c>
      <c r="AM42" s="45">
        <v>176113</v>
      </c>
      <c r="AN42" s="45">
        <v>40430</v>
      </c>
      <c r="AO42" s="45">
        <v>36789</v>
      </c>
      <c r="AP42" s="45">
        <v>113150</v>
      </c>
      <c r="AQ42" s="45">
        <v>175314</v>
      </c>
      <c r="AR42" s="45">
        <v>17402</v>
      </c>
      <c r="AS42" s="45">
        <v>10796</v>
      </c>
      <c r="AT42" s="45">
        <v>23165</v>
      </c>
      <c r="AU42" s="45">
        <v>39</v>
      </c>
      <c r="AV42" s="45">
        <v>23837</v>
      </c>
      <c r="AW42" s="45">
        <v>158396</v>
      </c>
      <c r="AX42" s="45">
        <v>22623</v>
      </c>
      <c r="AY42" s="45">
        <v>90038</v>
      </c>
      <c r="AZ42" s="45">
        <v>67948</v>
      </c>
      <c r="BA42" s="45">
        <v>102085</v>
      </c>
      <c r="BB42" s="45">
        <v>55761</v>
      </c>
      <c r="BC42" s="45">
        <v>66682</v>
      </c>
      <c r="BD42" s="45">
        <v>85563</v>
      </c>
      <c r="BE42" s="45">
        <v>47537</v>
      </c>
      <c r="BF42" s="45">
        <v>20848</v>
      </c>
      <c r="BG42" s="45">
        <v>53697</v>
      </c>
      <c r="BH42" s="45">
        <v>19179</v>
      </c>
      <c r="BI42" s="45">
        <v>0</v>
      </c>
      <c r="BJ42" s="45">
        <v>45899</v>
      </c>
      <c r="BK42" s="45">
        <v>58099</v>
      </c>
      <c r="BL42" s="45">
        <v>1970247</v>
      </c>
      <c r="BM42" s="45">
        <v>4980</v>
      </c>
      <c r="BN42" s="45">
        <v>16201</v>
      </c>
      <c r="BO42" s="45">
        <v>18857</v>
      </c>
      <c r="BP42" s="45">
        <v>77437</v>
      </c>
      <c r="BQ42" s="45">
        <v>118962</v>
      </c>
      <c r="BR42" s="45">
        <v>71187</v>
      </c>
      <c r="BS42" s="45">
        <v>19389</v>
      </c>
      <c r="BT42" s="45">
        <v>113804</v>
      </c>
      <c r="BU42" s="45">
        <v>6981</v>
      </c>
      <c r="BV42" s="45">
        <v>395</v>
      </c>
      <c r="BW42" s="45">
        <v>34648</v>
      </c>
      <c r="BX42" s="45">
        <v>3256</v>
      </c>
      <c r="BY42" s="45">
        <v>5453</v>
      </c>
      <c r="BZ42" s="45">
        <v>27342</v>
      </c>
      <c r="CA42" s="45">
        <v>0</v>
      </c>
      <c r="CB42" s="42">
        <v>5981002</v>
      </c>
      <c r="CC42" s="259"/>
      <c r="CD42" s="52">
        <v>6897405</v>
      </c>
      <c r="CE42" s="53">
        <v>1165890</v>
      </c>
      <c r="CF42" s="54">
        <v>4537</v>
      </c>
      <c r="CG42" s="52">
        <v>1028620</v>
      </c>
      <c r="CH42" s="55">
        <v>15077454</v>
      </c>
      <c r="CI42" s="51">
        <f t="shared" si="0"/>
        <v>15077454</v>
      </c>
      <c r="CJ42" s="51">
        <f t="shared" si="1"/>
        <v>0</v>
      </c>
    </row>
    <row r="43" spans="1:88" x14ac:dyDescent="0.25">
      <c r="A43" s="8" t="s">
        <v>41</v>
      </c>
      <c r="B43" s="262"/>
      <c r="C43" s="43">
        <v>2411</v>
      </c>
      <c r="D43" s="44">
        <v>151</v>
      </c>
      <c r="E43" s="44">
        <v>36</v>
      </c>
      <c r="F43" s="44">
        <v>47002</v>
      </c>
      <c r="G43" s="44">
        <v>11634</v>
      </c>
      <c r="H43" s="44">
        <v>9817</v>
      </c>
      <c r="I43" s="44">
        <v>4609</v>
      </c>
      <c r="J43" s="44">
        <v>463</v>
      </c>
      <c r="K43" s="44">
        <v>1143</v>
      </c>
      <c r="L43" s="44">
        <v>900</v>
      </c>
      <c r="M43" s="44">
        <v>2672</v>
      </c>
      <c r="N43" s="44">
        <v>973</v>
      </c>
      <c r="O43" s="44">
        <v>1778</v>
      </c>
      <c r="P43" s="44">
        <v>2578</v>
      </c>
      <c r="Q43" s="45">
        <v>4549</v>
      </c>
      <c r="R43" s="45">
        <v>5307</v>
      </c>
      <c r="S43" s="45">
        <v>1741</v>
      </c>
      <c r="T43" s="45">
        <v>11675</v>
      </c>
      <c r="U43" s="45">
        <v>8675</v>
      </c>
      <c r="V43" s="45">
        <v>1695</v>
      </c>
      <c r="W43" s="45">
        <v>13218</v>
      </c>
      <c r="X43" s="45">
        <v>1183</v>
      </c>
      <c r="Y43" s="45">
        <v>12424</v>
      </c>
      <c r="Z43" s="45">
        <v>8317</v>
      </c>
      <c r="AA43" s="45">
        <v>13591</v>
      </c>
      <c r="AB43" s="45">
        <v>4974</v>
      </c>
      <c r="AC43" s="45">
        <v>2915</v>
      </c>
      <c r="AD43" s="45">
        <v>2453</v>
      </c>
      <c r="AE43" s="45">
        <v>10019</v>
      </c>
      <c r="AF43" s="45">
        <v>1434</v>
      </c>
      <c r="AG43" s="45">
        <v>993</v>
      </c>
      <c r="AH43" s="45">
        <v>1917</v>
      </c>
      <c r="AI43" s="45">
        <v>2008</v>
      </c>
      <c r="AJ43" s="45">
        <v>564012</v>
      </c>
      <c r="AK43" s="45">
        <v>10793</v>
      </c>
      <c r="AL43" s="45">
        <v>132104</v>
      </c>
      <c r="AM43" s="45">
        <v>82233</v>
      </c>
      <c r="AN43" s="45">
        <v>603228</v>
      </c>
      <c r="AO43" s="45">
        <v>166348</v>
      </c>
      <c r="AP43" s="45">
        <v>10837</v>
      </c>
      <c r="AQ43" s="45">
        <v>187750</v>
      </c>
      <c r="AR43" s="45">
        <v>255994</v>
      </c>
      <c r="AS43" s="45">
        <v>4586</v>
      </c>
      <c r="AT43" s="45">
        <v>3857</v>
      </c>
      <c r="AU43" s="45">
        <v>397</v>
      </c>
      <c r="AV43" s="45">
        <v>1759</v>
      </c>
      <c r="AW43" s="45">
        <v>9014</v>
      </c>
      <c r="AX43" s="45">
        <v>6560</v>
      </c>
      <c r="AY43" s="45">
        <v>20512</v>
      </c>
      <c r="AZ43" s="45">
        <v>2025</v>
      </c>
      <c r="BA43" s="45">
        <v>73</v>
      </c>
      <c r="BB43" s="45">
        <v>13526</v>
      </c>
      <c r="BC43" s="45">
        <v>35020</v>
      </c>
      <c r="BD43" s="45">
        <v>16525</v>
      </c>
      <c r="BE43" s="45">
        <v>13490</v>
      </c>
      <c r="BF43" s="45">
        <v>31701</v>
      </c>
      <c r="BG43" s="45">
        <v>24005</v>
      </c>
      <c r="BH43" s="45">
        <v>5278</v>
      </c>
      <c r="BI43" s="45">
        <v>0</v>
      </c>
      <c r="BJ43" s="45">
        <v>2981</v>
      </c>
      <c r="BK43" s="45">
        <v>8161</v>
      </c>
      <c r="BL43" s="45">
        <v>19389</v>
      </c>
      <c r="BM43" s="45">
        <v>1481</v>
      </c>
      <c r="BN43" s="45">
        <v>32671</v>
      </c>
      <c r="BO43" s="45">
        <v>11651</v>
      </c>
      <c r="BP43" s="45">
        <v>29868</v>
      </c>
      <c r="BQ43" s="45">
        <v>104853</v>
      </c>
      <c r="BR43" s="45">
        <v>139101</v>
      </c>
      <c r="BS43" s="45">
        <v>426411</v>
      </c>
      <c r="BT43" s="45">
        <v>2754</v>
      </c>
      <c r="BU43" s="45">
        <v>141</v>
      </c>
      <c r="BV43" s="45">
        <v>181</v>
      </c>
      <c r="BW43" s="45">
        <v>1948</v>
      </c>
      <c r="BX43" s="45">
        <v>44</v>
      </c>
      <c r="BY43" s="45">
        <v>371</v>
      </c>
      <c r="BZ43" s="45">
        <v>1608</v>
      </c>
      <c r="CA43" s="45">
        <v>0</v>
      </c>
      <c r="CB43" s="42">
        <v>3180496</v>
      </c>
      <c r="CC43" s="259"/>
      <c r="CD43" s="52">
        <v>24555859</v>
      </c>
      <c r="CE43" s="53">
        <v>1484499</v>
      </c>
      <c r="CF43" s="54">
        <v>-181</v>
      </c>
      <c r="CG43" s="52">
        <v>1361423</v>
      </c>
      <c r="CH43" s="55">
        <v>30582096</v>
      </c>
      <c r="CI43" s="51">
        <f t="shared" si="0"/>
        <v>30582096</v>
      </c>
      <c r="CJ43" s="51">
        <f t="shared" si="1"/>
        <v>0</v>
      </c>
    </row>
    <row r="44" spans="1:88" x14ac:dyDescent="0.25">
      <c r="A44" s="8" t="s">
        <v>42</v>
      </c>
      <c r="B44" s="262"/>
      <c r="C44" s="43">
        <v>13411</v>
      </c>
      <c r="D44" s="44">
        <v>30474</v>
      </c>
      <c r="E44" s="44">
        <v>285</v>
      </c>
      <c r="F44" s="44">
        <v>18682</v>
      </c>
      <c r="G44" s="44">
        <v>17613</v>
      </c>
      <c r="H44" s="44">
        <v>44562</v>
      </c>
      <c r="I44" s="44">
        <v>5895</v>
      </c>
      <c r="J44" s="44">
        <v>12527</v>
      </c>
      <c r="K44" s="44">
        <v>12400</v>
      </c>
      <c r="L44" s="44">
        <v>12744</v>
      </c>
      <c r="M44" s="44">
        <v>7747</v>
      </c>
      <c r="N44" s="44">
        <v>13379</v>
      </c>
      <c r="O44" s="44">
        <v>30663</v>
      </c>
      <c r="P44" s="44">
        <v>80863</v>
      </c>
      <c r="Q44" s="45">
        <v>18116</v>
      </c>
      <c r="R44" s="45">
        <v>24804</v>
      </c>
      <c r="S44" s="45">
        <v>21596</v>
      </c>
      <c r="T44" s="45">
        <v>42677</v>
      </c>
      <c r="U44" s="45">
        <v>44886</v>
      </c>
      <c r="V44" s="45">
        <v>21097</v>
      </c>
      <c r="W44" s="45">
        <v>46099</v>
      </c>
      <c r="X44" s="45">
        <v>272</v>
      </c>
      <c r="Y44" s="45">
        <v>37636</v>
      </c>
      <c r="Z44" s="45">
        <v>31423</v>
      </c>
      <c r="AA44" s="45">
        <v>48117</v>
      </c>
      <c r="AB44" s="45">
        <v>27144</v>
      </c>
      <c r="AC44" s="45">
        <v>42513</v>
      </c>
      <c r="AD44" s="45">
        <v>11213</v>
      </c>
      <c r="AE44" s="45">
        <v>728</v>
      </c>
      <c r="AF44" s="45">
        <v>50455</v>
      </c>
      <c r="AG44" s="45">
        <v>14806</v>
      </c>
      <c r="AH44" s="45">
        <v>35745</v>
      </c>
      <c r="AI44" s="45">
        <v>531</v>
      </c>
      <c r="AJ44" s="45">
        <v>52913</v>
      </c>
      <c r="AK44" s="45">
        <v>7781</v>
      </c>
      <c r="AL44" s="45">
        <v>292850</v>
      </c>
      <c r="AM44" s="45">
        <v>294151</v>
      </c>
      <c r="AN44" s="45">
        <v>92391</v>
      </c>
      <c r="AO44" s="45">
        <v>18287</v>
      </c>
      <c r="AP44" s="45">
        <v>5419</v>
      </c>
      <c r="AQ44" s="45">
        <v>2092</v>
      </c>
      <c r="AR44" s="45">
        <v>30490</v>
      </c>
      <c r="AS44" s="45">
        <v>297583</v>
      </c>
      <c r="AT44" s="45">
        <v>4521</v>
      </c>
      <c r="AU44" s="45">
        <v>565</v>
      </c>
      <c r="AV44" s="45">
        <v>178737</v>
      </c>
      <c r="AW44" s="45">
        <v>222190</v>
      </c>
      <c r="AX44" s="45">
        <v>40663</v>
      </c>
      <c r="AY44" s="45">
        <v>138802</v>
      </c>
      <c r="AZ44" s="45">
        <v>218321</v>
      </c>
      <c r="BA44" s="45">
        <v>63747</v>
      </c>
      <c r="BB44" s="45">
        <v>52118</v>
      </c>
      <c r="BC44" s="45">
        <v>15777</v>
      </c>
      <c r="BD44" s="45">
        <v>35950</v>
      </c>
      <c r="BE44" s="45">
        <v>130858</v>
      </c>
      <c r="BF44" s="45">
        <v>71620</v>
      </c>
      <c r="BG44" s="45">
        <v>298764</v>
      </c>
      <c r="BH44" s="45">
        <v>19471</v>
      </c>
      <c r="BI44" s="45">
        <v>0</v>
      </c>
      <c r="BJ44" s="45">
        <v>90074</v>
      </c>
      <c r="BK44" s="45">
        <v>5713</v>
      </c>
      <c r="BL44" s="45">
        <v>11618</v>
      </c>
      <c r="BM44" s="45">
        <v>1140</v>
      </c>
      <c r="BN44" s="45">
        <v>1494</v>
      </c>
      <c r="BO44" s="45">
        <v>3430</v>
      </c>
      <c r="BP44" s="45">
        <v>128618</v>
      </c>
      <c r="BQ44" s="45">
        <v>208521</v>
      </c>
      <c r="BR44" s="45">
        <v>94457</v>
      </c>
      <c r="BS44" s="45">
        <v>2400</v>
      </c>
      <c r="BT44" s="45">
        <v>23408</v>
      </c>
      <c r="BU44" s="45">
        <v>11161</v>
      </c>
      <c r="BV44" s="45">
        <v>166</v>
      </c>
      <c r="BW44" s="45">
        <v>7362</v>
      </c>
      <c r="BX44" s="45">
        <v>114526</v>
      </c>
      <c r="BY44" s="45">
        <v>50</v>
      </c>
      <c r="BZ44" s="45">
        <v>31030</v>
      </c>
      <c r="CA44" s="45">
        <v>0</v>
      </c>
      <c r="CB44" s="42">
        <v>4142332</v>
      </c>
      <c r="CC44" s="259"/>
      <c r="CD44" s="52">
        <v>2690217</v>
      </c>
      <c r="CE44" s="53">
        <v>598981</v>
      </c>
      <c r="CF44" s="54">
        <v>273533</v>
      </c>
      <c r="CG44" s="52">
        <v>5223692</v>
      </c>
      <c r="CH44" s="55">
        <v>12928755</v>
      </c>
      <c r="CI44" s="51">
        <f t="shared" si="0"/>
        <v>12928755</v>
      </c>
      <c r="CJ44" s="51">
        <f t="shared" si="1"/>
        <v>0</v>
      </c>
    </row>
    <row r="45" spans="1:88" x14ac:dyDescent="0.25">
      <c r="A45" s="8" t="s">
        <v>43</v>
      </c>
      <c r="B45" s="262"/>
      <c r="C45" s="43">
        <v>9</v>
      </c>
      <c r="D45" s="44">
        <v>56</v>
      </c>
      <c r="E45" s="44">
        <v>0</v>
      </c>
      <c r="F45" s="44">
        <v>35</v>
      </c>
      <c r="G45" s="44">
        <v>0</v>
      </c>
      <c r="H45" s="44">
        <v>65165</v>
      </c>
      <c r="I45" s="44">
        <v>18813</v>
      </c>
      <c r="J45" s="44">
        <v>0</v>
      </c>
      <c r="K45" s="44">
        <v>0</v>
      </c>
      <c r="L45" s="44">
        <v>0</v>
      </c>
      <c r="M45" s="44">
        <v>0</v>
      </c>
      <c r="N45" s="44">
        <v>329</v>
      </c>
      <c r="O45" s="44">
        <v>596</v>
      </c>
      <c r="P45" s="44">
        <v>22171</v>
      </c>
      <c r="Q45" s="45">
        <v>0</v>
      </c>
      <c r="R45" s="45">
        <v>2477</v>
      </c>
      <c r="S45" s="45">
        <v>17191</v>
      </c>
      <c r="T45" s="45">
        <v>1199</v>
      </c>
      <c r="U45" s="45">
        <v>0</v>
      </c>
      <c r="V45" s="45">
        <v>0</v>
      </c>
      <c r="W45" s="45">
        <v>424</v>
      </c>
      <c r="X45" s="45">
        <v>65</v>
      </c>
      <c r="Y45" s="45">
        <v>0</v>
      </c>
      <c r="Z45" s="45">
        <v>66</v>
      </c>
      <c r="AA45" s="45">
        <v>75</v>
      </c>
      <c r="AB45" s="45">
        <v>0</v>
      </c>
      <c r="AC45" s="45">
        <v>916</v>
      </c>
      <c r="AD45" s="45">
        <v>110</v>
      </c>
      <c r="AE45" s="45">
        <v>14</v>
      </c>
      <c r="AF45" s="45">
        <v>0</v>
      </c>
      <c r="AG45" s="45">
        <v>0</v>
      </c>
      <c r="AH45" s="45">
        <v>77</v>
      </c>
      <c r="AI45" s="45">
        <v>0</v>
      </c>
      <c r="AJ45" s="45">
        <v>0</v>
      </c>
      <c r="AK45" s="45">
        <v>8051</v>
      </c>
      <c r="AL45" s="45">
        <v>42815</v>
      </c>
      <c r="AM45" s="45">
        <v>196639</v>
      </c>
      <c r="AN45" s="45">
        <v>145</v>
      </c>
      <c r="AO45" s="45">
        <v>0</v>
      </c>
      <c r="AP45" s="45">
        <v>2415</v>
      </c>
      <c r="AQ45" s="45">
        <v>1476</v>
      </c>
      <c r="AR45" s="45">
        <v>3617</v>
      </c>
      <c r="AS45" s="45">
        <v>6132</v>
      </c>
      <c r="AT45" s="45">
        <v>205631</v>
      </c>
      <c r="AU45" s="45">
        <v>482946</v>
      </c>
      <c r="AV45" s="45">
        <v>1653</v>
      </c>
      <c r="AW45" s="45">
        <v>5123</v>
      </c>
      <c r="AX45" s="45">
        <v>4707</v>
      </c>
      <c r="AY45" s="45">
        <v>0</v>
      </c>
      <c r="AZ45" s="45">
        <v>0</v>
      </c>
      <c r="BA45" s="45">
        <v>0</v>
      </c>
      <c r="BB45" s="45">
        <v>5119</v>
      </c>
      <c r="BC45" s="45">
        <v>797</v>
      </c>
      <c r="BD45" s="45">
        <v>82485</v>
      </c>
      <c r="BE45" s="45">
        <v>135</v>
      </c>
      <c r="BF45" s="45">
        <v>110</v>
      </c>
      <c r="BG45" s="45">
        <v>128306</v>
      </c>
      <c r="BH45" s="45">
        <v>5402</v>
      </c>
      <c r="BI45" s="45">
        <v>0</v>
      </c>
      <c r="BJ45" s="45">
        <v>0</v>
      </c>
      <c r="BK45" s="45">
        <v>0</v>
      </c>
      <c r="BL45" s="45">
        <v>98</v>
      </c>
      <c r="BM45" s="45">
        <v>0</v>
      </c>
      <c r="BN45" s="45">
        <v>0</v>
      </c>
      <c r="BO45" s="45">
        <v>279</v>
      </c>
      <c r="BP45" s="45">
        <v>5914</v>
      </c>
      <c r="BQ45" s="45">
        <v>4095</v>
      </c>
      <c r="BR45" s="45">
        <v>3398</v>
      </c>
      <c r="BS45" s="45">
        <v>0</v>
      </c>
      <c r="BT45" s="45">
        <v>47500</v>
      </c>
      <c r="BU45" s="45">
        <v>410</v>
      </c>
      <c r="BV45" s="45">
        <v>1638</v>
      </c>
      <c r="BW45" s="45">
        <v>540</v>
      </c>
      <c r="BX45" s="45">
        <v>27</v>
      </c>
      <c r="BY45" s="45">
        <v>0</v>
      </c>
      <c r="BZ45" s="45">
        <v>3341</v>
      </c>
      <c r="CA45" s="45">
        <v>0</v>
      </c>
      <c r="CB45" s="42">
        <v>1380732</v>
      </c>
      <c r="CC45" s="259"/>
      <c r="CD45" s="52">
        <v>2243114</v>
      </c>
      <c r="CE45" s="53">
        <v>0</v>
      </c>
      <c r="CF45" s="54">
        <v>196849</v>
      </c>
      <c r="CG45" s="52">
        <v>2821831</v>
      </c>
      <c r="CH45" s="55">
        <v>6642526</v>
      </c>
      <c r="CI45" s="51">
        <f t="shared" si="0"/>
        <v>6642526</v>
      </c>
      <c r="CJ45" s="51">
        <f t="shared" si="1"/>
        <v>0</v>
      </c>
    </row>
    <row r="46" spans="1:88" x14ac:dyDescent="0.25">
      <c r="A46" s="8" t="s">
        <v>44</v>
      </c>
      <c r="B46" s="262"/>
      <c r="C46" s="43">
        <v>2533</v>
      </c>
      <c r="D46" s="44">
        <v>448</v>
      </c>
      <c r="E46" s="44">
        <v>5</v>
      </c>
      <c r="F46" s="44">
        <v>6618</v>
      </c>
      <c r="G46" s="44">
        <v>4599</v>
      </c>
      <c r="H46" s="44">
        <v>101192</v>
      </c>
      <c r="I46" s="44">
        <v>1733</v>
      </c>
      <c r="J46" s="44">
        <v>1930</v>
      </c>
      <c r="K46" s="44">
        <v>1660</v>
      </c>
      <c r="L46" s="44">
        <v>3775</v>
      </c>
      <c r="M46" s="44">
        <v>531</v>
      </c>
      <c r="N46" s="44">
        <v>2082</v>
      </c>
      <c r="O46" s="44">
        <v>966</v>
      </c>
      <c r="P46" s="44">
        <v>6321</v>
      </c>
      <c r="Q46" s="45">
        <v>684</v>
      </c>
      <c r="R46" s="45">
        <v>177579</v>
      </c>
      <c r="S46" s="45">
        <v>287684</v>
      </c>
      <c r="T46" s="45">
        <v>10502</v>
      </c>
      <c r="U46" s="45">
        <v>7201</v>
      </c>
      <c r="V46" s="45">
        <v>1818</v>
      </c>
      <c r="W46" s="45">
        <v>13804</v>
      </c>
      <c r="X46" s="45">
        <v>60</v>
      </c>
      <c r="Y46" s="45">
        <v>13344</v>
      </c>
      <c r="Z46" s="45">
        <v>575</v>
      </c>
      <c r="AA46" s="45">
        <v>53512</v>
      </c>
      <c r="AB46" s="45">
        <v>25712</v>
      </c>
      <c r="AC46" s="45">
        <v>7167</v>
      </c>
      <c r="AD46" s="45">
        <v>45</v>
      </c>
      <c r="AE46" s="45">
        <v>6693</v>
      </c>
      <c r="AF46" s="45">
        <v>26513</v>
      </c>
      <c r="AG46" s="45">
        <v>1242</v>
      </c>
      <c r="AH46" s="45">
        <v>8745</v>
      </c>
      <c r="AI46" s="45">
        <v>126</v>
      </c>
      <c r="AJ46" s="45">
        <v>36854</v>
      </c>
      <c r="AK46" s="45">
        <v>4421</v>
      </c>
      <c r="AL46" s="45">
        <v>148655</v>
      </c>
      <c r="AM46" s="45">
        <v>61161</v>
      </c>
      <c r="AN46" s="45">
        <v>16365</v>
      </c>
      <c r="AO46" s="45">
        <v>3344</v>
      </c>
      <c r="AP46" s="45">
        <v>383</v>
      </c>
      <c r="AQ46" s="45">
        <v>57134</v>
      </c>
      <c r="AR46" s="45">
        <v>153122</v>
      </c>
      <c r="AS46" s="45">
        <v>23282</v>
      </c>
      <c r="AT46" s="45">
        <v>1505184</v>
      </c>
      <c r="AU46" s="45">
        <v>1731154</v>
      </c>
      <c r="AV46" s="45">
        <v>152794</v>
      </c>
      <c r="AW46" s="45">
        <v>49767</v>
      </c>
      <c r="AX46" s="45">
        <v>6502</v>
      </c>
      <c r="AY46" s="45">
        <v>869</v>
      </c>
      <c r="AZ46" s="45">
        <v>1320</v>
      </c>
      <c r="BA46" s="45">
        <v>755</v>
      </c>
      <c r="BB46" s="45">
        <v>300145</v>
      </c>
      <c r="BC46" s="45">
        <v>7535</v>
      </c>
      <c r="BD46" s="45">
        <v>1132</v>
      </c>
      <c r="BE46" s="45">
        <v>611</v>
      </c>
      <c r="BF46" s="45">
        <v>8612</v>
      </c>
      <c r="BG46" s="45">
        <v>139783</v>
      </c>
      <c r="BH46" s="45">
        <v>57</v>
      </c>
      <c r="BI46" s="45">
        <v>0</v>
      </c>
      <c r="BJ46" s="45">
        <v>4169</v>
      </c>
      <c r="BK46" s="45">
        <v>16</v>
      </c>
      <c r="BL46" s="45">
        <v>814</v>
      </c>
      <c r="BM46" s="45">
        <v>594</v>
      </c>
      <c r="BN46" s="45">
        <v>642</v>
      </c>
      <c r="BO46" s="45">
        <v>123708</v>
      </c>
      <c r="BP46" s="45">
        <v>137785</v>
      </c>
      <c r="BQ46" s="45">
        <v>9137</v>
      </c>
      <c r="BR46" s="45">
        <v>7131</v>
      </c>
      <c r="BS46" s="45">
        <v>7315</v>
      </c>
      <c r="BT46" s="45">
        <v>14896</v>
      </c>
      <c r="BU46" s="45">
        <v>1388</v>
      </c>
      <c r="BV46" s="45">
        <v>213</v>
      </c>
      <c r="BW46" s="45">
        <v>5761</v>
      </c>
      <c r="BX46" s="45">
        <v>4696</v>
      </c>
      <c r="BY46" s="45">
        <v>0</v>
      </c>
      <c r="BZ46" s="45">
        <v>20500</v>
      </c>
      <c r="CA46" s="45">
        <v>0</v>
      </c>
      <c r="CB46" s="42">
        <v>5527105</v>
      </c>
      <c r="CC46" s="259"/>
      <c r="CD46" s="52">
        <v>3202023</v>
      </c>
      <c r="CE46" s="53">
        <v>374695</v>
      </c>
      <c r="CF46" s="54">
        <v>-86650</v>
      </c>
      <c r="CG46" s="52">
        <v>0</v>
      </c>
      <c r="CH46" s="55">
        <v>9017173</v>
      </c>
      <c r="CI46" s="51">
        <f t="shared" si="0"/>
        <v>9017173</v>
      </c>
      <c r="CJ46" s="51">
        <f t="shared" si="1"/>
        <v>0</v>
      </c>
    </row>
    <row r="47" spans="1:88" x14ac:dyDescent="0.25">
      <c r="A47" s="8" t="s">
        <v>45</v>
      </c>
      <c r="B47" s="262"/>
      <c r="C47" s="43">
        <v>63537</v>
      </c>
      <c r="D47" s="44">
        <v>21404</v>
      </c>
      <c r="E47" s="44">
        <v>853</v>
      </c>
      <c r="F47" s="44">
        <v>17138</v>
      </c>
      <c r="G47" s="44">
        <v>21676</v>
      </c>
      <c r="H47" s="44">
        <v>278156</v>
      </c>
      <c r="I47" s="44">
        <v>24682</v>
      </c>
      <c r="J47" s="44">
        <v>3156</v>
      </c>
      <c r="K47" s="44">
        <v>33440</v>
      </c>
      <c r="L47" s="44">
        <v>33694</v>
      </c>
      <c r="M47" s="44">
        <v>17068</v>
      </c>
      <c r="N47" s="44">
        <v>99261</v>
      </c>
      <c r="O47" s="44">
        <v>43221</v>
      </c>
      <c r="P47" s="44">
        <v>35691</v>
      </c>
      <c r="Q47" s="45">
        <v>18145</v>
      </c>
      <c r="R47" s="45">
        <v>370428</v>
      </c>
      <c r="S47" s="45">
        <v>28586</v>
      </c>
      <c r="T47" s="45">
        <v>102262</v>
      </c>
      <c r="U47" s="45">
        <v>129474</v>
      </c>
      <c r="V47" s="45">
        <v>15853</v>
      </c>
      <c r="W47" s="45">
        <v>355201</v>
      </c>
      <c r="X47" s="45">
        <v>17601</v>
      </c>
      <c r="Y47" s="45">
        <v>84529</v>
      </c>
      <c r="Z47" s="45">
        <v>89241</v>
      </c>
      <c r="AA47" s="45">
        <v>287947</v>
      </c>
      <c r="AB47" s="45">
        <v>40401</v>
      </c>
      <c r="AC47" s="45">
        <v>216062</v>
      </c>
      <c r="AD47" s="45">
        <v>12138</v>
      </c>
      <c r="AE47" s="45">
        <v>40258</v>
      </c>
      <c r="AF47" s="45">
        <v>170104</v>
      </c>
      <c r="AG47" s="45">
        <v>20489</v>
      </c>
      <c r="AH47" s="45">
        <v>89416</v>
      </c>
      <c r="AI47" s="45">
        <v>16913</v>
      </c>
      <c r="AJ47" s="45">
        <v>534447</v>
      </c>
      <c r="AK47" s="45">
        <v>692179</v>
      </c>
      <c r="AL47" s="45">
        <v>791574</v>
      </c>
      <c r="AM47" s="45">
        <v>263676</v>
      </c>
      <c r="AN47" s="45">
        <v>1241157</v>
      </c>
      <c r="AO47" s="45">
        <v>48147</v>
      </c>
      <c r="AP47" s="45">
        <v>784554</v>
      </c>
      <c r="AQ47" s="45">
        <v>71220</v>
      </c>
      <c r="AR47" s="45">
        <v>46014</v>
      </c>
      <c r="AS47" s="45">
        <v>52089</v>
      </c>
      <c r="AT47" s="45">
        <v>31850</v>
      </c>
      <c r="AU47" s="45">
        <v>156189</v>
      </c>
      <c r="AV47" s="45">
        <v>1997298</v>
      </c>
      <c r="AW47" s="45">
        <v>587371</v>
      </c>
      <c r="AX47" s="45">
        <v>74537</v>
      </c>
      <c r="AY47" s="45">
        <v>635364</v>
      </c>
      <c r="AZ47" s="45">
        <v>783929</v>
      </c>
      <c r="BA47" s="45">
        <v>473439</v>
      </c>
      <c r="BB47" s="45">
        <v>409264</v>
      </c>
      <c r="BC47" s="45">
        <v>84144</v>
      </c>
      <c r="BD47" s="45">
        <v>283406</v>
      </c>
      <c r="BE47" s="45">
        <v>78025</v>
      </c>
      <c r="BF47" s="45">
        <v>133125</v>
      </c>
      <c r="BG47" s="45">
        <v>161171</v>
      </c>
      <c r="BH47" s="45">
        <v>98283</v>
      </c>
      <c r="BI47" s="45">
        <v>689</v>
      </c>
      <c r="BJ47" s="45">
        <v>116835</v>
      </c>
      <c r="BK47" s="45">
        <v>55624</v>
      </c>
      <c r="BL47" s="45">
        <v>57501</v>
      </c>
      <c r="BM47" s="45">
        <v>137172</v>
      </c>
      <c r="BN47" s="45">
        <v>50944</v>
      </c>
      <c r="BO47" s="45">
        <v>51977</v>
      </c>
      <c r="BP47" s="45">
        <v>561614</v>
      </c>
      <c r="BQ47" s="45">
        <v>201696</v>
      </c>
      <c r="BR47" s="45">
        <v>491320</v>
      </c>
      <c r="BS47" s="45">
        <v>38079</v>
      </c>
      <c r="BT47" s="45">
        <v>59019</v>
      </c>
      <c r="BU47" s="45">
        <v>10726</v>
      </c>
      <c r="BV47" s="45">
        <v>2801</v>
      </c>
      <c r="BW47" s="45">
        <v>39036</v>
      </c>
      <c r="BX47" s="45">
        <v>202544</v>
      </c>
      <c r="BY47" s="45">
        <v>13130</v>
      </c>
      <c r="BZ47" s="45">
        <v>98747</v>
      </c>
      <c r="CA47" s="45">
        <v>0</v>
      </c>
      <c r="CB47" s="42">
        <v>15499931</v>
      </c>
      <c r="CC47" s="259"/>
      <c r="CD47" s="52">
        <v>25245304</v>
      </c>
      <c r="CE47" s="53">
        <v>-118502</v>
      </c>
      <c r="CF47" s="54">
        <v>9715</v>
      </c>
      <c r="CG47" s="52">
        <v>2609290</v>
      </c>
      <c r="CH47" s="55">
        <v>43245738</v>
      </c>
      <c r="CI47" s="51">
        <f t="shared" si="0"/>
        <v>43245738</v>
      </c>
      <c r="CJ47" s="51">
        <f t="shared" si="1"/>
        <v>0</v>
      </c>
    </row>
    <row r="48" spans="1:88" x14ac:dyDescent="0.25">
      <c r="A48" s="14" t="s">
        <v>46</v>
      </c>
      <c r="B48" s="262"/>
      <c r="C48" s="43">
        <v>5435</v>
      </c>
      <c r="D48" s="44">
        <v>1579</v>
      </c>
      <c r="E48" s="44">
        <v>63</v>
      </c>
      <c r="F48" s="44">
        <v>46414</v>
      </c>
      <c r="G48" s="44">
        <v>16164</v>
      </c>
      <c r="H48" s="44">
        <v>284934</v>
      </c>
      <c r="I48" s="44">
        <v>99776</v>
      </c>
      <c r="J48" s="44">
        <v>44842</v>
      </c>
      <c r="K48" s="44">
        <v>18645</v>
      </c>
      <c r="L48" s="44">
        <v>5692</v>
      </c>
      <c r="M48" s="44">
        <v>6243</v>
      </c>
      <c r="N48" s="44">
        <v>46152</v>
      </c>
      <c r="O48" s="44">
        <v>71056</v>
      </c>
      <c r="P48" s="44">
        <v>285902</v>
      </c>
      <c r="Q48" s="45">
        <v>60409</v>
      </c>
      <c r="R48" s="45">
        <v>242152</v>
      </c>
      <c r="S48" s="45">
        <v>72687</v>
      </c>
      <c r="T48" s="45">
        <v>237904</v>
      </c>
      <c r="U48" s="45">
        <v>90574</v>
      </c>
      <c r="V48" s="45">
        <v>141532</v>
      </c>
      <c r="W48" s="45">
        <v>227320</v>
      </c>
      <c r="X48" s="45">
        <v>99800</v>
      </c>
      <c r="Y48" s="45">
        <v>212954</v>
      </c>
      <c r="Z48" s="45">
        <v>71432</v>
      </c>
      <c r="AA48" s="45">
        <v>250030</v>
      </c>
      <c r="AB48" s="45">
        <v>71423</v>
      </c>
      <c r="AC48" s="45">
        <v>54098</v>
      </c>
      <c r="AD48" s="45">
        <v>17782</v>
      </c>
      <c r="AE48" s="45">
        <v>132700</v>
      </c>
      <c r="AF48" s="45">
        <v>625628</v>
      </c>
      <c r="AG48" s="45">
        <v>16310</v>
      </c>
      <c r="AH48" s="45">
        <v>15706</v>
      </c>
      <c r="AI48" s="45">
        <v>6761</v>
      </c>
      <c r="AJ48" s="45">
        <v>412551</v>
      </c>
      <c r="AK48" s="45">
        <v>372115</v>
      </c>
      <c r="AL48" s="45">
        <v>1798374</v>
      </c>
      <c r="AM48" s="45">
        <v>1124712</v>
      </c>
      <c r="AN48" s="45">
        <v>388004</v>
      </c>
      <c r="AO48" s="45">
        <v>27111</v>
      </c>
      <c r="AP48" s="45">
        <v>477220</v>
      </c>
      <c r="AQ48" s="45">
        <v>79102</v>
      </c>
      <c r="AR48" s="45">
        <v>18512</v>
      </c>
      <c r="AS48" s="45">
        <v>713035</v>
      </c>
      <c r="AT48" s="45">
        <v>47493</v>
      </c>
      <c r="AU48" s="45">
        <v>8356</v>
      </c>
      <c r="AV48" s="45">
        <v>1684657</v>
      </c>
      <c r="AW48" s="45">
        <v>5612551</v>
      </c>
      <c r="AX48" s="45">
        <v>712629</v>
      </c>
      <c r="AY48" s="45">
        <v>1407170</v>
      </c>
      <c r="AZ48" s="45">
        <v>793535</v>
      </c>
      <c r="BA48" s="45">
        <v>735496</v>
      </c>
      <c r="BB48" s="45">
        <v>295204</v>
      </c>
      <c r="BC48" s="45">
        <v>907796</v>
      </c>
      <c r="BD48" s="45">
        <v>969561</v>
      </c>
      <c r="BE48" s="45">
        <v>169218</v>
      </c>
      <c r="BF48" s="45">
        <v>179691</v>
      </c>
      <c r="BG48" s="45">
        <v>326884</v>
      </c>
      <c r="BH48" s="45">
        <v>30249</v>
      </c>
      <c r="BI48" s="45">
        <v>1151</v>
      </c>
      <c r="BJ48" s="45">
        <v>124749</v>
      </c>
      <c r="BK48" s="45">
        <v>51778</v>
      </c>
      <c r="BL48" s="45">
        <v>10018</v>
      </c>
      <c r="BM48" s="45">
        <v>36020</v>
      </c>
      <c r="BN48" s="45">
        <v>24599</v>
      </c>
      <c r="BO48" s="45">
        <v>50264</v>
      </c>
      <c r="BP48" s="45">
        <v>353098</v>
      </c>
      <c r="BQ48" s="45">
        <v>268169</v>
      </c>
      <c r="BR48" s="45">
        <v>180582</v>
      </c>
      <c r="BS48" s="45">
        <v>18066</v>
      </c>
      <c r="BT48" s="45">
        <v>37399</v>
      </c>
      <c r="BU48" s="45">
        <v>10582</v>
      </c>
      <c r="BV48" s="45">
        <v>30664</v>
      </c>
      <c r="BW48" s="45">
        <v>43164</v>
      </c>
      <c r="BX48" s="45">
        <v>66577</v>
      </c>
      <c r="BY48" s="45">
        <v>142743</v>
      </c>
      <c r="BZ48" s="45">
        <v>50737</v>
      </c>
      <c r="CA48" s="45">
        <v>0</v>
      </c>
      <c r="CB48" s="42">
        <v>24371685</v>
      </c>
      <c r="CC48" s="259"/>
      <c r="CD48" s="52">
        <v>0</v>
      </c>
      <c r="CE48" s="53">
        <v>338042</v>
      </c>
      <c r="CF48" s="54">
        <v>5879223</v>
      </c>
      <c r="CG48" s="52">
        <v>13200002</v>
      </c>
      <c r="CH48" s="55">
        <v>43788952</v>
      </c>
      <c r="CI48" s="51">
        <f t="shared" si="0"/>
        <v>43788952</v>
      </c>
      <c r="CJ48" s="51">
        <f t="shared" si="1"/>
        <v>0</v>
      </c>
    </row>
    <row r="49" spans="1:88" x14ac:dyDescent="0.25">
      <c r="A49" s="8" t="s">
        <v>47</v>
      </c>
      <c r="B49" s="262"/>
      <c r="C49" s="43">
        <v>1931</v>
      </c>
      <c r="D49" s="44">
        <v>2887</v>
      </c>
      <c r="E49" s="44">
        <v>32</v>
      </c>
      <c r="F49" s="44">
        <v>27719</v>
      </c>
      <c r="G49" s="44">
        <v>3318</v>
      </c>
      <c r="H49" s="44">
        <v>56967</v>
      </c>
      <c r="I49" s="44">
        <v>18966</v>
      </c>
      <c r="J49" s="44">
        <v>13101</v>
      </c>
      <c r="K49" s="44">
        <v>1943</v>
      </c>
      <c r="L49" s="44">
        <v>1041</v>
      </c>
      <c r="M49" s="44">
        <v>1129</v>
      </c>
      <c r="N49" s="44">
        <v>5520</v>
      </c>
      <c r="O49" s="44">
        <v>7820</v>
      </c>
      <c r="P49" s="44">
        <v>24360</v>
      </c>
      <c r="Q49" s="45">
        <v>6648</v>
      </c>
      <c r="R49" s="45">
        <v>48020</v>
      </c>
      <c r="S49" s="45">
        <v>50239</v>
      </c>
      <c r="T49" s="45">
        <v>65084</v>
      </c>
      <c r="U49" s="45">
        <v>10091</v>
      </c>
      <c r="V49" s="45">
        <v>19931</v>
      </c>
      <c r="W49" s="45">
        <v>16857</v>
      </c>
      <c r="X49" s="45">
        <v>33109</v>
      </c>
      <c r="Y49" s="45">
        <v>58026</v>
      </c>
      <c r="Z49" s="45">
        <v>3754</v>
      </c>
      <c r="AA49" s="45">
        <v>10891</v>
      </c>
      <c r="AB49" s="45">
        <v>16373</v>
      </c>
      <c r="AC49" s="45">
        <v>7062</v>
      </c>
      <c r="AD49" s="45">
        <v>5083</v>
      </c>
      <c r="AE49" s="45">
        <v>5392</v>
      </c>
      <c r="AF49" s="45">
        <v>45631</v>
      </c>
      <c r="AG49" s="45">
        <v>5335</v>
      </c>
      <c r="AH49" s="45">
        <v>2974</v>
      </c>
      <c r="AI49" s="45">
        <v>1460</v>
      </c>
      <c r="AJ49" s="45">
        <v>122864</v>
      </c>
      <c r="AK49" s="45">
        <v>155040</v>
      </c>
      <c r="AL49" s="45">
        <v>574824</v>
      </c>
      <c r="AM49" s="45">
        <v>379608</v>
      </c>
      <c r="AN49" s="45">
        <v>197765</v>
      </c>
      <c r="AO49" s="45">
        <v>78061</v>
      </c>
      <c r="AP49" s="45">
        <v>65987</v>
      </c>
      <c r="AQ49" s="45">
        <v>14682</v>
      </c>
      <c r="AR49" s="45">
        <v>9158</v>
      </c>
      <c r="AS49" s="45">
        <v>236009</v>
      </c>
      <c r="AT49" s="45">
        <v>9235</v>
      </c>
      <c r="AU49" s="45">
        <v>1034684</v>
      </c>
      <c r="AV49" s="45">
        <v>383744</v>
      </c>
      <c r="AW49" s="45">
        <v>758069</v>
      </c>
      <c r="AX49" s="45">
        <v>1532828</v>
      </c>
      <c r="AY49" s="45">
        <v>757425</v>
      </c>
      <c r="AZ49" s="45">
        <v>403012</v>
      </c>
      <c r="BA49" s="45">
        <v>185251</v>
      </c>
      <c r="BB49" s="45">
        <v>1244771</v>
      </c>
      <c r="BC49" s="45">
        <v>48055</v>
      </c>
      <c r="BD49" s="45">
        <v>106179</v>
      </c>
      <c r="BE49" s="45">
        <v>10826</v>
      </c>
      <c r="BF49" s="45">
        <v>18169</v>
      </c>
      <c r="BG49" s="45">
        <v>120261</v>
      </c>
      <c r="BH49" s="45">
        <v>3179</v>
      </c>
      <c r="BI49" s="45">
        <v>0</v>
      </c>
      <c r="BJ49" s="45">
        <v>11006</v>
      </c>
      <c r="BK49" s="45">
        <v>2020</v>
      </c>
      <c r="BL49" s="45">
        <v>2982</v>
      </c>
      <c r="BM49" s="45">
        <v>9213</v>
      </c>
      <c r="BN49" s="45">
        <v>133</v>
      </c>
      <c r="BO49" s="45">
        <v>17088</v>
      </c>
      <c r="BP49" s="45">
        <v>5011</v>
      </c>
      <c r="BQ49" s="45">
        <v>344256</v>
      </c>
      <c r="BR49" s="45">
        <v>38320</v>
      </c>
      <c r="BS49" s="45">
        <v>429</v>
      </c>
      <c r="BT49" s="45">
        <v>12566</v>
      </c>
      <c r="BU49" s="45">
        <v>2191</v>
      </c>
      <c r="BV49" s="45">
        <v>246</v>
      </c>
      <c r="BW49" s="45">
        <v>652</v>
      </c>
      <c r="BX49" s="45">
        <v>91</v>
      </c>
      <c r="BY49" s="45">
        <v>872</v>
      </c>
      <c r="BZ49" s="45">
        <v>2639</v>
      </c>
      <c r="CA49" s="45">
        <v>0</v>
      </c>
      <c r="CB49" s="42">
        <v>9478095</v>
      </c>
      <c r="CC49" s="259"/>
      <c r="CD49" s="52">
        <v>409907</v>
      </c>
      <c r="CE49" s="53">
        <v>29650</v>
      </c>
      <c r="CF49" s="54">
        <v>-718</v>
      </c>
      <c r="CG49" s="52">
        <v>529886</v>
      </c>
      <c r="CH49" s="55">
        <v>10446820</v>
      </c>
      <c r="CI49" s="51">
        <f t="shared" si="0"/>
        <v>10446820</v>
      </c>
      <c r="CJ49" s="51">
        <f t="shared" si="1"/>
        <v>0</v>
      </c>
    </row>
    <row r="50" spans="1:88" x14ac:dyDescent="0.25">
      <c r="A50" s="8" t="s">
        <v>48</v>
      </c>
      <c r="B50" s="262"/>
      <c r="C50" s="43">
        <v>626176</v>
      </c>
      <c r="D50" s="44">
        <v>89068</v>
      </c>
      <c r="E50" s="44">
        <v>4083</v>
      </c>
      <c r="F50" s="44">
        <v>75491</v>
      </c>
      <c r="G50" s="44">
        <v>125768</v>
      </c>
      <c r="H50" s="44">
        <v>1125482</v>
      </c>
      <c r="I50" s="44">
        <v>171423</v>
      </c>
      <c r="J50" s="44">
        <v>30524</v>
      </c>
      <c r="K50" s="44">
        <v>111632</v>
      </c>
      <c r="L50" s="44">
        <v>60773</v>
      </c>
      <c r="M50" s="44">
        <v>40356</v>
      </c>
      <c r="N50" s="44">
        <v>233241</v>
      </c>
      <c r="O50" s="44">
        <v>173166</v>
      </c>
      <c r="P50" s="44">
        <v>130121</v>
      </c>
      <c r="Q50" s="45">
        <v>422481</v>
      </c>
      <c r="R50" s="45">
        <v>284073</v>
      </c>
      <c r="S50" s="45">
        <v>59275</v>
      </c>
      <c r="T50" s="45">
        <v>387372</v>
      </c>
      <c r="U50" s="45">
        <v>243500</v>
      </c>
      <c r="V50" s="45">
        <v>455691</v>
      </c>
      <c r="W50" s="45">
        <v>612807</v>
      </c>
      <c r="X50" s="45">
        <v>162111</v>
      </c>
      <c r="Y50" s="45">
        <v>257032</v>
      </c>
      <c r="Z50" s="45">
        <v>210618</v>
      </c>
      <c r="AA50" s="45">
        <v>594988</v>
      </c>
      <c r="AB50" s="45">
        <v>169182</v>
      </c>
      <c r="AC50" s="45">
        <v>182772</v>
      </c>
      <c r="AD50" s="45">
        <v>60874</v>
      </c>
      <c r="AE50" s="45">
        <v>259096</v>
      </c>
      <c r="AF50" s="45">
        <v>486082</v>
      </c>
      <c r="AG50" s="45">
        <v>28917</v>
      </c>
      <c r="AH50" s="45">
        <v>168598</v>
      </c>
      <c r="AI50" s="45">
        <v>62940</v>
      </c>
      <c r="AJ50" s="45">
        <v>1763970</v>
      </c>
      <c r="AK50" s="45">
        <v>1027820</v>
      </c>
      <c r="AL50" s="45">
        <v>1461285</v>
      </c>
      <c r="AM50" s="45">
        <v>1157634</v>
      </c>
      <c r="AN50" s="45">
        <v>964166</v>
      </c>
      <c r="AO50" s="45">
        <v>67622</v>
      </c>
      <c r="AP50" s="45">
        <v>529068</v>
      </c>
      <c r="AQ50" s="45">
        <v>61054</v>
      </c>
      <c r="AR50" s="45">
        <v>133606</v>
      </c>
      <c r="AS50" s="45">
        <v>127964</v>
      </c>
      <c r="AT50" s="45">
        <v>120871</v>
      </c>
      <c r="AU50" s="45">
        <v>59393</v>
      </c>
      <c r="AV50" s="45">
        <v>381754</v>
      </c>
      <c r="AW50" s="45">
        <v>215136</v>
      </c>
      <c r="AX50" s="45">
        <v>86079</v>
      </c>
      <c r="AY50" s="45">
        <v>7845747</v>
      </c>
      <c r="AZ50" s="45">
        <v>415069</v>
      </c>
      <c r="BA50" s="45">
        <v>1804366</v>
      </c>
      <c r="BB50" s="45">
        <v>3874153</v>
      </c>
      <c r="BC50" s="45">
        <v>163921</v>
      </c>
      <c r="BD50" s="45">
        <v>349881</v>
      </c>
      <c r="BE50" s="45">
        <v>213796</v>
      </c>
      <c r="BF50" s="45">
        <v>221685</v>
      </c>
      <c r="BG50" s="45">
        <v>376327</v>
      </c>
      <c r="BH50" s="45">
        <v>155732</v>
      </c>
      <c r="BI50" s="45">
        <v>41610</v>
      </c>
      <c r="BJ50" s="45">
        <v>151310</v>
      </c>
      <c r="BK50" s="45">
        <v>77369</v>
      </c>
      <c r="BL50" s="45">
        <v>87878</v>
      </c>
      <c r="BM50" s="45">
        <v>90311</v>
      </c>
      <c r="BN50" s="45">
        <v>129910</v>
      </c>
      <c r="BO50" s="45">
        <v>147932</v>
      </c>
      <c r="BP50" s="45">
        <v>785751</v>
      </c>
      <c r="BQ50" s="45">
        <v>833479</v>
      </c>
      <c r="BR50" s="45">
        <v>650117</v>
      </c>
      <c r="BS50" s="45">
        <v>181447</v>
      </c>
      <c r="BT50" s="45">
        <v>154504</v>
      </c>
      <c r="BU50" s="45">
        <v>26616</v>
      </c>
      <c r="BV50" s="45">
        <v>56499</v>
      </c>
      <c r="BW50" s="45">
        <v>81741</v>
      </c>
      <c r="BX50" s="45">
        <v>178660</v>
      </c>
      <c r="BY50" s="45">
        <v>77501</v>
      </c>
      <c r="BZ50" s="45">
        <v>119396</v>
      </c>
      <c r="CA50" s="45">
        <v>0</v>
      </c>
      <c r="CB50" s="42">
        <v>35555843</v>
      </c>
      <c r="CC50" s="259"/>
      <c r="CD50" s="52">
        <v>27411018</v>
      </c>
      <c r="CE50" s="53">
        <v>0</v>
      </c>
      <c r="CF50" s="54">
        <v>-5</v>
      </c>
      <c r="CG50" s="52">
        <v>2499728</v>
      </c>
      <c r="CH50" s="55">
        <v>65466584</v>
      </c>
      <c r="CI50" s="51">
        <f t="shared" si="0"/>
        <v>65466584</v>
      </c>
      <c r="CJ50" s="51">
        <f t="shared" si="1"/>
        <v>0</v>
      </c>
    </row>
    <row r="51" spans="1:88" x14ac:dyDescent="0.25">
      <c r="A51" s="8" t="s">
        <v>49</v>
      </c>
      <c r="B51" s="262"/>
      <c r="C51" s="43">
        <v>1010627</v>
      </c>
      <c r="D51" s="44">
        <v>11227</v>
      </c>
      <c r="E51" s="44">
        <v>898</v>
      </c>
      <c r="F51" s="44">
        <v>32511</v>
      </c>
      <c r="G51" s="44">
        <v>16461</v>
      </c>
      <c r="H51" s="44">
        <v>67487</v>
      </c>
      <c r="I51" s="44">
        <v>8588</v>
      </c>
      <c r="J51" s="44">
        <v>1586</v>
      </c>
      <c r="K51" s="44">
        <v>5696</v>
      </c>
      <c r="L51" s="44">
        <v>7596</v>
      </c>
      <c r="M51" s="44">
        <v>2195</v>
      </c>
      <c r="N51" s="44">
        <v>30728</v>
      </c>
      <c r="O51" s="44">
        <v>19310</v>
      </c>
      <c r="P51" s="44">
        <v>8497</v>
      </c>
      <c r="Q51" s="45">
        <v>28675</v>
      </c>
      <c r="R51" s="45">
        <v>44892</v>
      </c>
      <c r="S51" s="45">
        <v>9325</v>
      </c>
      <c r="T51" s="45">
        <v>51051</v>
      </c>
      <c r="U51" s="45">
        <v>29655</v>
      </c>
      <c r="V51" s="45">
        <v>20281</v>
      </c>
      <c r="W51" s="45">
        <v>56345</v>
      </c>
      <c r="X51" s="45">
        <v>10720</v>
      </c>
      <c r="Y51" s="45">
        <v>26688</v>
      </c>
      <c r="Z51" s="45">
        <v>24971</v>
      </c>
      <c r="AA51" s="45">
        <v>45487</v>
      </c>
      <c r="AB51" s="45">
        <v>11558</v>
      </c>
      <c r="AC51" s="45">
        <v>19346</v>
      </c>
      <c r="AD51" s="45">
        <v>7010</v>
      </c>
      <c r="AE51" s="45">
        <v>26160</v>
      </c>
      <c r="AF51" s="45">
        <v>124287</v>
      </c>
      <c r="AG51" s="45">
        <v>9178</v>
      </c>
      <c r="AH51" s="45">
        <v>27528</v>
      </c>
      <c r="AI51" s="45">
        <v>30592</v>
      </c>
      <c r="AJ51" s="45">
        <v>479808</v>
      </c>
      <c r="AK51" s="45">
        <v>89887</v>
      </c>
      <c r="AL51" s="45">
        <v>308205</v>
      </c>
      <c r="AM51" s="45">
        <v>147544</v>
      </c>
      <c r="AN51" s="45">
        <v>373662</v>
      </c>
      <c r="AO51" s="45">
        <v>14951</v>
      </c>
      <c r="AP51" s="45">
        <v>146206</v>
      </c>
      <c r="AQ51" s="45">
        <v>16134</v>
      </c>
      <c r="AR51" s="45">
        <v>23816</v>
      </c>
      <c r="AS51" s="45">
        <v>4256</v>
      </c>
      <c r="AT51" s="45">
        <v>2395</v>
      </c>
      <c r="AU51" s="45">
        <v>2526</v>
      </c>
      <c r="AV51" s="45">
        <v>10712</v>
      </c>
      <c r="AW51" s="45">
        <v>10255</v>
      </c>
      <c r="AX51" s="45">
        <v>1658</v>
      </c>
      <c r="AY51" s="45">
        <v>465287</v>
      </c>
      <c r="AZ51" s="45">
        <v>1445724</v>
      </c>
      <c r="BA51" s="45">
        <v>631947</v>
      </c>
      <c r="BB51" s="45">
        <v>232922</v>
      </c>
      <c r="BC51" s="45">
        <v>7543</v>
      </c>
      <c r="BD51" s="45">
        <v>8638</v>
      </c>
      <c r="BE51" s="45">
        <v>22743</v>
      </c>
      <c r="BF51" s="45">
        <v>23049</v>
      </c>
      <c r="BG51" s="45">
        <v>41110</v>
      </c>
      <c r="BH51" s="45">
        <v>1243</v>
      </c>
      <c r="BI51" s="45">
        <v>1360</v>
      </c>
      <c r="BJ51" s="45">
        <v>72944</v>
      </c>
      <c r="BK51" s="45">
        <v>8215</v>
      </c>
      <c r="BL51" s="45">
        <v>15801</v>
      </c>
      <c r="BM51" s="45">
        <v>14768</v>
      </c>
      <c r="BN51" s="45">
        <v>18047</v>
      </c>
      <c r="BO51" s="45">
        <v>51900</v>
      </c>
      <c r="BP51" s="45">
        <v>173091</v>
      </c>
      <c r="BQ51" s="45">
        <v>59575</v>
      </c>
      <c r="BR51" s="45">
        <v>60137</v>
      </c>
      <c r="BS51" s="45">
        <v>23023</v>
      </c>
      <c r="BT51" s="45">
        <v>5009</v>
      </c>
      <c r="BU51" s="45">
        <v>6062</v>
      </c>
      <c r="BV51" s="45">
        <v>619</v>
      </c>
      <c r="BW51" s="45">
        <v>14820</v>
      </c>
      <c r="BX51" s="45">
        <v>3838</v>
      </c>
      <c r="BY51" s="45">
        <v>6259</v>
      </c>
      <c r="BZ51" s="45">
        <v>2095</v>
      </c>
      <c r="CA51" s="45">
        <v>0</v>
      </c>
      <c r="CB51" s="42">
        <v>6876940</v>
      </c>
      <c r="CC51" s="259"/>
      <c r="CD51" s="52">
        <v>15317288</v>
      </c>
      <c r="CE51" s="53">
        <v>7830</v>
      </c>
      <c r="CF51" s="54">
        <v>-2</v>
      </c>
      <c r="CG51" s="52">
        <v>1591318</v>
      </c>
      <c r="CH51" s="55">
        <v>23793374</v>
      </c>
      <c r="CI51" s="51">
        <f t="shared" si="0"/>
        <v>23793374</v>
      </c>
      <c r="CJ51" s="51">
        <f t="shared" si="1"/>
        <v>0</v>
      </c>
    </row>
    <row r="52" spans="1:88" x14ac:dyDescent="0.25">
      <c r="A52" s="8" t="s">
        <v>50</v>
      </c>
      <c r="B52" s="262"/>
      <c r="C52" s="43">
        <v>8331</v>
      </c>
      <c r="D52" s="44">
        <v>527</v>
      </c>
      <c r="E52" s="44">
        <v>83</v>
      </c>
      <c r="F52" s="44">
        <v>4515</v>
      </c>
      <c r="G52" s="44">
        <v>2189</v>
      </c>
      <c r="H52" s="44">
        <v>70508</v>
      </c>
      <c r="I52" s="44">
        <v>14893</v>
      </c>
      <c r="J52" s="44">
        <v>8722</v>
      </c>
      <c r="K52" s="44">
        <v>5724</v>
      </c>
      <c r="L52" s="44">
        <v>6318</v>
      </c>
      <c r="M52" s="44">
        <v>2086</v>
      </c>
      <c r="N52" s="44">
        <v>6683</v>
      </c>
      <c r="O52" s="44">
        <v>3222</v>
      </c>
      <c r="P52" s="44">
        <v>2327</v>
      </c>
      <c r="Q52" s="45">
        <v>2826</v>
      </c>
      <c r="R52" s="45">
        <v>15054</v>
      </c>
      <c r="S52" s="45">
        <v>11100</v>
      </c>
      <c r="T52" s="45">
        <v>32248</v>
      </c>
      <c r="U52" s="45">
        <v>20018</v>
      </c>
      <c r="V52" s="45">
        <v>58110</v>
      </c>
      <c r="W52" s="45">
        <v>25329</v>
      </c>
      <c r="X52" s="45">
        <v>8474</v>
      </c>
      <c r="Y52" s="45">
        <v>27084</v>
      </c>
      <c r="Z52" s="45">
        <v>23270</v>
      </c>
      <c r="AA52" s="45">
        <v>67771</v>
      </c>
      <c r="AB52" s="45">
        <v>18919</v>
      </c>
      <c r="AC52" s="45">
        <v>11825</v>
      </c>
      <c r="AD52" s="45">
        <v>2573</v>
      </c>
      <c r="AE52" s="45">
        <v>24730</v>
      </c>
      <c r="AF52" s="45">
        <v>5456</v>
      </c>
      <c r="AG52" s="45">
        <v>1720</v>
      </c>
      <c r="AH52" s="45">
        <v>11434</v>
      </c>
      <c r="AI52" s="45">
        <v>2700</v>
      </c>
      <c r="AJ52" s="45">
        <v>98354</v>
      </c>
      <c r="AK52" s="45">
        <v>52591</v>
      </c>
      <c r="AL52" s="45">
        <v>153932</v>
      </c>
      <c r="AM52" s="45">
        <v>72865</v>
      </c>
      <c r="AN52" s="45">
        <v>49149</v>
      </c>
      <c r="AO52" s="45">
        <v>2050</v>
      </c>
      <c r="AP52" s="45">
        <v>32736</v>
      </c>
      <c r="AQ52" s="45">
        <v>3805</v>
      </c>
      <c r="AR52" s="45">
        <v>4518</v>
      </c>
      <c r="AS52" s="45">
        <v>8591</v>
      </c>
      <c r="AT52" s="45">
        <v>2319</v>
      </c>
      <c r="AU52" s="45">
        <v>321</v>
      </c>
      <c r="AV52" s="45">
        <v>41753</v>
      </c>
      <c r="AW52" s="45">
        <v>17505</v>
      </c>
      <c r="AX52" s="45">
        <v>12732</v>
      </c>
      <c r="AY52" s="45">
        <v>541119</v>
      </c>
      <c r="AZ52" s="45">
        <v>1423352</v>
      </c>
      <c r="BA52" s="45">
        <v>2223358</v>
      </c>
      <c r="BB52" s="45">
        <v>64926</v>
      </c>
      <c r="BC52" s="45">
        <v>45597</v>
      </c>
      <c r="BD52" s="45">
        <v>72535</v>
      </c>
      <c r="BE52" s="45">
        <v>10950</v>
      </c>
      <c r="BF52" s="45">
        <v>5132</v>
      </c>
      <c r="BG52" s="45">
        <v>17515</v>
      </c>
      <c r="BH52" s="45">
        <v>4728</v>
      </c>
      <c r="BI52" s="45">
        <v>493</v>
      </c>
      <c r="BJ52" s="45">
        <v>7010</v>
      </c>
      <c r="BK52" s="45">
        <v>7070</v>
      </c>
      <c r="BL52" s="45">
        <v>7757</v>
      </c>
      <c r="BM52" s="45">
        <v>56409</v>
      </c>
      <c r="BN52" s="45">
        <v>12770</v>
      </c>
      <c r="BO52" s="45">
        <v>8516</v>
      </c>
      <c r="BP52" s="45">
        <v>48560</v>
      </c>
      <c r="BQ52" s="45">
        <v>7255</v>
      </c>
      <c r="BR52" s="45">
        <v>42560</v>
      </c>
      <c r="BS52" s="45">
        <v>1601</v>
      </c>
      <c r="BT52" s="45">
        <v>3626</v>
      </c>
      <c r="BU52" s="45">
        <v>747</v>
      </c>
      <c r="BV52" s="45">
        <v>161</v>
      </c>
      <c r="BW52" s="45">
        <v>3465</v>
      </c>
      <c r="BX52" s="45">
        <v>661</v>
      </c>
      <c r="BY52" s="45">
        <v>3809</v>
      </c>
      <c r="BZ52" s="45">
        <v>2825</v>
      </c>
      <c r="CA52" s="45">
        <v>0</v>
      </c>
      <c r="CB52" s="42">
        <v>5684497</v>
      </c>
      <c r="CC52" s="259"/>
      <c r="CD52" s="52">
        <v>14324357</v>
      </c>
      <c r="CE52" s="53">
        <v>33000</v>
      </c>
      <c r="CF52" s="54">
        <v>-5</v>
      </c>
      <c r="CG52" s="52">
        <v>92110</v>
      </c>
      <c r="CH52" s="55">
        <v>20133959</v>
      </c>
      <c r="CI52" s="51">
        <f t="shared" si="0"/>
        <v>20133959</v>
      </c>
      <c r="CJ52" s="51">
        <f t="shared" si="1"/>
        <v>0</v>
      </c>
    </row>
    <row r="53" spans="1:88" x14ac:dyDescent="0.25">
      <c r="A53" s="8" t="s">
        <v>51</v>
      </c>
      <c r="B53" s="262"/>
      <c r="C53" s="43">
        <v>142851</v>
      </c>
      <c r="D53" s="44">
        <v>38119</v>
      </c>
      <c r="E53" s="44">
        <v>2875</v>
      </c>
      <c r="F53" s="44">
        <v>9733</v>
      </c>
      <c r="G53" s="44">
        <v>57256</v>
      </c>
      <c r="H53" s="44">
        <v>442831</v>
      </c>
      <c r="I53" s="44">
        <v>144910</v>
      </c>
      <c r="J53" s="44">
        <v>68450</v>
      </c>
      <c r="K53" s="44">
        <v>47144</v>
      </c>
      <c r="L53" s="44">
        <v>98315</v>
      </c>
      <c r="M53" s="44">
        <v>35387</v>
      </c>
      <c r="N53" s="44">
        <v>72260</v>
      </c>
      <c r="O53" s="44">
        <v>148861</v>
      </c>
      <c r="P53" s="44">
        <v>57120</v>
      </c>
      <c r="Q53" s="45">
        <v>109410</v>
      </c>
      <c r="R53" s="45">
        <v>228177</v>
      </c>
      <c r="S53" s="45">
        <v>47453</v>
      </c>
      <c r="T53" s="45">
        <v>218702</v>
      </c>
      <c r="U53" s="45">
        <v>168748</v>
      </c>
      <c r="V53" s="45">
        <v>50728</v>
      </c>
      <c r="W53" s="45">
        <v>280538</v>
      </c>
      <c r="X53" s="45">
        <v>44533</v>
      </c>
      <c r="Y53" s="45">
        <v>198565</v>
      </c>
      <c r="Z53" s="45">
        <v>164050</v>
      </c>
      <c r="AA53" s="45">
        <v>160678</v>
      </c>
      <c r="AB53" s="45">
        <v>119384</v>
      </c>
      <c r="AC53" s="45">
        <v>264074</v>
      </c>
      <c r="AD53" s="45">
        <v>65988</v>
      </c>
      <c r="AE53" s="45">
        <v>288837</v>
      </c>
      <c r="AF53" s="45">
        <v>551710</v>
      </c>
      <c r="AG53" s="45">
        <v>52323</v>
      </c>
      <c r="AH53" s="45">
        <v>112697</v>
      </c>
      <c r="AI53" s="45">
        <v>134331</v>
      </c>
      <c r="AJ53" s="45">
        <v>1122667</v>
      </c>
      <c r="AK53" s="45">
        <v>1287788</v>
      </c>
      <c r="AL53" s="45">
        <v>4802215</v>
      </c>
      <c r="AM53" s="45">
        <v>4421630</v>
      </c>
      <c r="AN53" s="45">
        <v>812384</v>
      </c>
      <c r="AO53" s="45">
        <v>62845</v>
      </c>
      <c r="AP53" s="45">
        <v>1206729</v>
      </c>
      <c r="AQ53" s="45">
        <v>701113</v>
      </c>
      <c r="AR53" s="45">
        <v>635692</v>
      </c>
      <c r="AS53" s="45">
        <v>154604</v>
      </c>
      <c r="AT53" s="45">
        <v>64881</v>
      </c>
      <c r="AU53" s="45">
        <v>49690</v>
      </c>
      <c r="AV53" s="45">
        <v>826626</v>
      </c>
      <c r="AW53" s="45">
        <v>493489</v>
      </c>
      <c r="AX53" s="45">
        <v>159883</v>
      </c>
      <c r="AY53" s="45">
        <v>1461138</v>
      </c>
      <c r="AZ53" s="45">
        <v>615203</v>
      </c>
      <c r="BA53" s="45">
        <v>666260</v>
      </c>
      <c r="BB53" s="45">
        <v>3599711</v>
      </c>
      <c r="BC53" s="45">
        <v>778513</v>
      </c>
      <c r="BD53" s="45">
        <v>916789</v>
      </c>
      <c r="BE53" s="45">
        <v>134470</v>
      </c>
      <c r="BF53" s="45">
        <v>107729</v>
      </c>
      <c r="BG53" s="45">
        <v>157747</v>
      </c>
      <c r="BH53" s="45">
        <v>274379</v>
      </c>
      <c r="BI53" s="45">
        <v>2249</v>
      </c>
      <c r="BJ53" s="45">
        <v>466435</v>
      </c>
      <c r="BK53" s="45">
        <v>302983</v>
      </c>
      <c r="BL53" s="45">
        <v>102840</v>
      </c>
      <c r="BM53" s="45">
        <v>199649</v>
      </c>
      <c r="BN53" s="45">
        <v>336635</v>
      </c>
      <c r="BO53" s="45">
        <v>145024</v>
      </c>
      <c r="BP53" s="45">
        <v>578773</v>
      </c>
      <c r="BQ53" s="45">
        <v>903232</v>
      </c>
      <c r="BR53" s="45">
        <v>2202318</v>
      </c>
      <c r="BS53" s="45">
        <v>924547</v>
      </c>
      <c r="BT53" s="45">
        <v>150984</v>
      </c>
      <c r="BU53" s="45">
        <v>57345</v>
      </c>
      <c r="BV53" s="45">
        <v>157950</v>
      </c>
      <c r="BW53" s="45">
        <v>345356</v>
      </c>
      <c r="BX53" s="45">
        <v>4567</v>
      </c>
      <c r="BY53" s="45">
        <v>114011</v>
      </c>
      <c r="BZ53" s="45">
        <v>452217</v>
      </c>
      <c r="CA53" s="45">
        <v>0</v>
      </c>
      <c r="CB53" s="42">
        <v>37588328</v>
      </c>
      <c r="CC53" s="259"/>
      <c r="CD53" s="52">
        <v>108656234</v>
      </c>
      <c r="CE53" s="53">
        <v>5267353</v>
      </c>
      <c r="CF53" s="54">
        <v>445040</v>
      </c>
      <c r="CG53" s="52">
        <v>4498119</v>
      </c>
      <c r="CH53" s="55">
        <v>156455074</v>
      </c>
      <c r="CI53" s="51">
        <f t="shared" si="0"/>
        <v>156455074</v>
      </c>
      <c r="CJ53" s="51">
        <f t="shared" si="1"/>
        <v>0</v>
      </c>
    </row>
    <row r="54" spans="1:88" x14ac:dyDescent="0.25">
      <c r="A54" s="8" t="s">
        <v>52</v>
      </c>
      <c r="B54" s="262"/>
      <c r="C54" s="43">
        <v>53217</v>
      </c>
      <c r="D54" s="44">
        <v>36988</v>
      </c>
      <c r="E54" s="44">
        <v>295</v>
      </c>
      <c r="F54" s="44">
        <v>84362</v>
      </c>
      <c r="G54" s="44">
        <v>72109</v>
      </c>
      <c r="H54" s="44">
        <v>486741</v>
      </c>
      <c r="I54" s="44">
        <v>361668</v>
      </c>
      <c r="J54" s="44">
        <v>21913</v>
      </c>
      <c r="K54" s="44">
        <v>46713</v>
      </c>
      <c r="L54" s="44">
        <v>66681</v>
      </c>
      <c r="M54" s="44">
        <v>20137</v>
      </c>
      <c r="N54" s="44">
        <v>226571</v>
      </c>
      <c r="O54" s="44">
        <v>143102</v>
      </c>
      <c r="P54" s="44">
        <v>70813</v>
      </c>
      <c r="Q54" s="45">
        <v>21894</v>
      </c>
      <c r="R54" s="45">
        <v>284134</v>
      </c>
      <c r="S54" s="45">
        <v>173375</v>
      </c>
      <c r="T54" s="45">
        <v>142191</v>
      </c>
      <c r="U54" s="45">
        <v>215210</v>
      </c>
      <c r="V54" s="45">
        <v>532849</v>
      </c>
      <c r="W54" s="45">
        <v>1029252</v>
      </c>
      <c r="X54" s="45">
        <v>56742</v>
      </c>
      <c r="Y54" s="45">
        <v>526965</v>
      </c>
      <c r="Z54" s="45">
        <v>216899</v>
      </c>
      <c r="AA54" s="45">
        <v>317029</v>
      </c>
      <c r="AB54" s="45">
        <v>211479</v>
      </c>
      <c r="AC54" s="45">
        <v>404307</v>
      </c>
      <c r="AD54" s="45">
        <v>38823</v>
      </c>
      <c r="AE54" s="45">
        <v>253929</v>
      </c>
      <c r="AF54" s="45">
        <v>736288</v>
      </c>
      <c r="AG54" s="45">
        <v>6735</v>
      </c>
      <c r="AH54" s="45">
        <v>88480</v>
      </c>
      <c r="AI54" s="45">
        <v>32405</v>
      </c>
      <c r="AJ54" s="45">
        <v>888370</v>
      </c>
      <c r="AK54" s="45">
        <v>623020</v>
      </c>
      <c r="AL54" s="45">
        <v>2429334</v>
      </c>
      <c r="AM54" s="45">
        <v>1798595</v>
      </c>
      <c r="AN54" s="45">
        <v>642196</v>
      </c>
      <c r="AO54" s="45">
        <v>20920</v>
      </c>
      <c r="AP54" s="45">
        <v>292196</v>
      </c>
      <c r="AQ54" s="45">
        <v>56526</v>
      </c>
      <c r="AR54" s="45">
        <v>104308</v>
      </c>
      <c r="AS54" s="45">
        <v>100140</v>
      </c>
      <c r="AT54" s="45">
        <v>22410</v>
      </c>
      <c r="AU54" s="45">
        <v>27254</v>
      </c>
      <c r="AV54" s="45">
        <v>590167</v>
      </c>
      <c r="AW54" s="45">
        <v>205155</v>
      </c>
      <c r="AX54" s="45">
        <v>145790</v>
      </c>
      <c r="AY54" s="45">
        <v>293084</v>
      </c>
      <c r="AZ54" s="45">
        <v>238223</v>
      </c>
      <c r="BA54" s="45">
        <v>509315</v>
      </c>
      <c r="BB54" s="45">
        <v>514776</v>
      </c>
      <c r="BC54" s="45">
        <v>3371625</v>
      </c>
      <c r="BD54" s="45">
        <v>928452</v>
      </c>
      <c r="BE54" s="45">
        <v>71372</v>
      </c>
      <c r="BF54" s="45">
        <v>78317</v>
      </c>
      <c r="BG54" s="45">
        <v>165684</v>
      </c>
      <c r="BH54" s="45">
        <v>288052</v>
      </c>
      <c r="BI54" s="45">
        <v>4618</v>
      </c>
      <c r="BJ54" s="45">
        <v>299395</v>
      </c>
      <c r="BK54" s="45">
        <v>61565</v>
      </c>
      <c r="BL54" s="45">
        <v>26298</v>
      </c>
      <c r="BM54" s="45">
        <v>124286</v>
      </c>
      <c r="BN54" s="45">
        <v>186381</v>
      </c>
      <c r="BO54" s="45">
        <v>240843</v>
      </c>
      <c r="BP54" s="45">
        <v>179025</v>
      </c>
      <c r="BQ54" s="45">
        <v>378432</v>
      </c>
      <c r="BR54" s="45">
        <v>366528</v>
      </c>
      <c r="BS54" s="45">
        <v>30192</v>
      </c>
      <c r="BT54" s="45">
        <v>130841</v>
      </c>
      <c r="BU54" s="45">
        <v>24935</v>
      </c>
      <c r="BV54" s="45">
        <v>9612</v>
      </c>
      <c r="BW54" s="45">
        <v>65235</v>
      </c>
      <c r="BX54" s="45">
        <v>111</v>
      </c>
      <c r="BY54" s="45">
        <v>59652</v>
      </c>
      <c r="BZ54" s="45">
        <v>118404</v>
      </c>
      <c r="CA54" s="45">
        <v>0</v>
      </c>
      <c r="CB54" s="42">
        <v>23691930</v>
      </c>
      <c r="CC54" s="259"/>
      <c r="CD54" s="52">
        <v>3637672</v>
      </c>
      <c r="CE54" s="53">
        <v>0</v>
      </c>
      <c r="CF54" s="54">
        <v>38934</v>
      </c>
      <c r="CG54" s="52">
        <v>5990847</v>
      </c>
      <c r="CH54" s="55">
        <v>33359383</v>
      </c>
      <c r="CI54" s="51">
        <f t="shared" si="0"/>
        <v>33359383</v>
      </c>
      <c r="CJ54" s="51">
        <f t="shared" si="1"/>
        <v>0</v>
      </c>
    </row>
    <row r="55" spans="1:88" x14ac:dyDescent="0.25">
      <c r="A55" s="8" t="s">
        <v>53</v>
      </c>
      <c r="B55" s="262"/>
      <c r="C55" s="43">
        <v>47211</v>
      </c>
      <c r="D55" s="44">
        <v>23863</v>
      </c>
      <c r="E55" s="44">
        <v>831</v>
      </c>
      <c r="F55" s="44">
        <v>34624</v>
      </c>
      <c r="G55" s="44">
        <v>54633</v>
      </c>
      <c r="H55" s="44">
        <v>643169</v>
      </c>
      <c r="I55" s="44">
        <v>163863</v>
      </c>
      <c r="J55" s="44">
        <v>90457</v>
      </c>
      <c r="K55" s="44">
        <v>55989</v>
      </c>
      <c r="L55" s="44">
        <v>44347</v>
      </c>
      <c r="M55" s="44">
        <v>15515</v>
      </c>
      <c r="N55" s="44">
        <v>107407</v>
      </c>
      <c r="O55" s="44">
        <v>245094</v>
      </c>
      <c r="P55" s="44">
        <v>302403</v>
      </c>
      <c r="Q55" s="45">
        <v>90871</v>
      </c>
      <c r="R55" s="45">
        <v>476140</v>
      </c>
      <c r="S55" s="45">
        <v>313084</v>
      </c>
      <c r="T55" s="45">
        <v>796606</v>
      </c>
      <c r="U55" s="45">
        <v>494477</v>
      </c>
      <c r="V55" s="45">
        <v>444867</v>
      </c>
      <c r="W55" s="45">
        <v>852410</v>
      </c>
      <c r="X55" s="45">
        <v>250050</v>
      </c>
      <c r="Y55" s="45">
        <v>509294</v>
      </c>
      <c r="Z55" s="45">
        <v>445563</v>
      </c>
      <c r="AA55" s="45">
        <v>1240078</v>
      </c>
      <c r="AB55" s="45">
        <v>346991</v>
      </c>
      <c r="AC55" s="45">
        <v>182469</v>
      </c>
      <c r="AD55" s="45">
        <v>43663</v>
      </c>
      <c r="AE55" s="45">
        <v>154844</v>
      </c>
      <c r="AF55" s="45">
        <v>645816</v>
      </c>
      <c r="AG55" s="45">
        <v>16503</v>
      </c>
      <c r="AH55" s="45">
        <v>97893</v>
      </c>
      <c r="AI55" s="45">
        <v>17063</v>
      </c>
      <c r="AJ55" s="45">
        <v>1113588</v>
      </c>
      <c r="AK55" s="45">
        <v>309301</v>
      </c>
      <c r="AL55" s="45">
        <v>2764739</v>
      </c>
      <c r="AM55" s="45">
        <v>3112348</v>
      </c>
      <c r="AN55" s="45">
        <v>370201</v>
      </c>
      <c r="AO55" s="45">
        <v>19682</v>
      </c>
      <c r="AP55" s="45">
        <v>411161</v>
      </c>
      <c r="AQ55" s="45">
        <v>264875</v>
      </c>
      <c r="AR55" s="45">
        <v>163025</v>
      </c>
      <c r="AS55" s="45">
        <v>211582</v>
      </c>
      <c r="AT55" s="45">
        <v>25087</v>
      </c>
      <c r="AU55" s="45">
        <v>36505</v>
      </c>
      <c r="AV55" s="45">
        <v>669506</v>
      </c>
      <c r="AW55" s="45">
        <v>657119</v>
      </c>
      <c r="AX55" s="45">
        <v>522959</v>
      </c>
      <c r="AY55" s="45">
        <v>439854</v>
      </c>
      <c r="AZ55" s="45">
        <v>181934</v>
      </c>
      <c r="BA55" s="45">
        <v>450706</v>
      </c>
      <c r="BB55" s="45">
        <v>999870</v>
      </c>
      <c r="BC55" s="45">
        <v>501478</v>
      </c>
      <c r="BD55" s="45">
        <v>1543603</v>
      </c>
      <c r="BE55" s="45">
        <v>137297</v>
      </c>
      <c r="BF55" s="45">
        <v>114861</v>
      </c>
      <c r="BG55" s="45">
        <v>253577</v>
      </c>
      <c r="BH55" s="45">
        <v>247562</v>
      </c>
      <c r="BI55" s="45">
        <v>0</v>
      </c>
      <c r="BJ55" s="45">
        <v>310200</v>
      </c>
      <c r="BK55" s="45">
        <v>175484</v>
      </c>
      <c r="BL55" s="45">
        <v>28281</v>
      </c>
      <c r="BM55" s="45">
        <v>29198</v>
      </c>
      <c r="BN55" s="45">
        <v>53540</v>
      </c>
      <c r="BO55" s="45">
        <v>152314</v>
      </c>
      <c r="BP55" s="45">
        <v>118537</v>
      </c>
      <c r="BQ55" s="45">
        <v>157005</v>
      </c>
      <c r="BR55" s="45">
        <v>210388</v>
      </c>
      <c r="BS55" s="45">
        <v>23605</v>
      </c>
      <c r="BT55" s="45">
        <v>1059</v>
      </c>
      <c r="BU55" s="45">
        <v>455</v>
      </c>
      <c r="BV55" s="45">
        <v>24899</v>
      </c>
      <c r="BW55" s="45">
        <v>64843</v>
      </c>
      <c r="BX55" s="45">
        <v>7827</v>
      </c>
      <c r="BY55" s="45">
        <v>55650</v>
      </c>
      <c r="BZ55" s="45">
        <v>30177</v>
      </c>
      <c r="CA55" s="45">
        <v>0</v>
      </c>
      <c r="CB55" s="42">
        <v>26213970</v>
      </c>
      <c r="CC55" s="259"/>
      <c r="CD55" s="52">
        <v>0</v>
      </c>
      <c r="CE55" s="53">
        <v>1004305</v>
      </c>
      <c r="CF55" s="54">
        <v>-21746</v>
      </c>
      <c r="CG55" s="52">
        <v>1772349</v>
      </c>
      <c r="CH55" s="55">
        <v>28968878</v>
      </c>
      <c r="CI55" s="51">
        <f t="shared" si="0"/>
        <v>28968878</v>
      </c>
      <c r="CJ55" s="51">
        <f t="shared" si="1"/>
        <v>0</v>
      </c>
    </row>
    <row r="56" spans="1:88" x14ac:dyDescent="0.25">
      <c r="A56" s="8" t="s">
        <v>54</v>
      </c>
      <c r="B56" s="262"/>
      <c r="C56" s="43">
        <v>61378</v>
      </c>
      <c r="D56" s="44">
        <v>23164</v>
      </c>
      <c r="E56" s="44">
        <v>501</v>
      </c>
      <c r="F56" s="44">
        <v>115975</v>
      </c>
      <c r="G56" s="44">
        <v>70288</v>
      </c>
      <c r="H56" s="44">
        <v>266456</v>
      </c>
      <c r="I56" s="44">
        <v>4089</v>
      </c>
      <c r="J56" s="44">
        <v>11495</v>
      </c>
      <c r="K56" s="44">
        <v>39181</v>
      </c>
      <c r="L56" s="44">
        <v>50370</v>
      </c>
      <c r="M56" s="44">
        <v>24121</v>
      </c>
      <c r="N56" s="44">
        <v>78173</v>
      </c>
      <c r="O56" s="44">
        <v>182414</v>
      </c>
      <c r="P56" s="44">
        <v>178688</v>
      </c>
      <c r="Q56" s="45">
        <v>151232</v>
      </c>
      <c r="R56" s="45">
        <v>398352</v>
      </c>
      <c r="S56" s="45">
        <v>12095</v>
      </c>
      <c r="T56" s="45">
        <v>355419</v>
      </c>
      <c r="U56" s="45">
        <v>322420</v>
      </c>
      <c r="V56" s="45">
        <v>246021</v>
      </c>
      <c r="W56" s="45">
        <v>431614</v>
      </c>
      <c r="X56" s="45">
        <v>18275</v>
      </c>
      <c r="Y56" s="45">
        <v>193626</v>
      </c>
      <c r="Z56" s="45">
        <v>678917</v>
      </c>
      <c r="AA56" s="45">
        <v>442685</v>
      </c>
      <c r="AB56" s="45">
        <v>265129</v>
      </c>
      <c r="AC56" s="45">
        <v>156469</v>
      </c>
      <c r="AD56" s="45">
        <v>15838</v>
      </c>
      <c r="AE56" s="45">
        <v>206609</v>
      </c>
      <c r="AF56" s="45">
        <v>798715</v>
      </c>
      <c r="AG56" s="45">
        <v>39214</v>
      </c>
      <c r="AH56" s="45">
        <v>109644</v>
      </c>
      <c r="AI56" s="45">
        <v>26298</v>
      </c>
      <c r="AJ56" s="45">
        <v>3099194</v>
      </c>
      <c r="AK56" s="45">
        <v>22819</v>
      </c>
      <c r="AL56" s="45">
        <v>694247</v>
      </c>
      <c r="AM56" s="45">
        <v>484112</v>
      </c>
      <c r="AN56" s="45">
        <v>515219</v>
      </c>
      <c r="AO56" s="45">
        <v>23564</v>
      </c>
      <c r="AP56" s="45">
        <v>122724</v>
      </c>
      <c r="AQ56" s="45">
        <v>25633</v>
      </c>
      <c r="AR56" s="45">
        <v>77905</v>
      </c>
      <c r="AS56" s="45">
        <v>148</v>
      </c>
      <c r="AT56" s="45">
        <v>364</v>
      </c>
      <c r="AU56" s="45">
        <v>60</v>
      </c>
      <c r="AV56" s="45">
        <v>530547</v>
      </c>
      <c r="AW56" s="45">
        <v>58045</v>
      </c>
      <c r="AX56" s="45">
        <v>2316</v>
      </c>
      <c r="AY56" s="45">
        <v>228839</v>
      </c>
      <c r="AZ56" s="45">
        <v>137706</v>
      </c>
      <c r="BA56" s="45">
        <v>172247</v>
      </c>
      <c r="BB56" s="45">
        <v>653159</v>
      </c>
      <c r="BC56" s="45">
        <v>35831</v>
      </c>
      <c r="BD56" s="45">
        <v>165300</v>
      </c>
      <c r="BE56" s="45">
        <v>2488695</v>
      </c>
      <c r="BF56" s="45">
        <v>141868</v>
      </c>
      <c r="BG56" s="45">
        <v>5794</v>
      </c>
      <c r="BH56" s="45">
        <v>115632</v>
      </c>
      <c r="BI56" s="45">
        <v>0</v>
      </c>
      <c r="BJ56" s="45">
        <v>90583</v>
      </c>
      <c r="BK56" s="45">
        <v>5801</v>
      </c>
      <c r="BL56" s="45">
        <v>1781</v>
      </c>
      <c r="BM56" s="45">
        <v>2651</v>
      </c>
      <c r="BN56" s="45">
        <v>102878</v>
      </c>
      <c r="BO56" s="45">
        <v>40594</v>
      </c>
      <c r="BP56" s="45">
        <v>366980</v>
      </c>
      <c r="BQ56" s="45">
        <v>192022</v>
      </c>
      <c r="BR56" s="45">
        <v>268992</v>
      </c>
      <c r="BS56" s="45">
        <v>2226</v>
      </c>
      <c r="BT56" s="45">
        <v>5904</v>
      </c>
      <c r="BU56" s="45">
        <v>5818</v>
      </c>
      <c r="BV56" s="45">
        <v>753</v>
      </c>
      <c r="BW56" s="45">
        <v>10408</v>
      </c>
      <c r="BX56" s="45">
        <v>10510</v>
      </c>
      <c r="BY56" s="45">
        <v>455</v>
      </c>
      <c r="BZ56" s="45">
        <v>52679</v>
      </c>
      <c r="CA56" s="45">
        <v>0</v>
      </c>
      <c r="CB56" s="42">
        <v>16937868</v>
      </c>
      <c r="CC56" s="259"/>
      <c r="CD56" s="52">
        <v>0</v>
      </c>
      <c r="CE56" s="53">
        <v>479122</v>
      </c>
      <c r="CF56" s="54">
        <v>11646246</v>
      </c>
      <c r="CG56" s="52">
        <v>4219322</v>
      </c>
      <c r="CH56" s="55">
        <v>33282558</v>
      </c>
      <c r="CI56" s="51">
        <f t="shared" si="0"/>
        <v>33282558</v>
      </c>
      <c r="CJ56" s="51">
        <f t="shared" si="1"/>
        <v>0</v>
      </c>
    </row>
    <row r="57" spans="1:88" x14ac:dyDescent="0.25">
      <c r="A57" s="8" t="s">
        <v>55</v>
      </c>
      <c r="B57" s="262"/>
      <c r="C57" s="43">
        <v>0</v>
      </c>
      <c r="D57" s="44">
        <v>0</v>
      </c>
      <c r="E57" s="44">
        <v>0</v>
      </c>
      <c r="F57" s="44">
        <v>0</v>
      </c>
      <c r="G57" s="44">
        <v>0</v>
      </c>
      <c r="H57" s="44">
        <v>0</v>
      </c>
      <c r="I57" s="44">
        <v>0</v>
      </c>
      <c r="J57" s="44">
        <v>0</v>
      </c>
      <c r="K57" s="44">
        <v>0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5">
        <v>0</v>
      </c>
      <c r="R57" s="45">
        <v>0</v>
      </c>
      <c r="S57" s="45">
        <v>0</v>
      </c>
      <c r="T57" s="45">
        <v>0</v>
      </c>
      <c r="U57" s="45">
        <v>0</v>
      </c>
      <c r="V57" s="45">
        <v>0</v>
      </c>
      <c r="W57" s="45">
        <v>0</v>
      </c>
      <c r="X57" s="45">
        <v>0</v>
      </c>
      <c r="Y57" s="45">
        <v>0</v>
      </c>
      <c r="Z57" s="45">
        <v>0</v>
      </c>
      <c r="AA57" s="45">
        <v>0</v>
      </c>
      <c r="AB57" s="45">
        <v>0</v>
      </c>
      <c r="AC57" s="45">
        <v>0</v>
      </c>
      <c r="AD57" s="45">
        <v>0</v>
      </c>
      <c r="AE57" s="45">
        <v>0</v>
      </c>
      <c r="AF57" s="45">
        <v>0</v>
      </c>
      <c r="AG57" s="45">
        <v>0</v>
      </c>
      <c r="AH57" s="45">
        <v>0</v>
      </c>
      <c r="AI57" s="45">
        <v>0</v>
      </c>
      <c r="AJ57" s="45">
        <v>0</v>
      </c>
      <c r="AK57" s="45">
        <v>0</v>
      </c>
      <c r="AL57" s="45">
        <v>0</v>
      </c>
      <c r="AM57" s="45">
        <v>0</v>
      </c>
      <c r="AN57" s="45">
        <v>0</v>
      </c>
      <c r="AO57" s="45">
        <v>0</v>
      </c>
      <c r="AP57" s="45">
        <v>0</v>
      </c>
      <c r="AQ57" s="45">
        <v>0</v>
      </c>
      <c r="AR57" s="45">
        <v>0</v>
      </c>
      <c r="AS57" s="45">
        <v>0</v>
      </c>
      <c r="AT57" s="45">
        <v>0</v>
      </c>
      <c r="AU57" s="45">
        <v>0</v>
      </c>
      <c r="AV57" s="45">
        <v>0</v>
      </c>
      <c r="AW57" s="45">
        <v>0</v>
      </c>
      <c r="AX57" s="45">
        <v>0</v>
      </c>
      <c r="AY57" s="45">
        <v>0</v>
      </c>
      <c r="AZ57" s="45">
        <v>0</v>
      </c>
      <c r="BA57" s="45">
        <v>0</v>
      </c>
      <c r="BB57" s="45">
        <v>0</v>
      </c>
      <c r="BC57" s="45">
        <v>0</v>
      </c>
      <c r="BD57" s="45">
        <v>0</v>
      </c>
      <c r="BE57" s="45">
        <v>0</v>
      </c>
      <c r="BF57" s="45">
        <v>443829</v>
      </c>
      <c r="BG57" s="45">
        <v>0</v>
      </c>
      <c r="BH57" s="45">
        <v>0</v>
      </c>
      <c r="BI57" s="45">
        <v>0</v>
      </c>
      <c r="BJ57" s="45">
        <v>0</v>
      </c>
      <c r="BK57" s="45">
        <v>0</v>
      </c>
      <c r="BL57" s="45">
        <v>0</v>
      </c>
      <c r="BM57" s="45">
        <v>0</v>
      </c>
      <c r="BN57" s="45">
        <v>0</v>
      </c>
      <c r="BO57" s="45">
        <v>0</v>
      </c>
      <c r="BP57" s="45">
        <v>0</v>
      </c>
      <c r="BQ57" s="45">
        <v>0</v>
      </c>
      <c r="BR57" s="45">
        <v>0</v>
      </c>
      <c r="BS57" s="45">
        <v>0</v>
      </c>
      <c r="BT57" s="45">
        <v>0</v>
      </c>
      <c r="BU57" s="45">
        <v>0</v>
      </c>
      <c r="BV57" s="45">
        <v>0</v>
      </c>
      <c r="BW57" s="45">
        <v>0</v>
      </c>
      <c r="BX57" s="45">
        <v>0</v>
      </c>
      <c r="BY57" s="45">
        <v>0</v>
      </c>
      <c r="BZ57" s="45">
        <v>0</v>
      </c>
      <c r="CA57" s="45">
        <v>0</v>
      </c>
      <c r="CB57" s="42">
        <v>443829</v>
      </c>
      <c r="CC57" s="259"/>
      <c r="CD57" s="52">
        <v>112326</v>
      </c>
      <c r="CE57" s="53">
        <v>4411332</v>
      </c>
      <c r="CF57" s="54">
        <v>13599502</v>
      </c>
      <c r="CG57" s="52">
        <v>3041307</v>
      </c>
      <c r="CH57" s="55">
        <v>21608296</v>
      </c>
      <c r="CI57" s="51">
        <f t="shared" si="0"/>
        <v>21608296</v>
      </c>
      <c r="CJ57" s="51">
        <f t="shared" si="1"/>
        <v>0</v>
      </c>
    </row>
    <row r="58" spans="1:88" x14ac:dyDescent="0.25">
      <c r="A58" s="8" t="s">
        <v>56</v>
      </c>
      <c r="B58" s="262"/>
      <c r="C58" s="43">
        <v>40673</v>
      </c>
      <c r="D58" s="44">
        <v>6038</v>
      </c>
      <c r="E58" s="44">
        <v>173</v>
      </c>
      <c r="F58" s="44">
        <v>37352</v>
      </c>
      <c r="G58" s="44">
        <v>62178</v>
      </c>
      <c r="H58" s="44">
        <v>779368</v>
      </c>
      <c r="I58" s="44">
        <v>1026538</v>
      </c>
      <c r="J58" s="44">
        <v>142649</v>
      </c>
      <c r="K58" s="44">
        <v>32744</v>
      </c>
      <c r="L58" s="44">
        <v>89028</v>
      </c>
      <c r="M58" s="44">
        <v>14254</v>
      </c>
      <c r="N58" s="44">
        <v>49173</v>
      </c>
      <c r="O58" s="44">
        <v>183341</v>
      </c>
      <c r="P58" s="44">
        <v>55479</v>
      </c>
      <c r="Q58" s="45">
        <v>62118</v>
      </c>
      <c r="R58" s="45">
        <v>309592</v>
      </c>
      <c r="S58" s="45">
        <v>893230</v>
      </c>
      <c r="T58" s="45">
        <v>203106</v>
      </c>
      <c r="U58" s="45">
        <v>216598</v>
      </c>
      <c r="V58" s="45">
        <v>139829</v>
      </c>
      <c r="W58" s="45">
        <v>475295</v>
      </c>
      <c r="X58" s="45">
        <v>31353</v>
      </c>
      <c r="Y58" s="45">
        <v>541122</v>
      </c>
      <c r="Z58" s="45">
        <v>109338</v>
      </c>
      <c r="AA58" s="45">
        <v>56699</v>
      </c>
      <c r="AB58" s="45">
        <v>283238</v>
      </c>
      <c r="AC58" s="45">
        <v>211009</v>
      </c>
      <c r="AD58" s="45">
        <v>45784</v>
      </c>
      <c r="AE58" s="45">
        <v>20602</v>
      </c>
      <c r="AF58" s="45">
        <v>201353</v>
      </c>
      <c r="AG58" s="45">
        <v>19592</v>
      </c>
      <c r="AH58" s="45">
        <v>91166</v>
      </c>
      <c r="AI58" s="45">
        <v>2548</v>
      </c>
      <c r="AJ58" s="45">
        <v>869840</v>
      </c>
      <c r="AK58" s="45">
        <v>920677</v>
      </c>
      <c r="AL58" s="45">
        <v>4048309</v>
      </c>
      <c r="AM58" s="45">
        <v>751074</v>
      </c>
      <c r="AN58" s="45">
        <v>268481</v>
      </c>
      <c r="AO58" s="45">
        <v>14503</v>
      </c>
      <c r="AP58" s="45">
        <v>100643</v>
      </c>
      <c r="AQ58" s="45">
        <v>135885</v>
      </c>
      <c r="AR58" s="45">
        <v>196300</v>
      </c>
      <c r="AS58" s="45">
        <v>182562</v>
      </c>
      <c r="AT58" s="45">
        <v>490929</v>
      </c>
      <c r="AU58" s="45">
        <v>22239</v>
      </c>
      <c r="AV58" s="45">
        <v>1995457</v>
      </c>
      <c r="AW58" s="45">
        <v>664608</v>
      </c>
      <c r="AX58" s="45">
        <v>185632</v>
      </c>
      <c r="AY58" s="45">
        <v>317273</v>
      </c>
      <c r="AZ58" s="45">
        <v>102705</v>
      </c>
      <c r="BA58" s="45">
        <v>333739</v>
      </c>
      <c r="BB58" s="45">
        <v>291715</v>
      </c>
      <c r="BC58" s="45">
        <v>194261</v>
      </c>
      <c r="BD58" s="45">
        <v>651888</v>
      </c>
      <c r="BE58" s="45">
        <v>21077</v>
      </c>
      <c r="BF58" s="45">
        <v>43982</v>
      </c>
      <c r="BG58" s="45">
        <v>18295642</v>
      </c>
      <c r="BH58" s="45">
        <v>369965</v>
      </c>
      <c r="BI58" s="45">
        <v>0</v>
      </c>
      <c r="BJ58" s="45">
        <v>274778</v>
      </c>
      <c r="BK58" s="45">
        <v>46712</v>
      </c>
      <c r="BL58" s="45">
        <v>129111</v>
      </c>
      <c r="BM58" s="45">
        <v>33231</v>
      </c>
      <c r="BN58" s="45">
        <v>23051</v>
      </c>
      <c r="BO58" s="45">
        <v>631358</v>
      </c>
      <c r="BP58" s="45">
        <v>187515</v>
      </c>
      <c r="BQ58" s="45">
        <v>245820</v>
      </c>
      <c r="BR58" s="45">
        <v>240002</v>
      </c>
      <c r="BS58" s="45">
        <v>1827</v>
      </c>
      <c r="BT58" s="45">
        <v>102974</v>
      </c>
      <c r="BU58" s="45">
        <v>7076</v>
      </c>
      <c r="BV58" s="45">
        <v>15279</v>
      </c>
      <c r="BW58" s="45">
        <v>38087</v>
      </c>
      <c r="BX58" s="45">
        <v>4415</v>
      </c>
      <c r="BY58" s="45">
        <v>5657</v>
      </c>
      <c r="BZ58" s="45">
        <v>94477</v>
      </c>
      <c r="CA58" s="45">
        <v>0</v>
      </c>
      <c r="CB58" s="42">
        <v>39983316</v>
      </c>
      <c r="CC58" s="259"/>
      <c r="CD58" s="52">
        <v>0</v>
      </c>
      <c r="CE58" s="53">
        <v>0</v>
      </c>
      <c r="CF58" s="54">
        <v>2607</v>
      </c>
      <c r="CG58" s="52">
        <v>7021990</v>
      </c>
      <c r="CH58" s="55">
        <v>47007913</v>
      </c>
      <c r="CI58" s="51">
        <f t="shared" si="0"/>
        <v>47007913</v>
      </c>
      <c r="CJ58" s="51">
        <f t="shared" si="1"/>
        <v>0</v>
      </c>
    </row>
    <row r="59" spans="1:88" x14ac:dyDescent="0.25">
      <c r="A59" s="8" t="s">
        <v>57</v>
      </c>
      <c r="B59" s="262"/>
      <c r="C59" s="43">
        <v>35150</v>
      </c>
      <c r="D59" s="44">
        <v>26409</v>
      </c>
      <c r="E59" s="44">
        <v>745</v>
      </c>
      <c r="F59" s="44">
        <v>15027</v>
      </c>
      <c r="G59" s="44">
        <v>66338</v>
      </c>
      <c r="H59" s="44">
        <v>221359</v>
      </c>
      <c r="I59" s="44">
        <v>82247</v>
      </c>
      <c r="J59" s="44">
        <v>18675</v>
      </c>
      <c r="K59" s="44">
        <v>37151</v>
      </c>
      <c r="L59" s="44">
        <v>91161</v>
      </c>
      <c r="M59" s="44">
        <v>2949</v>
      </c>
      <c r="N59" s="44">
        <v>74723</v>
      </c>
      <c r="O59" s="44">
        <v>20314</v>
      </c>
      <c r="P59" s="44">
        <v>75378</v>
      </c>
      <c r="Q59" s="45">
        <v>79589</v>
      </c>
      <c r="R59" s="45">
        <v>79096</v>
      </c>
      <c r="S59" s="45">
        <v>65308</v>
      </c>
      <c r="T59" s="45">
        <v>46557</v>
      </c>
      <c r="U59" s="45">
        <v>20653</v>
      </c>
      <c r="V59" s="45">
        <v>522711</v>
      </c>
      <c r="W59" s="45">
        <v>100393</v>
      </c>
      <c r="X59" s="45">
        <v>25288</v>
      </c>
      <c r="Y59" s="45">
        <v>64481</v>
      </c>
      <c r="Z59" s="45">
        <v>76560</v>
      </c>
      <c r="AA59" s="45">
        <v>57952</v>
      </c>
      <c r="AB59" s="45">
        <v>1736</v>
      </c>
      <c r="AC59" s="45">
        <v>41473</v>
      </c>
      <c r="AD59" s="45">
        <v>7408</v>
      </c>
      <c r="AE59" s="45">
        <v>142709</v>
      </c>
      <c r="AF59" s="45">
        <v>349477</v>
      </c>
      <c r="AG59" s="45">
        <v>18661</v>
      </c>
      <c r="AH59" s="45">
        <v>70973</v>
      </c>
      <c r="AI59" s="45">
        <v>3095</v>
      </c>
      <c r="AJ59" s="45">
        <v>115692</v>
      </c>
      <c r="AK59" s="45">
        <v>193487</v>
      </c>
      <c r="AL59" s="45">
        <v>595258</v>
      </c>
      <c r="AM59" s="45">
        <v>473164</v>
      </c>
      <c r="AN59" s="45">
        <v>211992</v>
      </c>
      <c r="AO59" s="45">
        <v>45278</v>
      </c>
      <c r="AP59" s="45">
        <v>83690</v>
      </c>
      <c r="AQ59" s="45">
        <v>16278</v>
      </c>
      <c r="AR59" s="45">
        <v>6425</v>
      </c>
      <c r="AS59" s="45">
        <v>36844</v>
      </c>
      <c r="AT59" s="45">
        <v>1850</v>
      </c>
      <c r="AU59" s="45">
        <v>4545</v>
      </c>
      <c r="AV59" s="45">
        <v>194771</v>
      </c>
      <c r="AW59" s="45">
        <v>43776</v>
      </c>
      <c r="AX59" s="45">
        <v>15524</v>
      </c>
      <c r="AY59" s="45">
        <v>60101</v>
      </c>
      <c r="AZ59" s="45">
        <v>49943</v>
      </c>
      <c r="BA59" s="45">
        <v>256825</v>
      </c>
      <c r="BB59" s="45">
        <v>11629</v>
      </c>
      <c r="BC59" s="45">
        <v>102166</v>
      </c>
      <c r="BD59" s="45">
        <v>113075</v>
      </c>
      <c r="BE59" s="45">
        <v>70579</v>
      </c>
      <c r="BF59" s="45">
        <v>46977</v>
      </c>
      <c r="BG59" s="45">
        <v>64298</v>
      </c>
      <c r="BH59" s="45">
        <v>487545</v>
      </c>
      <c r="BI59" s="45">
        <v>0</v>
      </c>
      <c r="BJ59" s="45">
        <v>57729</v>
      </c>
      <c r="BK59" s="45">
        <v>26055</v>
      </c>
      <c r="BL59" s="45">
        <v>673</v>
      </c>
      <c r="BM59" s="45">
        <v>5725</v>
      </c>
      <c r="BN59" s="45">
        <v>454</v>
      </c>
      <c r="BO59" s="45">
        <v>163988</v>
      </c>
      <c r="BP59" s="45">
        <v>5567</v>
      </c>
      <c r="BQ59" s="45">
        <v>165314</v>
      </c>
      <c r="BR59" s="45">
        <v>196292</v>
      </c>
      <c r="BS59" s="45">
        <v>1245</v>
      </c>
      <c r="BT59" s="45">
        <v>13518</v>
      </c>
      <c r="BU59" s="45">
        <v>3015</v>
      </c>
      <c r="BV59" s="45">
        <v>3700</v>
      </c>
      <c r="BW59" s="45">
        <v>21884</v>
      </c>
      <c r="BX59" s="45">
        <v>6653</v>
      </c>
      <c r="BY59" s="45">
        <v>480</v>
      </c>
      <c r="BZ59" s="45">
        <v>45793</v>
      </c>
      <c r="CA59" s="45">
        <v>0</v>
      </c>
      <c r="CB59" s="42">
        <v>6561543</v>
      </c>
      <c r="CC59" s="259"/>
      <c r="CD59" s="52">
        <v>1829186</v>
      </c>
      <c r="CE59" s="53">
        <v>543</v>
      </c>
      <c r="CF59" s="54">
        <v>9251</v>
      </c>
      <c r="CG59" s="52">
        <v>3881810</v>
      </c>
      <c r="CH59" s="55">
        <v>12282333</v>
      </c>
      <c r="CI59" s="51">
        <f t="shared" si="0"/>
        <v>12282333</v>
      </c>
      <c r="CJ59" s="51">
        <f t="shared" si="1"/>
        <v>0</v>
      </c>
    </row>
    <row r="60" spans="1:88" x14ac:dyDescent="0.25">
      <c r="A60" s="8" t="s">
        <v>58</v>
      </c>
      <c r="B60" s="262"/>
      <c r="C60" s="43">
        <v>885602</v>
      </c>
      <c r="D60" s="44">
        <v>16</v>
      </c>
      <c r="E60" s="44">
        <v>269</v>
      </c>
      <c r="F60" s="44">
        <v>0</v>
      </c>
      <c r="G60" s="44">
        <v>0</v>
      </c>
      <c r="H60" s="44">
        <v>128064</v>
      </c>
      <c r="I60" s="44">
        <v>43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5">
        <v>0</v>
      </c>
      <c r="R60" s="45">
        <v>0</v>
      </c>
      <c r="S60" s="45">
        <v>8</v>
      </c>
      <c r="T60" s="45">
        <v>0</v>
      </c>
      <c r="U60" s="45">
        <v>0</v>
      </c>
      <c r="V60" s="45">
        <v>0</v>
      </c>
      <c r="W60" s="45">
        <v>0</v>
      </c>
      <c r="X60" s="45">
        <v>0</v>
      </c>
      <c r="Y60" s="45">
        <v>0</v>
      </c>
      <c r="Z60" s="45">
        <v>0</v>
      </c>
      <c r="AA60" s="45">
        <v>0</v>
      </c>
      <c r="AB60" s="45">
        <v>0</v>
      </c>
      <c r="AC60" s="45">
        <v>0</v>
      </c>
      <c r="AD60" s="45">
        <v>0</v>
      </c>
      <c r="AE60" s="45">
        <v>0</v>
      </c>
      <c r="AF60" s="45">
        <v>0</v>
      </c>
      <c r="AG60" s="45">
        <v>0</v>
      </c>
      <c r="AH60" s="45">
        <v>0</v>
      </c>
      <c r="AI60" s="45">
        <v>0</v>
      </c>
      <c r="AJ60" s="45">
        <v>8240</v>
      </c>
      <c r="AK60" s="45">
        <v>0</v>
      </c>
      <c r="AL60" s="45">
        <v>27991</v>
      </c>
      <c r="AM60" s="45">
        <v>6955</v>
      </c>
      <c r="AN60" s="45">
        <v>6970</v>
      </c>
      <c r="AO60" s="45">
        <v>0</v>
      </c>
      <c r="AP60" s="45">
        <v>0</v>
      </c>
      <c r="AQ60" s="45">
        <v>250</v>
      </c>
      <c r="AR60" s="45">
        <v>83</v>
      </c>
      <c r="AS60" s="45">
        <v>0</v>
      </c>
      <c r="AT60" s="45">
        <v>0</v>
      </c>
      <c r="AU60" s="45">
        <v>0</v>
      </c>
      <c r="AV60" s="45">
        <v>0</v>
      </c>
      <c r="AW60" s="45">
        <v>0</v>
      </c>
      <c r="AX60" s="45">
        <v>0</v>
      </c>
      <c r="AY60" s="45">
        <v>0</v>
      </c>
      <c r="AZ60" s="45">
        <v>0</v>
      </c>
      <c r="BA60" s="45">
        <v>0</v>
      </c>
      <c r="BB60" s="45">
        <v>0</v>
      </c>
      <c r="BC60" s="45">
        <v>0</v>
      </c>
      <c r="BD60" s="45">
        <v>0</v>
      </c>
      <c r="BE60" s="45">
        <v>0</v>
      </c>
      <c r="BF60" s="45">
        <v>4417</v>
      </c>
      <c r="BG60" s="45">
        <v>0</v>
      </c>
      <c r="BH60" s="45">
        <v>0</v>
      </c>
      <c r="BI60" s="45">
        <v>8415</v>
      </c>
      <c r="BJ60" s="45">
        <v>0</v>
      </c>
      <c r="BK60" s="45">
        <v>0</v>
      </c>
      <c r="BL60" s="45">
        <v>132</v>
      </c>
      <c r="BM60" s="45">
        <v>0</v>
      </c>
      <c r="BN60" s="45">
        <v>0</v>
      </c>
      <c r="BO60" s="45">
        <v>0</v>
      </c>
      <c r="BP60" s="45">
        <v>0</v>
      </c>
      <c r="BQ60" s="45">
        <v>1133</v>
      </c>
      <c r="BR60" s="45">
        <v>0</v>
      </c>
      <c r="BS60" s="45">
        <v>0</v>
      </c>
      <c r="BT60" s="45">
        <v>0</v>
      </c>
      <c r="BU60" s="45">
        <v>0</v>
      </c>
      <c r="BV60" s="45">
        <v>0</v>
      </c>
      <c r="BW60" s="45">
        <v>815</v>
      </c>
      <c r="BX60" s="45">
        <v>0</v>
      </c>
      <c r="BY60" s="45">
        <v>0</v>
      </c>
      <c r="BZ60" s="45">
        <v>3422</v>
      </c>
      <c r="CA60" s="45">
        <v>0</v>
      </c>
      <c r="CB60" s="42">
        <v>1082825</v>
      </c>
      <c r="CC60" s="259"/>
      <c r="CD60" s="52">
        <v>802284</v>
      </c>
      <c r="CE60" s="53">
        <v>1125878</v>
      </c>
      <c r="CF60" s="54">
        <v>552</v>
      </c>
      <c r="CG60" s="52">
        <v>0</v>
      </c>
      <c r="CH60" s="55">
        <v>3011539</v>
      </c>
      <c r="CI60" s="51">
        <f t="shared" si="0"/>
        <v>3011539</v>
      </c>
      <c r="CJ60" s="51">
        <f t="shared" si="1"/>
        <v>0</v>
      </c>
    </row>
    <row r="61" spans="1:88" x14ac:dyDescent="0.25">
      <c r="A61" s="8" t="s">
        <v>59</v>
      </c>
      <c r="B61" s="262"/>
      <c r="C61" s="43">
        <v>99932</v>
      </c>
      <c r="D61" s="44">
        <v>49752</v>
      </c>
      <c r="E61" s="44">
        <v>1612</v>
      </c>
      <c r="F61" s="44">
        <v>205806</v>
      </c>
      <c r="G61" s="44">
        <v>113992</v>
      </c>
      <c r="H61" s="44">
        <v>667691</v>
      </c>
      <c r="I61" s="44">
        <v>150894</v>
      </c>
      <c r="J61" s="44">
        <v>17931</v>
      </c>
      <c r="K61" s="44">
        <v>54579</v>
      </c>
      <c r="L61" s="44">
        <v>58272</v>
      </c>
      <c r="M61" s="44">
        <v>43847</v>
      </c>
      <c r="N61" s="44">
        <v>305313</v>
      </c>
      <c r="O61" s="44">
        <v>314510</v>
      </c>
      <c r="P61" s="44">
        <v>150536</v>
      </c>
      <c r="Q61" s="45">
        <v>102917</v>
      </c>
      <c r="R61" s="45">
        <v>323596</v>
      </c>
      <c r="S61" s="45">
        <v>99472</v>
      </c>
      <c r="T61" s="45">
        <v>347231</v>
      </c>
      <c r="U61" s="45">
        <v>413803</v>
      </c>
      <c r="V61" s="45">
        <v>171510</v>
      </c>
      <c r="W61" s="45">
        <v>360905</v>
      </c>
      <c r="X61" s="45">
        <v>108759</v>
      </c>
      <c r="Y61" s="45">
        <v>227554</v>
      </c>
      <c r="Z61" s="45">
        <v>282819</v>
      </c>
      <c r="AA61" s="45">
        <v>306319</v>
      </c>
      <c r="AB61" s="45">
        <v>106225</v>
      </c>
      <c r="AC61" s="45">
        <v>239321</v>
      </c>
      <c r="AD61" s="45">
        <v>43319</v>
      </c>
      <c r="AE61" s="45">
        <v>178536</v>
      </c>
      <c r="AF61" s="45">
        <v>519993</v>
      </c>
      <c r="AG61" s="45">
        <v>49351</v>
      </c>
      <c r="AH61" s="45">
        <v>204849</v>
      </c>
      <c r="AI61" s="45">
        <v>110194</v>
      </c>
      <c r="AJ61" s="45">
        <v>1819616</v>
      </c>
      <c r="AK61" s="45">
        <v>410240</v>
      </c>
      <c r="AL61" s="45">
        <v>1440880</v>
      </c>
      <c r="AM61" s="45">
        <v>804208</v>
      </c>
      <c r="AN61" s="45">
        <v>3395236</v>
      </c>
      <c r="AO61" s="45">
        <v>566441</v>
      </c>
      <c r="AP61" s="45">
        <v>638655</v>
      </c>
      <c r="AQ61" s="45">
        <v>240602</v>
      </c>
      <c r="AR61" s="45">
        <v>180435</v>
      </c>
      <c r="AS61" s="45">
        <v>109513</v>
      </c>
      <c r="AT61" s="45">
        <v>61940</v>
      </c>
      <c r="AU61" s="45">
        <v>92163</v>
      </c>
      <c r="AV61" s="45">
        <v>1092429</v>
      </c>
      <c r="AW61" s="45">
        <v>426148</v>
      </c>
      <c r="AX61" s="45">
        <v>135410</v>
      </c>
      <c r="AY61" s="45">
        <v>87335</v>
      </c>
      <c r="AZ61" s="45">
        <v>9633</v>
      </c>
      <c r="BA61" s="45">
        <v>145901</v>
      </c>
      <c r="BB61" s="45">
        <v>155213</v>
      </c>
      <c r="BC61" s="45">
        <v>379786</v>
      </c>
      <c r="BD61" s="45">
        <v>243371</v>
      </c>
      <c r="BE61" s="45">
        <v>211358</v>
      </c>
      <c r="BF61" s="45">
        <v>114669</v>
      </c>
      <c r="BG61" s="45">
        <v>303303</v>
      </c>
      <c r="BH61" s="45">
        <v>144631</v>
      </c>
      <c r="BI61" s="45">
        <v>5155</v>
      </c>
      <c r="BJ61" s="45">
        <v>738288</v>
      </c>
      <c r="BK61" s="45">
        <v>111821</v>
      </c>
      <c r="BL61" s="45">
        <v>100376</v>
      </c>
      <c r="BM61" s="45">
        <v>200253</v>
      </c>
      <c r="BN61" s="45">
        <v>258317</v>
      </c>
      <c r="BO61" s="45">
        <v>334004</v>
      </c>
      <c r="BP61" s="45">
        <v>170865</v>
      </c>
      <c r="BQ61" s="45">
        <v>256271</v>
      </c>
      <c r="BR61" s="45">
        <v>347970</v>
      </c>
      <c r="BS61" s="45">
        <v>103857</v>
      </c>
      <c r="BT61" s="45">
        <v>156853</v>
      </c>
      <c r="BU61" s="45">
        <v>16868</v>
      </c>
      <c r="BV61" s="45">
        <v>18467</v>
      </c>
      <c r="BW61" s="45">
        <v>216166</v>
      </c>
      <c r="BX61" s="45">
        <v>274</v>
      </c>
      <c r="BY61" s="45">
        <v>90176</v>
      </c>
      <c r="BZ61" s="45">
        <v>176681</v>
      </c>
      <c r="CA61" s="45">
        <v>0</v>
      </c>
      <c r="CB61" s="42">
        <v>22943118</v>
      </c>
      <c r="CC61" s="259"/>
      <c r="CD61" s="52">
        <v>6108584</v>
      </c>
      <c r="CE61" s="53">
        <v>0</v>
      </c>
      <c r="CF61" s="54">
        <v>44211</v>
      </c>
      <c r="CG61" s="52">
        <v>641447</v>
      </c>
      <c r="CH61" s="55">
        <v>29737360</v>
      </c>
      <c r="CI61" s="51">
        <f t="shared" si="0"/>
        <v>29737360</v>
      </c>
      <c r="CJ61" s="51">
        <f t="shared" si="1"/>
        <v>0</v>
      </c>
    </row>
    <row r="62" spans="1:88" x14ac:dyDescent="0.25">
      <c r="A62" s="8" t="s">
        <v>60</v>
      </c>
      <c r="B62" s="262"/>
      <c r="C62" s="43">
        <v>11181</v>
      </c>
      <c r="D62" s="44">
        <v>252</v>
      </c>
      <c r="E62" s="44">
        <v>346</v>
      </c>
      <c r="F62" s="44">
        <v>1185</v>
      </c>
      <c r="G62" s="44">
        <v>4950</v>
      </c>
      <c r="H62" s="44">
        <v>551256</v>
      </c>
      <c r="I62" s="44">
        <v>133371</v>
      </c>
      <c r="J62" s="44">
        <v>84625</v>
      </c>
      <c r="K62" s="44">
        <v>13765</v>
      </c>
      <c r="L62" s="44">
        <v>15954</v>
      </c>
      <c r="M62" s="44">
        <v>1879</v>
      </c>
      <c r="N62" s="44">
        <v>105287</v>
      </c>
      <c r="O62" s="44">
        <v>157680</v>
      </c>
      <c r="P62" s="44">
        <v>37863</v>
      </c>
      <c r="Q62" s="45">
        <v>2547</v>
      </c>
      <c r="R62" s="45">
        <v>205614</v>
      </c>
      <c r="S62" s="45">
        <v>250070</v>
      </c>
      <c r="T62" s="45">
        <v>418757</v>
      </c>
      <c r="U62" s="45">
        <v>311143</v>
      </c>
      <c r="V62" s="45">
        <v>269945</v>
      </c>
      <c r="W62" s="45">
        <v>233345</v>
      </c>
      <c r="X62" s="45">
        <v>257918</v>
      </c>
      <c r="Y62" s="45">
        <v>180025</v>
      </c>
      <c r="Z62" s="45">
        <v>67918</v>
      </c>
      <c r="AA62" s="45">
        <v>420163</v>
      </c>
      <c r="AB62" s="45">
        <v>11723</v>
      </c>
      <c r="AC62" s="45">
        <v>13554</v>
      </c>
      <c r="AD62" s="45">
        <v>20136</v>
      </c>
      <c r="AE62" s="45">
        <v>337471</v>
      </c>
      <c r="AF62" s="45">
        <v>24895</v>
      </c>
      <c r="AG62" s="45">
        <v>507</v>
      </c>
      <c r="AH62" s="45">
        <v>28437</v>
      </c>
      <c r="AI62" s="45">
        <v>186</v>
      </c>
      <c r="AJ62" s="45">
        <v>990346</v>
      </c>
      <c r="AK62" s="45">
        <v>339211</v>
      </c>
      <c r="AL62" s="45">
        <v>674998</v>
      </c>
      <c r="AM62" s="45">
        <v>1317106</v>
      </c>
      <c r="AN62" s="45">
        <v>426548</v>
      </c>
      <c r="AO62" s="45">
        <v>9433</v>
      </c>
      <c r="AP62" s="45">
        <v>495851</v>
      </c>
      <c r="AQ62" s="45">
        <v>4143</v>
      </c>
      <c r="AR62" s="45">
        <v>12999</v>
      </c>
      <c r="AS62" s="45">
        <v>329339</v>
      </c>
      <c r="AT62" s="45">
        <v>1418</v>
      </c>
      <c r="AU62" s="45">
        <v>81</v>
      </c>
      <c r="AV62" s="45">
        <v>200495</v>
      </c>
      <c r="AW62" s="45">
        <v>325986</v>
      </c>
      <c r="AX62" s="45">
        <v>104787</v>
      </c>
      <c r="AY62" s="45">
        <v>24302</v>
      </c>
      <c r="AZ62" s="45">
        <v>20642</v>
      </c>
      <c r="BA62" s="45">
        <v>20210</v>
      </c>
      <c r="BB62" s="45">
        <v>116385</v>
      </c>
      <c r="BC62" s="45">
        <v>345946</v>
      </c>
      <c r="BD62" s="45">
        <v>339116</v>
      </c>
      <c r="BE62" s="45">
        <v>247683</v>
      </c>
      <c r="BF62" s="45">
        <v>3801</v>
      </c>
      <c r="BG62" s="45">
        <v>172591</v>
      </c>
      <c r="BH62" s="45">
        <v>3653</v>
      </c>
      <c r="BI62" s="45">
        <v>0</v>
      </c>
      <c r="BJ62" s="45">
        <v>81483</v>
      </c>
      <c r="BK62" s="45">
        <v>1231273</v>
      </c>
      <c r="BL62" s="45">
        <v>6308</v>
      </c>
      <c r="BM62" s="45">
        <v>25769</v>
      </c>
      <c r="BN62" s="45">
        <v>251563</v>
      </c>
      <c r="BO62" s="45">
        <v>85848</v>
      </c>
      <c r="BP62" s="45">
        <v>18893</v>
      </c>
      <c r="BQ62" s="45">
        <v>73647</v>
      </c>
      <c r="BR62" s="45">
        <v>249535</v>
      </c>
      <c r="BS62" s="45">
        <v>2039</v>
      </c>
      <c r="BT62" s="45">
        <v>11332</v>
      </c>
      <c r="BU62" s="45">
        <v>1338</v>
      </c>
      <c r="BV62" s="45">
        <v>1036</v>
      </c>
      <c r="BW62" s="45">
        <v>11384</v>
      </c>
      <c r="BX62" s="45">
        <v>145</v>
      </c>
      <c r="BY62" s="45">
        <v>5535</v>
      </c>
      <c r="BZ62" s="45">
        <v>11531</v>
      </c>
      <c r="CA62" s="45">
        <v>0</v>
      </c>
      <c r="CB62" s="42">
        <v>12769677</v>
      </c>
      <c r="CC62" s="259"/>
      <c r="CD62" s="52">
        <v>86397</v>
      </c>
      <c r="CE62" s="53">
        <v>0</v>
      </c>
      <c r="CF62" s="54">
        <v>3966</v>
      </c>
      <c r="CG62" s="52">
        <v>0</v>
      </c>
      <c r="CH62" s="55">
        <v>12860040</v>
      </c>
      <c r="CI62" s="51">
        <f t="shared" si="0"/>
        <v>12860040</v>
      </c>
      <c r="CJ62" s="51">
        <f t="shared" si="1"/>
        <v>0</v>
      </c>
    </row>
    <row r="63" spans="1:88" x14ac:dyDescent="0.25">
      <c r="A63" s="8" t="s">
        <v>61</v>
      </c>
      <c r="B63" s="262"/>
      <c r="C63" s="43">
        <v>131</v>
      </c>
      <c r="D63" s="44">
        <v>2273</v>
      </c>
      <c r="E63" s="44">
        <v>1</v>
      </c>
      <c r="F63" s="44">
        <v>4</v>
      </c>
      <c r="G63" s="44">
        <v>73</v>
      </c>
      <c r="H63" s="44">
        <v>2622</v>
      </c>
      <c r="I63" s="44">
        <v>850</v>
      </c>
      <c r="J63" s="44">
        <v>5030</v>
      </c>
      <c r="K63" s="44">
        <v>82</v>
      </c>
      <c r="L63" s="44">
        <v>187</v>
      </c>
      <c r="M63" s="44">
        <v>638</v>
      </c>
      <c r="N63" s="44">
        <v>299</v>
      </c>
      <c r="O63" s="44">
        <v>1356</v>
      </c>
      <c r="P63" s="44">
        <v>728</v>
      </c>
      <c r="Q63" s="45">
        <v>62</v>
      </c>
      <c r="R63" s="45">
        <v>6787</v>
      </c>
      <c r="S63" s="45">
        <v>16563</v>
      </c>
      <c r="T63" s="45">
        <v>5345</v>
      </c>
      <c r="U63" s="45">
        <v>1130</v>
      </c>
      <c r="V63" s="45">
        <v>11</v>
      </c>
      <c r="W63" s="45">
        <v>659</v>
      </c>
      <c r="X63" s="45">
        <v>1204</v>
      </c>
      <c r="Y63" s="45">
        <v>4792</v>
      </c>
      <c r="Z63" s="45">
        <v>1007</v>
      </c>
      <c r="AA63" s="45">
        <v>445</v>
      </c>
      <c r="AB63" s="45">
        <v>2429</v>
      </c>
      <c r="AC63" s="45">
        <v>620</v>
      </c>
      <c r="AD63" s="45">
        <v>69</v>
      </c>
      <c r="AE63" s="45">
        <v>6191</v>
      </c>
      <c r="AF63" s="45">
        <v>1706</v>
      </c>
      <c r="AG63" s="45">
        <v>232</v>
      </c>
      <c r="AH63" s="45">
        <v>666</v>
      </c>
      <c r="AI63" s="45">
        <v>14</v>
      </c>
      <c r="AJ63" s="45">
        <v>9652</v>
      </c>
      <c r="AK63" s="45">
        <v>2395</v>
      </c>
      <c r="AL63" s="45">
        <v>16673</v>
      </c>
      <c r="AM63" s="45">
        <v>7207</v>
      </c>
      <c r="AN63" s="45">
        <v>28248</v>
      </c>
      <c r="AO63" s="45">
        <v>51330</v>
      </c>
      <c r="AP63" s="45">
        <v>34822</v>
      </c>
      <c r="AQ63" s="45">
        <v>86767</v>
      </c>
      <c r="AR63" s="45">
        <v>5627</v>
      </c>
      <c r="AS63" s="45">
        <v>476</v>
      </c>
      <c r="AT63" s="45">
        <v>2</v>
      </c>
      <c r="AU63" s="45">
        <v>164</v>
      </c>
      <c r="AV63" s="45">
        <v>2008</v>
      </c>
      <c r="AW63" s="45">
        <v>6955</v>
      </c>
      <c r="AX63" s="45">
        <v>10800</v>
      </c>
      <c r="AY63" s="45">
        <v>9863</v>
      </c>
      <c r="AZ63" s="45">
        <v>0</v>
      </c>
      <c r="BA63" s="45">
        <v>1347</v>
      </c>
      <c r="BB63" s="45">
        <v>15604</v>
      </c>
      <c r="BC63" s="45">
        <v>9569</v>
      </c>
      <c r="BD63" s="45">
        <v>8145</v>
      </c>
      <c r="BE63" s="45">
        <v>6458</v>
      </c>
      <c r="BF63" s="45">
        <v>2152</v>
      </c>
      <c r="BG63" s="45">
        <v>18881</v>
      </c>
      <c r="BH63" s="45">
        <v>197</v>
      </c>
      <c r="BI63" s="45">
        <v>0</v>
      </c>
      <c r="BJ63" s="45">
        <v>29246</v>
      </c>
      <c r="BK63" s="45">
        <v>320</v>
      </c>
      <c r="BL63" s="45">
        <v>500867</v>
      </c>
      <c r="BM63" s="45">
        <v>903</v>
      </c>
      <c r="BN63" s="45">
        <v>125</v>
      </c>
      <c r="BO63" s="45">
        <v>18455</v>
      </c>
      <c r="BP63" s="45">
        <v>8686</v>
      </c>
      <c r="BQ63" s="45">
        <v>16668</v>
      </c>
      <c r="BR63" s="45">
        <v>5844</v>
      </c>
      <c r="BS63" s="45">
        <v>0</v>
      </c>
      <c r="BT63" s="45">
        <v>15767</v>
      </c>
      <c r="BU63" s="45">
        <v>43381</v>
      </c>
      <c r="BV63" s="45">
        <v>55</v>
      </c>
      <c r="BW63" s="45">
        <v>51018</v>
      </c>
      <c r="BX63" s="45">
        <v>589</v>
      </c>
      <c r="BY63" s="45">
        <v>0</v>
      </c>
      <c r="BZ63" s="45">
        <v>1074</v>
      </c>
      <c r="CA63" s="45">
        <v>0</v>
      </c>
      <c r="CB63" s="42">
        <v>1092546</v>
      </c>
      <c r="CC63" s="259"/>
      <c r="CD63" s="52">
        <v>10122802</v>
      </c>
      <c r="CE63" s="53">
        <v>111766</v>
      </c>
      <c r="CF63" s="54">
        <v>35</v>
      </c>
      <c r="CG63" s="52">
        <v>247001</v>
      </c>
      <c r="CH63" s="55">
        <v>11574150</v>
      </c>
      <c r="CI63" s="51">
        <f t="shared" si="0"/>
        <v>11574150</v>
      </c>
      <c r="CJ63" s="51">
        <f t="shared" si="1"/>
        <v>0</v>
      </c>
    </row>
    <row r="64" spans="1:88" x14ac:dyDescent="0.25">
      <c r="A64" s="8" t="s">
        <v>62</v>
      </c>
      <c r="B64" s="262"/>
      <c r="C64" s="43">
        <v>24857</v>
      </c>
      <c r="D64" s="44">
        <v>18206</v>
      </c>
      <c r="E64" s="44">
        <v>205</v>
      </c>
      <c r="F64" s="44">
        <v>53944</v>
      </c>
      <c r="G64" s="44">
        <v>39539</v>
      </c>
      <c r="H64" s="44">
        <v>161258</v>
      </c>
      <c r="I64" s="44">
        <v>31217</v>
      </c>
      <c r="J64" s="44">
        <v>9723</v>
      </c>
      <c r="K64" s="44">
        <v>24416</v>
      </c>
      <c r="L64" s="44">
        <v>9672</v>
      </c>
      <c r="M64" s="44">
        <v>4862</v>
      </c>
      <c r="N64" s="44">
        <v>37228</v>
      </c>
      <c r="O64" s="44">
        <v>56250</v>
      </c>
      <c r="P64" s="44">
        <v>30524</v>
      </c>
      <c r="Q64" s="45">
        <v>59085</v>
      </c>
      <c r="R64" s="45">
        <v>153727</v>
      </c>
      <c r="S64" s="45">
        <v>22530</v>
      </c>
      <c r="T64" s="45">
        <v>100680</v>
      </c>
      <c r="U64" s="45">
        <v>93161</v>
      </c>
      <c r="V64" s="45">
        <v>98720</v>
      </c>
      <c r="W64" s="45">
        <v>127405</v>
      </c>
      <c r="X64" s="45">
        <v>33953</v>
      </c>
      <c r="Y64" s="45">
        <v>57409</v>
      </c>
      <c r="Z64" s="45">
        <v>47233</v>
      </c>
      <c r="AA64" s="45">
        <v>102143</v>
      </c>
      <c r="AB64" s="45">
        <v>35748</v>
      </c>
      <c r="AC64" s="45">
        <v>60946</v>
      </c>
      <c r="AD64" s="45">
        <v>22121</v>
      </c>
      <c r="AE64" s="45">
        <v>42544</v>
      </c>
      <c r="AF64" s="45">
        <v>202537</v>
      </c>
      <c r="AG64" s="45">
        <v>30672</v>
      </c>
      <c r="AH64" s="45">
        <v>71320</v>
      </c>
      <c r="AI64" s="45">
        <v>21911</v>
      </c>
      <c r="AJ64" s="45">
        <v>506032</v>
      </c>
      <c r="AK64" s="45">
        <v>74695</v>
      </c>
      <c r="AL64" s="45">
        <v>409815</v>
      </c>
      <c r="AM64" s="45">
        <v>579374</v>
      </c>
      <c r="AN64" s="45">
        <v>269815</v>
      </c>
      <c r="AO64" s="45">
        <v>10163</v>
      </c>
      <c r="AP64" s="45">
        <v>263178</v>
      </c>
      <c r="AQ64" s="45">
        <v>82410</v>
      </c>
      <c r="AR64" s="45">
        <v>43224</v>
      </c>
      <c r="AS64" s="45">
        <v>7358</v>
      </c>
      <c r="AT64" s="45">
        <v>17032</v>
      </c>
      <c r="AU64" s="45">
        <v>7821</v>
      </c>
      <c r="AV64" s="45">
        <v>117711</v>
      </c>
      <c r="AW64" s="45">
        <v>28145</v>
      </c>
      <c r="AX64" s="45">
        <v>39931</v>
      </c>
      <c r="AY64" s="45">
        <v>504177</v>
      </c>
      <c r="AZ64" s="45">
        <v>43637</v>
      </c>
      <c r="BA64" s="45">
        <v>171755</v>
      </c>
      <c r="BB64" s="45">
        <v>551884</v>
      </c>
      <c r="BC64" s="45">
        <v>21222</v>
      </c>
      <c r="BD64" s="45">
        <v>54745</v>
      </c>
      <c r="BE64" s="45">
        <v>29309</v>
      </c>
      <c r="BF64" s="45">
        <v>73152</v>
      </c>
      <c r="BG64" s="45">
        <v>58467</v>
      </c>
      <c r="BH64" s="45">
        <v>8649</v>
      </c>
      <c r="BI64" s="45">
        <v>705</v>
      </c>
      <c r="BJ64" s="45">
        <v>83373</v>
      </c>
      <c r="BK64" s="45">
        <v>8620</v>
      </c>
      <c r="BL64" s="45">
        <v>10386</v>
      </c>
      <c r="BM64" s="45">
        <v>1448352</v>
      </c>
      <c r="BN64" s="45">
        <v>17488</v>
      </c>
      <c r="BO64" s="45">
        <v>19351</v>
      </c>
      <c r="BP64" s="45">
        <v>52992</v>
      </c>
      <c r="BQ64" s="45">
        <v>144007</v>
      </c>
      <c r="BR64" s="45">
        <v>133867</v>
      </c>
      <c r="BS64" s="45">
        <v>5054</v>
      </c>
      <c r="BT64" s="45">
        <v>137100</v>
      </c>
      <c r="BU64" s="45">
        <v>43590</v>
      </c>
      <c r="BV64" s="45">
        <v>4148</v>
      </c>
      <c r="BW64" s="45">
        <v>106344</v>
      </c>
      <c r="BX64" s="45">
        <v>385</v>
      </c>
      <c r="BY64" s="45">
        <v>14703</v>
      </c>
      <c r="BZ64" s="45">
        <v>758161</v>
      </c>
      <c r="CA64" s="45">
        <v>0</v>
      </c>
      <c r="CB64" s="42">
        <v>8848073</v>
      </c>
      <c r="CC64" s="259"/>
      <c r="CD64" s="52">
        <v>280495</v>
      </c>
      <c r="CE64" s="53">
        <v>0</v>
      </c>
      <c r="CF64" s="54">
        <v>-266</v>
      </c>
      <c r="CG64" s="52">
        <v>479618</v>
      </c>
      <c r="CH64" s="55">
        <v>9607920</v>
      </c>
      <c r="CI64" s="51">
        <f t="shared" si="0"/>
        <v>9607920</v>
      </c>
      <c r="CJ64" s="51">
        <f t="shared" si="1"/>
        <v>0</v>
      </c>
    </row>
    <row r="65" spans="1:88" x14ac:dyDescent="0.25">
      <c r="A65" s="8" t="s">
        <v>63</v>
      </c>
      <c r="B65" s="262"/>
      <c r="C65" s="43">
        <v>16239</v>
      </c>
      <c r="D65" s="44">
        <v>15496</v>
      </c>
      <c r="E65" s="44">
        <v>254</v>
      </c>
      <c r="F65" s="44">
        <v>32234</v>
      </c>
      <c r="G65" s="44">
        <v>10470</v>
      </c>
      <c r="H65" s="44">
        <v>83055</v>
      </c>
      <c r="I65" s="44">
        <v>25644</v>
      </c>
      <c r="J65" s="44">
        <v>15248</v>
      </c>
      <c r="K65" s="44">
        <v>20483</v>
      </c>
      <c r="L65" s="44">
        <v>13948</v>
      </c>
      <c r="M65" s="44">
        <v>11525</v>
      </c>
      <c r="N65" s="44">
        <v>32028</v>
      </c>
      <c r="O65" s="44">
        <v>41678</v>
      </c>
      <c r="P65" s="44">
        <v>22307</v>
      </c>
      <c r="Q65" s="45">
        <v>12401</v>
      </c>
      <c r="R65" s="45">
        <v>42171</v>
      </c>
      <c r="S65" s="45">
        <v>25609</v>
      </c>
      <c r="T65" s="45">
        <v>58139</v>
      </c>
      <c r="U65" s="45">
        <v>44369</v>
      </c>
      <c r="V65" s="45">
        <v>32807</v>
      </c>
      <c r="W65" s="45">
        <v>85775</v>
      </c>
      <c r="X65" s="45">
        <v>16344</v>
      </c>
      <c r="Y65" s="45">
        <v>76247</v>
      </c>
      <c r="Z65" s="45">
        <v>49320</v>
      </c>
      <c r="AA65" s="45">
        <v>72179</v>
      </c>
      <c r="AB65" s="45">
        <v>28664</v>
      </c>
      <c r="AC65" s="45">
        <v>37112</v>
      </c>
      <c r="AD65" s="45">
        <v>6889</v>
      </c>
      <c r="AE65" s="45">
        <v>34221</v>
      </c>
      <c r="AF65" s="45">
        <v>163080</v>
      </c>
      <c r="AG65" s="45">
        <v>35298</v>
      </c>
      <c r="AH65" s="45">
        <v>55354</v>
      </c>
      <c r="AI65" s="45">
        <v>31113</v>
      </c>
      <c r="AJ65" s="45">
        <v>166383</v>
      </c>
      <c r="AK65" s="45">
        <v>28618</v>
      </c>
      <c r="AL65" s="45">
        <v>137194</v>
      </c>
      <c r="AM65" s="45">
        <v>137429</v>
      </c>
      <c r="AN65" s="45">
        <v>283470</v>
      </c>
      <c r="AO65" s="45">
        <v>14142</v>
      </c>
      <c r="AP65" s="45">
        <v>162691</v>
      </c>
      <c r="AQ65" s="45">
        <v>87289</v>
      </c>
      <c r="AR65" s="45">
        <v>19658</v>
      </c>
      <c r="AS65" s="45">
        <v>18187</v>
      </c>
      <c r="AT65" s="45">
        <v>19537</v>
      </c>
      <c r="AU65" s="45">
        <v>7216</v>
      </c>
      <c r="AV65" s="45">
        <v>133961</v>
      </c>
      <c r="AW65" s="45">
        <v>87293</v>
      </c>
      <c r="AX65" s="45">
        <v>44361</v>
      </c>
      <c r="AY65" s="45">
        <v>58057</v>
      </c>
      <c r="AZ65" s="45">
        <v>49464</v>
      </c>
      <c r="BA65" s="45">
        <v>106101</v>
      </c>
      <c r="BB65" s="45">
        <v>45978</v>
      </c>
      <c r="BC65" s="45">
        <v>40067</v>
      </c>
      <c r="BD65" s="45">
        <v>80940</v>
      </c>
      <c r="BE65" s="45">
        <v>22975</v>
      </c>
      <c r="BF65" s="45">
        <v>65194</v>
      </c>
      <c r="BG65" s="45">
        <v>24922</v>
      </c>
      <c r="BH65" s="45">
        <v>2050</v>
      </c>
      <c r="BI65" s="45">
        <v>302</v>
      </c>
      <c r="BJ65" s="45">
        <v>74463</v>
      </c>
      <c r="BK65" s="45">
        <v>9616</v>
      </c>
      <c r="BL65" s="45">
        <v>11382</v>
      </c>
      <c r="BM65" s="45">
        <v>41934</v>
      </c>
      <c r="BN65" s="45">
        <v>826743</v>
      </c>
      <c r="BO65" s="45">
        <v>17224</v>
      </c>
      <c r="BP65" s="45">
        <v>233171</v>
      </c>
      <c r="BQ65" s="45">
        <v>103205</v>
      </c>
      <c r="BR65" s="45">
        <v>121631</v>
      </c>
      <c r="BS65" s="45">
        <v>121668</v>
      </c>
      <c r="BT65" s="45">
        <v>38925</v>
      </c>
      <c r="BU65" s="45">
        <v>15581</v>
      </c>
      <c r="BV65" s="45">
        <v>1399</v>
      </c>
      <c r="BW65" s="45">
        <v>32358</v>
      </c>
      <c r="BX65" s="45">
        <v>98</v>
      </c>
      <c r="BY65" s="45">
        <v>11280</v>
      </c>
      <c r="BZ65" s="45">
        <v>18461</v>
      </c>
      <c r="CA65" s="45">
        <v>0</v>
      </c>
      <c r="CB65" s="42">
        <v>4770319</v>
      </c>
      <c r="CC65" s="259"/>
      <c r="CD65" s="52">
        <v>5869180</v>
      </c>
      <c r="CE65" s="53">
        <v>1597797</v>
      </c>
      <c r="CF65" s="54">
        <v>430</v>
      </c>
      <c r="CG65" s="52">
        <v>674508</v>
      </c>
      <c r="CH65" s="55">
        <v>12912234</v>
      </c>
      <c r="CI65" s="51">
        <f t="shared" si="0"/>
        <v>12912234</v>
      </c>
      <c r="CJ65" s="51">
        <f t="shared" si="1"/>
        <v>0</v>
      </c>
    </row>
    <row r="66" spans="1:88" x14ac:dyDescent="0.25">
      <c r="A66" s="8" t="s">
        <v>64</v>
      </c>
      <c r="B66" s="262"/>
      <c r="C66" s="43">
        <v>39762</v>
      </c>
      <c r="D66" s="44">
        <v>21185</v>
      </c>
      <c r="E66" s="44">
        <v>171</v>
      </c>
      <c r="F66" s="44">
        <v>4291</v>
      </c>
      <c r="G66" s="44">
        <v>140353</v>
      </c>
      <c r="H66" s="44">
        <v>449350</v>
      </c>
      <c r="I66" s="44">
        <v>326547</v>
      </c>
      <c r="J66" s="44">
        <v>23581</v>
      </c>
      <c r="K66" s="44">
        <v>25548</v>
      </c>
      <c r="L66" s="44">
        <v>50263</v>
      </c>
      <c r="M66" s="44">
        <v>14109</v>
      </c>
      <c r="N66" s="44">
        <v>112427</v>
      </c>
      <c r="O66" s="44">
        <v>90150</v>
      </c>
      <c r="P66" s="44">
        <v>85240</v>
      </c>
      <c r="Q66" s="45">
        <v>209628</v>
      </c>
      <c r="R66" s="45">
        <v>98150</v>
      </c>
      <c r="S66" s="45">
        <v>359302</v>
      </c>
      <c r="T66" s="45">
        <v>73989</v>
      </c>
      <c r="U66" s="45">
        <v>20699</v>
      </c>
      <c r="V66" s="45">
        <v>105874</v>
      </c>
      <c r="W66" s="45">
        <v>209606</v>
      </c>
      <c r="X66" s="45">
        <v>138087</v>
      </c>
      <c r="Y66" s="45">
        <v>100788</v>
      </c>
      <c r="Z66" s="45">
        <v>93387</v>
      </c>
      <c r="AA66" s="45">
        <v>87291</v>
      </c>
      <c r="AB66" s="45">
        <v>75358</v>
      </c>
      <c r="AC66" s="45">
        <v>66350</v>
      </c>
      <c r="AD66" s="45">
        <v>13518</v>
      </c>
      <c r="AE66" s="45">
        <v>70768</v>
      </c>
      <c r="AF66" s="45">
        <v>1681621</v>
      </c>
      <c r="AG66" s="45">
        <v>5585</v>
      </c>
      <c r="AH66" s="45">
        <v>130963</v>
      </c>
      <c r="AI66" s="45">
        <v>65083</v>
      </c>
      <c r="AJ66" s="45">
        <v>349506</v>
      </c>
      <c r="AK66" s="45">
        <v>287395</v>
      </c>
      <c r="AL66" s="45">
        <v>1343490</v>
      </c>
      <c r="AM66" s="45">
        <v>1251223</v>
      </c>
      <c r="AN66" s="45">
        <v>458078</v>
      </c>
      <c r="AO66" s="45">
        <v>8076</v>
      </c>
      <c r="AP66" s="45">
        <v>178220</v>
      </c>
      <c r="AQ66" s="45">
        <v>39320</v>
      </c>
      <c r="AR66" s="45">
        <v>54120</v>
      </c>
      <c r="AS66" s="45">
        <v>53763</v>
      </c>
      <c r="AT66" s="45">
        <v>16362</v>
      </c>
      <c r="AU66" s="45">
        <v>48514</v>
      </c>
      <c r="AV66" s="45">
        <v>2184304</v>
      </c>
      <c r="AW66" s="45">
        <v>461887</v>
      </c>
      <c r="AX66" s="45">
        <v>86370</v>
      </c>
      <c r="AY66" s="45">
        <v>87582</v>
      </c>
      <c r="AZ66" s="45">
        <v>39662</v>
      </c>
      <c r="BA66" s="45">
        <v>239538</v>
      </c>
      <c r="BB66" s="45">
        <v>599916</v>
      </c>
      <c r="BC66" s="45">
        <v>742952</v>
      </c>
      <c r="BD66" s="45">
        <v>381450</v>
      </c>
      <c r="BE66" s="45">
        <v>190816</v>
      </c>
      <c r="BF66" s="45">
        <v>72288</v>
      </c>
      <c r="BG66" s="45">
        <v>250499</v>
      </c>
      <c r="BH66" s="45">
        <v>47285</v>
      </c>
      <c r="BI66" s="45">
        <v>1598</v>
      </c>
      <c r="BJ66" s="45">
        <v>166942</v>
      </c>
      <c r="BK66" s="45">
        <v>66542</v>
      </c>
      <c r="BL66" s="45">
        <v>22092</v>
      </c>
      <c r="BM66" s="45">
        <v>105969</v>
      </c>
      <c r="BN66" s="45">
        <v>342694</v>
      </c>
      <c r="BO66" s="45">
        <v>748197</v>
      </c>
      <c r="BP66" s="45">
        <v>38131</v>
      </c>
      <c r="BQ66" s="45">
        <v>337113</v>
      </c>
      <c r="BR66" s="45">
        <v>309926</v>
      </c>
      <c r="BS66" s="45">
        <v>9348</v>
      </c>
      <c r="BT66" s="45">
        <v>128105</v>
      </c>
      <c r="BU66" s="45">
        <v>18276</v>
      </c>
      <c r="BV66" s="45">
        <v>4849</v>
      </c>
      <c r="BW66" s="45">
        <v>4904</v>
      </c>
      <c r="BX66" s="45">
        <v>3363</v>
      </c>
      <c r="BY66" s="45">
        <v>6509</v>
      </c>
      <c r="BZ66" s="45">
        <v>25096</v>
      </c>
      <c r="CA66" s="45">
        <v>0</v>
      </c>
      <c r="CB66" s="42">
        <v>16801294</v>
      </c>
      <c r="CC66" s="259"/>
      <c r="CD66" s="52">
        <v>1211995</v>
      </c>
      <c r="CE66" s="53">
        <v>5805</v>
      </c>
      <c r="CF66" s="54">
        <v>3164</v>
      </c>
      <c r="CG66" s="52">
        <v>956054</v>
      </c>
      <c r="CH66" s="55">
        <v>18978312</v>
      </c>
      <c r="CI66" s="51">
        <f t="shared" si="0"/>
        <v>18978312</v>
      </c>
      <c r="CJ66" s="51">
        <f t="shared" si="1"/>
        <v>0</v>
      </c>
    </row>
    <row r="67" spans="1:88" x14ac:dyDescent="0.25">
      <c r="A67" s="8" t="s">
        <v>65</v>
      </c>
      <c r="B67" s="262"/>
      <c r="C67" s="43">
        <v>83126</v>
      </c>
      <c r="D67" s="44">
        <v>13107</v>
      </c>
      <c r="E67" s="44">
        <v>76</v>
      </c>
      <c r="F67" s="44">
        <v>48343</v>
      </c>
      <c r="G67" s="44">
        <v>42203</v>
      </c>
      <c r="H67" s="44">
        <v>196024</v>
      </c>
      <c r="I67" s="44">
        <v>40406</v>
      </c>
      <c r="J67" s="44">
        <v>11190</v>
      </c>
      <c r="K67" s="44">
        <v>43663</v>
      </c>
      <c r="L67" s="44">
        <v>27906</v>
      </c>
      <c r="M67" s="44">
        <v>16254</v>
      </c>
      <c r="N67" s="44">
        <v>56079</v>
      </c>
      <c r="O67" s="44">
        <v>54212</v>
      </c>
      <c r="P67" s="44">
        <v>42934</v>
      </c>
      <c r="Q67" s="45">
        <v>24167</v>
      </c>
      <c r="R67" s="45">
        <v>64649</v>
      </c>
      <c r="S67" s="45">
        <v>19355</v>
      </c>
      <c r="T67" s="45">
        <v>93003</v>
      </c>
      <c r="U67" s="45">
        <v>78724</v>
      </c>
      <c r="V67" s="45">
        <v>82455</v>
      </c>
      <c r="W67" s="45">
        <v>73545</v>
      </c>
      <c r="X67" s="45">
        <v>75541</v>
      </c>
      <c r="Y67" s="45">
        <v>97989</v>
      </c>
      <c r="Z67" s="45">
        <v>74430</v>
      </c>
      <c r="AA67" s="45">
        <v>82556</v>
      </c>
      <c r="AB67" s="45">
        <v>52819</v>
      </c>
      <c r="AC67" s="45">
        <v>72323</v>
      </c>
      <c r="AD67" s="45">
        <v>21758</v>
      </c>
      <c r="AE67" s="45">
        <v>65003</v>
      </c>
      <c r="AF67" s="45">
        <v>206554</v>
      </c>
      <c r="AG67" s="45">
        <v>23677</v>
      </c>
      <c r="AH67" s="45">
        <v>68441</v>
      </c>
      <c r="AI67" s="45">
        <v>32070</v>
      </c>
      <c r="AJ67" s="45">
        <v>104682</v>
      </c>
      <c r="AK67" s="45">
        <v>300397</v>
      </c>
      <c r="AL67" s="45">
        <v>395835</v>
      </c>
      <c r="AM67" s="45">
        <v>310623</v>
      </c>
      <c r="AN67" s="45">
        <v>288703</v>
      </c>
      <c r="AO67" s="45">
        <v>24885</v>
      </c>
      <c r="AP67" s="45">
        <v>96918</v>
      </c>
      <c r="AQ67" s="45">
        <v>47926</v>
      </c>
      <c r="AR67" s="45">
        <v>106638</v>
      </c>
      <c r="AS67" s="45">
        <v>46193</v>
      </c>
      <c r="AT67" s="45">
        <v>29822</v>
      </c>
      <c r="AU67" s="45">
        <v>23807</v>
      </c>
      <c r="AV67" s="45">
        <v>70847</v>
      </c>
      <c r="AW67" s="45">
        <v>130488</v>
      </c>
      <c r="AX67" s="45">
        <v>25652</v>
      </c>
      <c r="AY67" s="45">
        <v>110669</v>
      </c>
      <c r="AZ67" s="45">
        <v>54796</v>
      </c>
      <c r="BA67" s="45">
        <v>24659</v>
      </c>
      <c r="BB67" s="45">
        <v>121607</v>
      </c>
      <c r="BC67" s="45">
        <v>74989</v>
      </c>
      <c r="BD67" s="45">
        <v>79743</v>
      </c>
      <c r="BE67" s="45">
        <v>103055</v>
      </c>
      <c r="BF67" s="45">
        <v>119237</v>
      </c>
      <c r="BG67" s="45">
        <v>229485</v>
      </c>
      <c r="BH67" s="45">
        <v>61374</v>
      </c>
      <c r="BI67" s="45">
        <v>2674</v>
      </c>
      <c r="BJ67" s="45">
        <v>64609</v>
      </c>
      <c r="BK67" s="45">
        <v>26516</v>
      </c>
      <c r="BL67" s="45">
        <v>23368</v>
      </c>
      <c r="BM67" s="45">
        <v>44571</v>
      </c>
      <c r="BN67" s="45">
        <v>69077</v>
      </c>
      <c r="BO67" s="45">
        <v>63873</v>
      </c>
      <c r="BP67" s="45">
        <v>233509</v>
      </c>
      <c r="BQ67" s="45">
        <v>79197</v>
      </c>
      <c r="BR67" s="45">
        <v>86577</v>
      </c>
      <c r="BS67" s="45">
        <v>32140</v>
      </c>
      <c r="BT67" s="45">
        <v>26055</v>
      </c>
      <c r="BU67" s="45">
        <v>5815</v>
      </c>
      <c r="BV67" s="45">
        <v>4611</v>
      </c>
      <c r="BW67" s="45">
        <v>8195</v>
      </c>
      <c r="BX67" s="45">
        <v>15363</v>
      </c>
      <c r="BY67" s="45">
        <v>28444</v>
      </c>
      <c r="BZ67" s="45">
        <v>41095</v>
      </c>
      <c r="CA67" s="45">
        <v>0</v>
      </c>
      <c r="CB67" s="42">
        <v>5823301</v>
      </c>
      <c r="CC67" s="259"/>
      <c r="CD67" s="52">
        <v>2962122</v>
      </c>
      <c r="CE67" s="53">
        <v>109737909</v>
      </c>
      <c r="CF67" s="54">
        <v>612889</v>
      </c>
      <c r="CG67" s="52">
        <v>723701</v>
      </c>
      <c r="CH67" s="55">
        <v>119859922</v>
      </c>
      <c r="CI67" s="51">
        <f t="shared" ref="CI67:CI80" si="2">CB67+CD67+CE67+CF67+CG67</f>
        <v>119859922</v>
      </c>
      <c r="CJ67" s="51">
        <f t="shared" ref="CJ67:CJ80" si="3">CI67-CH67</f>
        <v>0</v>
      </c>
    </row>
    <row r="68" spans="1:88" x14ac:dyDescent="0.25">
      <c r="A68" s="8" t="s">
        <v>66</v>
      </c>
      <c r="B68" s="262"/>
      <c r="C68" s="43">
        <v>11401</v>
      </c>
      <c r="D68" s="44">
        <v>8256</v>
      </c>
      <c r="E68" s="44">
        <v>116</v>
      </c>
      <c r="F68" s="44">
        <v>2986</v>
      </c>
      <c r="G68" s="44">
        <v>9738</v>
      </c>
      <c r="H68" s="44">
        <v>63549</v>
      </c>
      <c r="I68" s="44">
        <v>5097</v>
      </c>
      <c r="J68" s="44">
        <v>8830</v>
      </c>
      <c r="K68" s="44">
        <v>4567</v>
      </c>
      <c r="L68" s="44">
        <v>6163</v>
      </c>
      <c r="M68" s="44">
        <v>1527</v>
      </c>
      <c r="N68" s="44">
        <v>7158</v>
      </c>
      <c r="O68" s="44">
        <v>24422</v>
      </c>
      <c r="P68" s="44">
        <v>3554</v>
      </c>
      <c r="Q68" s="45">
        <v>11875</v>
      </c>
      <c r="R68" s="45">
        <v>63947</v>
      </c>
      <c r="S68" s="45">
        <v>11189</v>
      </c>
      <c r="T68" s="45">
        <v>35187</v>
      </c>
      <c r="U68" s="45">
        <v>32175</v>
      </c>
      <c r="V68" s="45">
        <v>18442</v>
      </c>
      <c r="W68" s="45">
        <v>44025</v>
      </c>
      <c r="X68" s="45">
        <v>9082</v>
      </c>
      <c r="Y68" s="45">
        <v>64475</v>
      </c>
      <c r="Z68" s="45">
        <v>37750</v>
      </c>
      <c r="AA68" s="45">
        <v>74494</v>
      </c>
      <c r="AB68" s="45">
        <v>18726</v>
      </c>
      <c r="AC68" s="45">
        <v>15234</v>
      </c>
      <c r="AD68" s="45">
        <v>2624</v>
      </c>
      <c r="AE68" s="45">
        <v>19067</v>
      </c>
      <c r="AF68" s="45">
        <v>45209</v>
      </c>
      <c r="AG68" s="45">
        <v>3739</v>
      </c>
      <c r="AH68" s="45">
        <v>16838</v>
      </c>
      <c r="AI68" s="45">
        <v>3724</v>
      </c>
      <c r="AJ68" s="45">
        <v>199519</v>
      </c>
      <c r="AK68" s="45">
        <v>85002</v>
      </c>
      <c r="AL68" s="45">
        <v>301757</v>
      </c>
      <c r="AM68" s="45">
        <v>71264</v>
      </c>
      <c r="AN68" s="45">
        <v>52108</v>
      </c>
      <c r="AO68" s="45">
        <v>1898</v>
      </c>
      <c r="AP68" s="45">
        <v>34699</v>
      </c>
      <c r="AQ68" s="45">
        <v>14386</v>
      </c>
      <c r="AR68" s="45">
        <v>62501</v>
      </c>
      <c r="AS68" s="45">
        <v>11143</v>
      </c>
      <c r="AT68" s="45">
        <v>160</v>
      </c>
      <c r="AU68" s="45">
        <v>638</v>
      </c>
      <c r="AV68" s="45">
        <v>65416</v>
      </c>
      <c r="AW68" s="45">
        <v>118116</v>
      </c>
      <c r="AX68" s="45">
        <v>10163</v>
      </c>
      <c r="AY68" s="45">
        <v>29040</v>
      </c>
      <c r="AZ68" s="45">
        <v>151663</v>
      </c>
      <c r="BA68" s="45">
        <v>7620</v>
      </c>
      <c r="BB68" s="45">
        <v>39159</v>
      </c>
      <c r="BC68" s="45">
        <v>136170</v>
      </c>
      <c r="BD68" s="45">
        <v>742078</v>
      </c>
      <c r="BE68" s="45">
        <v>15714</v>
      </c>
      <c r="BF68" s="45">
        <v>57351</v>
      </c>
      <c r="BG68" s="45">
        <v>70753</v>
      </c>
      <c r="BH68" s="45">
        <v>6839</v>
      </c>
      <c r="BI68" s="45">
        <v>0</v>
      </c>
      <c r="BJ68" s="45">
        <v>79312</v>
      </c>
      <c r="BK68" s="45">
        <v>25057</v>
      </c>
      <c r="BL68" s="45">
        <v>2228</v>
      </c>
      <c r="BM68" s="45">
        <v>22216</v>
      </c>
      <c r="BN68" s="45">
        <v>8371</v>
      </c>
      <c r="BO68" s="45">
        <v>46929</v>
      </c>
      <c r="BP68" s="45">
        <v>74170</v>
      </c>
      <c r="BQ68" s="45">
        <v>4402197</v>
      </c>
      <c r="BR68" s="45">
        <v>68582</v>
      </c>
      <c r="BS68" s="45">
        <v>6364</v>
      </c>
      <c r="BT68" s="45">
        <v>90318</v>
      </c>
      <c r="BU68" s="45">
        <v>8828</v>
      </c>
      <c r="BV68" s="45">
        <v>80</v>
      </c>
      <c r="BW68" s="45">
        <v>1959</v>
      </c>
      <c r="BX68" s="45">
        <v>272</v>
      </c>
      <c r="BY68" s="45">
        <v>21978</v>
      </c>
      <c r="BZ68" s="45">
        <v>17444</v>
      </c>
      <c r="CA68" s="45">
        <v>0</v>
      </c>
      <c r="CB68" s="42">
        <v>7846628</v>
      </c>
      <c r="CC68" s="259"/>
      <c r="CD68" s="52">
        <v>16612186</v>
      </c>
      <c r="CE68" s="53">
        <v>68987441</v>
      </c>
      <c r="CF68" s="54">
        <v>-1472</v>
      </c>
      <c r="CG68" s="52">
        <v>161568</v>
      </c>
      <c r="CH68" s="55">
        <v>93606351</v>
      </c>
      <c r="CI68" s="51">
        <f t="shared" si="2"/>
        <v>93606351</v>
      </c>
      <c r="CJ68" s="51">
        <f t="shared" si="3"/>
        <v>0</v>
      </c>
    </row>
    <row r="69" spans="1:88" x14ac:dyDescent="0.25">
      <c r="A69" s="8" t="s">
        <v>67</v>
      </c>
      <c r="B69" s="262"/>
      <c r="C69" s="43">
        <v>27423</v>
      </c>
      <c r="D69" s="44">
        <v>3196</v>
      </c>
      <c r="E69" s="44">
        <v>367</v>
      </c>
      <c r="F69" s="44">
        <v>4056</v>
      </c>
      <c r="G69" s="44">
        <v>6718</v>
      </c>
      <c r="H69" s="44">
        <v>108000</v>
      </c>
      <c r="I69" s="44">
        <v>16246</v>
      </c>
      <c r="J69" s="44">
        <v>1388</v>
      </c>
      <c r="K69" s="44">
        <v>5157</v>
      </c>
      <c r="L69" s="44">
        <v>5450</v>
      </c>
      <c r="M69" s="44">
        <v>1460</v>
      </c>
      <c r="N69" s="44">
        <v>11425</v>
      </c>
      <c r="O69" s="44">
        <v>7092</v>
      </c>
      <c r="P69" s="44">
        <v>8780</v>
      </c>
      <c r="Q69" s="45">
        <v>5773</v>
      </c>
      <c r="R69" s="45">
        <v>18553</v>
      </c>
      <c r="S69" s="45">
        <v>8583</v>
      </c>
      <c r="T69" s="45">
        <v>31048</v>
      </c>
      <c r="U69" s="45">
        <v>22263</v>
      </c>
      <c r="V69" s="45">
        <v>37982</v>
      </c>
      <c r="W69" s="45">
        <v>44746</v>
      </c>
      <c r="X69" s="45">
        <v>3916</v>
      </c>
      <c r="Y69" s="45">
        <v>48006</v>
      </c>
      <c r="Z69" s="45">
        <v>34250</v>
      </c>
      <c r="AA69" s="45">
        <v>44505</v>
      </c>
      <c r="AB69" s="45">
        <v>12147</v>
      </c>
      <c r="AC69" s="45">
        <v>11338</v>
      </c>
      <c r="AD69" s="45">
        <v>5652</v>
      </c>
      <c r="AE69" s="45">
        <v>20365</v>
      </c>
      <c r="AF69" s="45">
        <v>92150</v>
      </c>
      <c r="AG69" s="45">
        <v>5855</v>
      </c>
      <c r="AH69" s="45">
        <v>13378</v>
      </c>
      <c r="AI69" s="45">
        <v>4583</v>
      </c>
      <c r="AJ69" s="45">
        <v>142838</v>
      </c>
      <c r="AK69" s="45">
        <v>16070</v>
      </c>
      <c r="AL69" s="45">
        <v>181019</v>
      </c>
      <c r="AM69" s="45">
        <v>75688</v>
      </c>
      <c r="AN69" s="45">
        <v>74675</v>
      </c>
      <c r="AO69" s="45">
        <v>2376</v>
      </c>
      <c r="AP69" s="45">
        <v>71038</v>
      </c>
      <c r="AQ69" s="45">
        <v>60986</v>
      </c>
      <c r="AR69" s="45">
        <v>27025</v>
      </c>
      <c r="AS69" s="45">
        <v>6206</v>
      </c>
      <c r="AT69" s="45">
        <v>5226</v>
      </c>
      <c r="AU69" s="45">
        <v>53</v>
      </c>
      <c r="AV69" s="45">
        <v>23818</v>
      </c>
      <c r="AW69" s="45">
        <v>58448</v>
      </c>
      <c r="AX69" s="45">
        <v>52902</v>
      </c>
      <c r="AY69" s="45">
        <v>17211</v>
      </c>
      <c r="AZ69" s="45">
        <v>11952</v>
      </c>
      <c r="BA69" s="45">
        <v>13615</v>
      </c>
      <c r="BB69" s="45">
        <v>28784</v>
      </c>
      <c r="BC69" s="45">
        <v>37090</v>
      </c>
      <c r="BD69" s="45">
        <v>46843</v>
      </c>
      <c r="BE69" s="45">
        <v>13139</v>
      </c>
      <c r="BF69" s="45">
        <v>39352</v>
      </c>
      <c r="BG69" s="45">
        <v>40689</v>
      </c>
      <c r="BH69" s="45">
        <v>5657</v>
      </c>
      <c r="BI69" s="45">
        <v>11858</v>
      </c>
      <c r="BJ69" s="45">
        <v>12998</v>
      </c>
      <c r="BK69" s="45">
        <v>47789</v>
      </c>
      <c r="BL69" s="45">
        <v>8874</v>
      </c>
      <c r="BM69" s="45">
        <v>11483</v>
      </c>
      <c r="BN69" s="45">
        <v>15284</v>
      </c>
      <c r="BO69" s="45">
        <v>4587</v>
      </c>
      <c r="BP69" s="45">
        <v>327486</v>
      </c>
      <c r="BQ69" s="45">
        <v>98583</v>
      </c>
      <c r="BR69" s="45">
        <v>15028340</v>
      </c>
      <c r="BS69" s="45">
        <v>1978036</v>
      </c>
      <c r="BT69" s="45">
        <v>8020</v>
      </c>
      <c r="BU69" s="45">
        <v>934</v>
      </c>
      <c r="BV69" s="45">
        <v>63</v>
      </c>
      <c r="BW69" s="45">
        <v>34068</v>
      </c>
      <c r="BX69" s="45">
        <v>1790</v>
      </c>
      <c r="BY69" s="45">
        <v>1207</v>
      </c>
      <c r="BZ69" s="45">
        <v>10286</v>
      </c>
      <c r="CA69" s="45">
        <v>0</v>
      </c>
      <c r="CB69" s="42">
        <v>19326237</v>
      </c>
      <c r="CC69" s="259"/>
      <c r="CD69" s="52">
        <v>24939050</v>
      </c>
      <c r="CE69" s="53">
        <v>54198565</v>
      </c>
      <c r="CF69" s="54">
        <v>-1415</v>
      </c>
      <c r="CG69" s="52">
        <v>502681</v>
      </c>
      <c r="CH69" s="55">
        <v>98965118</v>
      </c>
      <c r="CI69" s="51">
        <f t="shared" si="2"/>
        <v>98965118</v>
      </c>
      <c r="CJ69" s="51">
        <f t="shared" si="3"/>
        <v>0</v>
      </c>
    </row>
    <row r="70" spans="1:88" x14ac:dyDescent="0.25">
      <c r="A70" s="8" t="s">
        <v>68</v>
      </c>
      <c r="B70" s="262"/>
      <c r="C70" s="43">
        <v>0</v>
      </c>
      <c r="D70" s="44">
        <v>0</v>
      </c>
      <c r="E70" s="44">
        <v>0</v>
      </c>
      <c r="F70" s="44">
        <v>0</v>
      </c>
      <c r="G70" s="44">
        <v>0</v>
      </c>
      <c r="H70" s="44">
        <v>0</v>
      </c>
      <c r="I70" s="44">
        <v>0</v>
      </c>
      <c r="J70" s="44">
        <v>0</v>
      </c>
      <c r="K70" s="44">
        <v>0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5">
        <v>0</v>
      </c>
      <c r="R70" s="45">
        <v>0</v>
      </c>
      <c r="S70" s="45">
        <v>0</v>
      </c>
      <c r="T70" s="45">
        <v>0</v>
      </c>
      <c r="U70" s="45">
        <v>0</v>
      </c>
      <c r="V70" s="45">
        <v>0</v>
      </c>
      <c r="W70" s="45">
        <v>0</v>
      </c>
      <c r="X70" s="45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0</v>
      </c>
      <c r="AG70" s="45">
        <v>0</v>
      </c>
      <c r="AH70" s="45">
        <v>0</v>
      </c>
      <c r="AI70" s="45">
        <v>0</v>
      </c>
      <c r="AJ70" s="45">
        <v>0</v>
      </c>
      <c r="AK70" s="45">
        <v>0</v>
      </c>
      <c r="AL70" s="45">
        <v>0</v>
      </c>
      <c r="AM70" s="45">
        <v>0</v>
      </c>
      <c r="AN70" s="45">
        <v>0</v>
      </c>
      <c r="AO70" s="45">
        <v>0</v>
      </c>
      <c r="AP70" s="45">
        <v>0</v>
      </c>
      <c r="AQ70" s="45">
        <v>0</v>
      </c>
      <c r="AR70" s="45">
        <v>0</v>
      </c>
      <c r="AS70" s="45">
        <v>0</v>
      </c>
      <c r="AT70" s="45">
        <v>0</v>
      </c>
      <c r="AU70" s="45">
        <v>0</v>
      </c>
      <c r="AV70" s="45">
        <v>0</v>
      </c>
      <c r="AW70" s="45">
        <v>0</v>
      </c>
      <c r="AX70" s="45">
        <v>0</v>
      </c>
      <c r="AY70" s="45">
        <v>0</v>
      </c>
      <c r="AZ70" s="45">
        <v>0</v>
      </c>
      <c r="BA70" s="45">
        <v>0</v>
      </c>
      <c r="BB70" s="45">
        <v>0</v>
      </c>
      <c r="BC70" s="45">
        <v>0</v>
      </c>
      <c r="BD70" s="45">
        <v>0</v>
      </c>
      <c r="BE70" s="45">
        <v>0</v>
      </c>
      <c r="BF70" s="45">
        <v>0</v>
      </c>
      <c r="BG70" s="45">
        <v>0</v>
      </c>
      <c r="BH70" s="45">
        <v>0</v>
      </c>
      <c r="BI70" s="45">
        <v>0</v>
      </c>
      <c r="BJ70" s="45">
        <v>0</v>
      </c>
      <c r="BK70" s="45">
        <v>0</v>
      </c>
      <c r="BL70" s="45">
        <v>0</v>
      </c>
      <c r="BM70" s="45">
        <v>0</v>
      </c>
      <c r="BN70" s="45">
        <v>0</v>
      </c>
      <c r="BO70" s="45">
        <v>0</v>
      </c>
      <c r="BP70" s="45">
        <v>0</v>
      </c>
      <c r="BQ70" s="45">
        <v>0</v>
      </c>
      <c r="BR70" s="45">
        <v>0</v>
      </c>
      <c r="BS70" s="45">
        <v>0</v>
      </c>
      <c r="BT70" s="45">
        <v>0</v>
      </c>
      <c r="BU70" s="45">
        <v>0</v>
      </c>
      <c r="BV70" s="45">
        <v>0</v>
      </c>
      <c r="BW70" s="45">
        <v>0</v>
      </c>
      <c r="BX70" s="45">
        <v>0</v>
      </c>
      <c r="BY70" s="45">
        <v>0</v>
      </c>
      <c r="BZ70" s="45">
        <v>0</v>
      </c>
      <c r="CA70" s="45">
        <v>0</v>
      </c>
      <c r="CB70" s="42">
        <v>0</v>
      </c>
      <c r="CC70" s="259"/>
      <c r="CD70" s="52">
        <v>5396248</v>
      </c>
      <c r="CE70" s="53">
        <v>17413774</v>
      </c>
      <c r="CF70" s="54">
        <v>1113</v>
      </c>
      <c r="CG70" s="52">
        <v>0</v>
      </c>
      <c r="CH70" s="55">
        <v>22811135</v>
      </c>
      <c r="CI70" s="51">
        <f t="shared" si="2"/>
        <v>22811135</v>
      </c>
      <c r="CJ70" s="51">
        <f t="shared" si="3"/>
        <v>0</v>
      </c>
    </row>
    <row r="71" spans="1:88" x14ac:dyDescent="0.25">
      <c r="A71" s="8" t="s">
        <v>69</v>
      </c>
      <c r="B71" s="262"/>
      <c r="C71" s="43">
        <v>745</v>
      </c>
      <c r="D71" s="44">
        <v>432</v>
      </c>
      <c r="E71" s="44">
        <v>4</v>
      </c>
      <c r="F71" s="44">
        <v>81</v>
      </c>
      <c r="G71" s="44">
        <v>264</v>
      </c>
      <c r="H71" s="44">
        <v>18201</v>
      </c>
      <c r="I71" s="44">
        <v>1</v>
      </c>
      <c r="J71" s="44">
        <v>104</v>
      </c>
      <c r="K71" s="44">
        <v>106</v>
      </c>
      <c r="L71" s="44">
        <v>0</v>
      </c>
      <c r="M71" s="44">
        <v>21</v>
      </c>
      <c r="N71" s="44">
        <v>516</v>
      </c>
      <c r="O71" s="44">
        <v>2331</v>
      </c>
      <c r="P71" s="44">
        <v>5551</v>
      </c>
      <c r="Q71" s="45">
        <v>297</v>
      </c>
      <c r="R71" s="45">
        <v>2256</v>
      </c>
      <c r="S71" s="45">
        <v>2338</v>
      </c>
      <c r="T71" s="45">
        <v>374</v>
      </c>
      <c r="U71" s="45">
        <v>185</v>
      </c>
      <c r="V71" s="45">
        <v>11</v>
      </c>
      <c r="W71" s="45">
        <v>2008</v>
      </c>
      <c r="X71" s="45">
        <v>174</v>
      </c>
      <c r="Y71" s="45">
        <v>381</v>
      </c>
      <c r="Z71" s="45">
        <v>1107</v>
      </c>
      <c r="AA71" s="45">
        <v>114</v>
      </c>
      <c r="AB71" s="45">
        <v>9268</v>
      </c>
      <c r="AC71" s="45">
        <v>1559</v>
      </c>
      <c r="AD71" s="45">
        <v>74</v>
      </c>
      <c r="AE71" s="45">
        <v>766</v>
      </c>
      <c r="AF71" s="45">
        <v>839</v>
      </c>
      <c r="AG71" s="45">
        <v>7</v>
      </c>
      <c r="AH71" s="45">
        <v>0</v>
      </c>
      <c r="AI71" s="45">
        <v>169</v>
      </c>
      <c r="AJ71" s="45">
        <v>14375</v>
      </c>
      <c r="AK71" s="45">
        <v>3504</v>
      </c>
      <c r="AL71" s="45">
        <v>18350</v>
      </c>
      <c r="AM71" s="45">
        <v>5374</v>
      </c>
      <c r="AN71" s="45">
        <v>1514</v>
      </c>
      <c r="AO71" s="45">
        <v>1350</v>
      </c>
      <c r="AP71" s="45">
        <v>6130</v>
      </c>
      <c r="AQ71" s="45">
        <v>12631</v>
      </c>
      <c r="AR71" s="45">
        <v>11771</v>
      </c>
      <c r="AS71" s="45">
        <v>18</v>
      </c>
      <c r="AT71" s="45">
        <v>26492</v>
      </c>
      <c r="AU71" s="45">
        <v>12404</v>
      </c>
      <c r="AV71" s="45">
        <v>615</v>
      </c>
      <c r="AW71" s="45">
        <v>9737</v>
      </c>
      <c r="AX71" s="45">
        <v>7476</v>
      </c>
      <c r="AY71" s="45">
        <v>5849</v>
      </c>
      <c r="AZ71" s="45">
        <v>0</v>
      </c>
      <c r="BA71" s="45">
        <v>53</v>
      </c>
      <c r="BB71" s="45">
        <v>7651</v>
      </c>
      <c r="BC71" s="45">
        <v>2493</v>
      </c>
      <c r="BD71" s="45">
        <v>6882</v>
      </c>
      <c r="BE71" s="45">
        <v>528</v>
      </c>
      <c r="BF71" s="45">
        <v>1613</v>
      </c>
      <c r="BG71" s="45">
        <v>28488</v>
      </c>
      <c r="BH71" s="45">
        <v>1672</v>
      </c>
      <c r="BI71" s="45">
        <v>0</v>
      </c>
      <c r="BJ71" s="45">
        <v>14527</v>
      </c>
      <c r="BK71" s="45">
        <v>3173</v>
      </c>
      <c r="BL71" s="45">
        <v>7603</v>
      </c>
      <c r="BM71" s="45">
        <v>340</v>
      </c>
      <c r="BN71" s="45">
        <v>540</v>
      </c>
      <c r="BO71" s="45">
        <v>1299</v>
      </c>
      <c r="BP71" s="45">
        <v>11125</v>
      </c>
      <c r="BQ71" s="45">
        <v>33339</v>
      </c>
      <c r="BR71" s="45">
        <v>8103</v>
      </c>
      <c r="BS71" s="45">
        <v>848</v>
      </c>
      <c r="BT71" s="45">
        <v>1151450</v>
      </c>
      <c r="BU71" s="45">
        <v>41499</v>
      </c>
      <c r="BV71" s="45">
        <v>3</v>
      </c>
      <c r="BW71" s="45">
        <v>116680</v>
      </c>
      <c r="BX71" s="45">
        <v>35</v>
      </c>
      <c r="BY71" s="45">
        <v>9</v>
      </c>
      <c r="BZ71" s="45">
        <v>3615</v>
      </c>
      <c r="CA71" s="45">
        <v>0</v>
      </c>
      <c r="CB71" s="42">
        <v>1631442</v>
      </c>
      <c r="CC71" s="259"/>
      <c r="CD71" s="52">
        <v>1613880</v>
      </c>
      <c r="CE71" s="53">
        <v>6396118</v>
      </c>
      <c r="CF71" s="54">
        <v>932918</v>
      </c>
      <c r="CG71" s="52">
        <v>320092</v>
      </c>
      <c r="CH71" s="55">
        <v>10894450</v>
      </c>
      <c r="CI71" s="51">
        <f t="shared" si="2"/>
        <v>10894450</v>
      </c>
      <c r="CJ71" s="51">
        <f t="shared" si="3"/>
        <v>0</v>
      </c>
    </row>
    <row r="72" spans="1:88" x14ac:dyDescent="0.25">
      <c r="A72" s="8" t="s">
        <v>70</v>
      </c>
      <c r="B72" s="262"/>
      <c r="C72" s="43">
        <v>1734</v>
      </c>
      <c r="D72" s="44">
        <v>822</v>
      </c>
      <c r="E72" s="44">
        <v>2</v>
      </c>
      <c r="F72" s="44">
        <v>1176</v>
      </c>
      <c r="G72" s="44">
        <v>929</v>
      </c>
      <c r="H72" s="44">
        <v>5232</v>
      </c>
      <c r="I72" s="44">
        <v>386</v>
      </c>
      <c r="J72" s="44">
        <v>226</v>
      </c>
      <c r="K72" s="44">
        <v>536</v>
      </c>
      <c r="L72" s="44">
        <v>651</v>
      </c>
      <c r="M72" s="44">
        <v>262</v>
      </c>
      <c r="N72" s="44">
        <v>854</v>
      </c>
      <c r="O72" s="44">
        <v>1478</v>
      </c>
      <c r="P72" s="44">
        <v>5861</v>
      </c>
      <c r="Q72" s="45">
        <v>883</v>
      </c>
      <c r="R72" s="45">
        <v>2231</v>
      </c>
      <c r="S72" s="45">
        <v>0</v>
      </c>
      <c r="T72" s="45">
        <v>2283</v>
      </c>
      <c r="U72" s="45">
        <v>1276</v>
      </c>
      <c r="V72" s="45">
        <v>652</v>
      </c>
      <c r="W72" s="45">
        <v>2374</v>
      </c>
      <c r="X72" s="45">
        <v>26</v>
      </c>
      <c r="Y72" s="45">
        <v>1864</v>
      </c>
      <c r="Z72" s="45">
        <v>675</v>
      </c>
      <c r="AA72" s="45">
        <v>1814</v>
      </c>
      <c r="AB72" s="45">
        <v>0</v>
      </c>
      <c r="AC72" s="45">
        <v>1583</v>
      </c>
      <c r="AD72" s="45">
        <v>0</v>
      </c>
      <c r="AE72" s="45">
        <v>224</v>
      </c>
      <c r="AF72" s="45">
        <v>4558</v>
      </c>
      <c r="AG72" s="45">
        <v>598</v>
      </c>
      <c r="AH72" s="45">
        <v>1549</v>
      </c>
      <c r="AI72" s="45">
        <v>134</v>
      </c>
      <c r="AJ72" s="45">
        <v>3664</v>
      </c>
      <c r="AK72" s="45">
        <v>637</v>
      </c>
      <c r="AL72" s="45">
        <v>3029</v>
      </c>
      <c r="AM72" s="45">
        <v>2185</v>
      </c>
      <c r="AN72" s="45">
        <v>874</v>
      </c>
      <c r="AO72" s="45">
        <v>606</v>
      </c>
      <c r="AP72" s="45">
        <v>246</v>
      </c>
      <c r="AQ72" s="45">
        <v>1821</v>
      </c>
      <c r="AR72" s="45">
        <v>351</v>
      </c>
      <c r="AS72" s="45">
        <v>1833</v>
      </c>
      <c r="AT72" s="45">
        <v>0</v>
      </c>
      <c r="AU72" s="45">
        <v>22</v>
      </c>
      <c r="AV72" s="45">
        <v>276</v>
      </c>
      <c r="AW72" s="45">
        <v>3</v>
      </c>
      <c r="AX72" s="45">
        <v>960</v>
      </c>
      <c r="AY72" s="45">
        <v>1362</v>
      </c>
      <c r="AZ72" s="45">
        <v>876</v>
      </c>
      <c r="BA72" s="45">
        <v>274</v>
      </c>
      <c r="BB72" s="45">
        <v>1142</v>
      </c>
      <c r="BC72" s="45">
        <v>1757</v>
      </c>
      <c r="BD72" s="45">
        <v>19875</v>
      </c>
      <c r="BE72" s="45">
        <v>735</v>
      </c>
      <c r="BF72" s="45">
        <v>2953</v>
      </c>
      <c r="BG72" s="45">
        <v>8841</v>
      </c>
      <c r="BH72" s="45">
        <v>21</v>
      </c>
      <c r="BI72" s="45">
        <v>0</v>
      </c>
      <c r="BJ72" s="45">
        <v>5380</v>
      </c>
      <c r="BK72" s="45">
        <v>63</v>
      </c>
      <c r="BL72" s="45">
        <v>998</v>
      </c>
      <c r="BM72" s="45">
        <v>200</v>
      </c>
      <c r="BN72" s="45">
        <v>45</v>
      </c>
      <c r="BO72" s="45">
        <v>0</v>
      </c>
      <c r="BP72" s="45">
        <v>7960</v>
      </c>
      <c r="BQ72" s="45">
        <v>7579</v>
      </c>
      <c r="BR72" s="45">
        <v>5035</v>
      </c>
      <c r="BS72" s="45">
        <v>1572</v>
      </c>
      <c r="BT72" s="45">
        <v>17678</v>
      </c>
      <c r="BU72" s="45">
        <v>58731</v>
      </c>
      <c r="BV72" s="45">
        <v>94</v>
      </c>
      <c r="BW72" s="45">
        <v>1276</v>
      </c>
      <c r="BX72" s="45">
        <v>0</v>
      </c>
      <c r="BY72" s="45">
        <v>0</v>
      </c>
      <c r="BZ72" s="45">
        <v>1820</v>
      </c>
      <c r="CA72" s="45">
        <v>0</v>
      </c>
      <c r="CB72" s="42">
        <v>205647</v>
      </c>
      <c r="CC72" s="259"/>
      <c r="CD72" s="52">
        <v>715748</v>
      </c>
      <c r="CE72" s="53">
        <v>1066447</v>
      </c>
      <c r="CF72" s="54">
        <v>3891</v>
      </c>
      <c r="CG72" s="52">
        <v>31444</v>
      </c>
      <c r="CH72" s="55">
        <v>2023177</v>
      </c>
      <c r="CI72" s="51">
        <f t="shared" si="2"/>
        <v>2023177</v>
      </c>
      <c r="CJ72" s="51">
        <f t="shared" si="3"/>
        <v>0</v>
      </c>
    </row>
    <row r="73" spans="1:88" x14ac:dyDescent="0.25">
      <c r="A73" s="8" t="s">
        <v>71</v>
      </c>
      <c r="B73" s="262"/>
      <c r="C73" s="43">
        <v>0</v>
      </c>
      <c r="D73" s="44">
        <v>0</v>
      </c>
      <c r="E73" s="44">
        <v>0</v>
      </c>
      <c r="F73" s="44">
        <v>0</v>
      </c>
      <c r="G73" s="44">
        <v>0</v>
      </c>
      <c r="H73" s="44">
        <v>0</v>
      </c>
      <c r="I73" s="44">
        <v>0</v>
      </c>
      <c r="J73" s="44">
        <v>0</v>
      </c>
      <c r="K73" s="44">
        <v>0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5">
        <v>0</v>
      </c>
      <c r="R73" s="45">
        <v>0</v>
      </c>
      <c r="S73" s="45">
        <v>0</v>
      </c>
      <c r="T73" s="45">
        <v>0</v>
      </c>
      <c r="U73" s="45">
        <v>0</v>
      </c>
      <c r="V73" s="45">
        <v>0</v>
      </c>
      <c r="W73" s="45">
        <v>0</v>
      </c>
      <c r="X73" s="45">
        <v>0</v>
      </c>
      <c r="Y73" s="45">
        <v>0</v>
      </c>
      <c r="Z73" s="45">
        <v>0</v>
      </c>
      <c r="AA73" s="45">
        <v>0</v>
      </c>
      <c r="AB73" s="45">
        <v>0</v>
      </c>
      <c r="AC73" s="45">
        <v>0</v>
      </c>
      <c r="AD73" s="45">
        <v>0</v>
      </c>
      <c r="AE73" s="45">
        <v>0</v>
      </c>
      <c r="AF73" s="45">
        <v>0</v>
      </c>
      <c r="AG73" s="45">
        <v>0</v>
      </c>
      <c r="AH73" s="45">
        <v>0</v>
      </c>
      <c r="AI73" s="45">
        <v>0</v>
      </c>
      <c r="AJ73" s="45">
        <v>0</v>
      </c>
      <c r="AK73" s="45">
        <v>0</v>
      </c>
      <c r="AL73" s="45">
        <v>0</v>
      </c>
      <c r="AM73" s="45">
        <v>0</v>
      </c>
      <c r="AN73" s="45">
        <v>0</v>
      </c>
      <c r="AO73" s="45">
        <v>0</v>
      </c>
      <c r="AP73" s="45">
        <v>0</v>
      </c>
      <c r="AQ73" s="45">
        <v>0</v>
      </c>
      <c r="AR73" s="45">
        <v>0</v>
      </c>
      <c r="AS73" s="45">
        <v>0</v>
      </c>
      <c r="AT73" s="45">
        <v>0</v>
      </c>
      <c r="AU73" s="45">
        <v>0</v>
      </c>
      <c r="AV73" s="45">
        <v>0</v>
      </c>
      <c r="AW73" s="45">
        <v>0</v>
      </c>
      <c r="AX73" s="45">
        <v>0</v>
      </c>
      <c r="AY73" s="45">
        <v>0</v>
      </c>
      <c r="AZ73" s="45">
        <v>0</v>
      </c>
      <c r="BA73" s="45">
        <v>0</v>
      </c>
      <c r="BB73" s="45">
        <v>0</v>
      </c>
      <c r="BC73" s="45">
        <v>0</v>
      </c>
      <c r="BD73" s="45">
        <v>0</v>
      </c>
      <c r="BE73" s="45">
        <v>0</v>
      </c>
      <c r="BF73" s="45">
        <v>0</v>
      </c>
      <c r="BG73" s="45">
        <v>0</v>
      </c>
      <c r="BH73" s="45">
        <v>0</v>
      </c>
      <c r="BI73" s="45">
        <v>0</v>
      </c>
      <c r="BJ73" s="45">
        <v>0</v>
      </c>
      <c r="BK73" s="45">
        <v>0</v>
      </c>
      <c r="BL73" s="45">
        <v>0</v>
      </c>
      <c r="BM73" s="45">
        <v>0</v>
      </c>
      <c r="BN73" s="45">
        <v>0</v>
      </c>
      <c r="BO73" s="45">
        <v>0</v>
      </c>
      <c r="BP73" s="45">
        <v>0</v>
      </c>
      <c r="BQ73" s="45">
        <v>0</v>
      </c>
      <c r="BR73" s="45">
        <v>0</v>
      </c>
      <c r="BS73" s="45">
        <v>0</v>
      </c>
      <c r="BT73" s="45">
        <v>0</v>
      </c>
      <c r="BU73" s="45">
        <v>0</v>
      </c>
      <c r="BV73" s="45">
        <v>369051</v>
      </c>
      <c r="BW73" s="45">
        <v>11840</v>
      </c>
      <c r="BX73" s="45">
        <v>0</v>
      </c>
      <c r="BY73" s="45">
        <v>0</v>
      </c>
      <c r="BZ73" s="45">
        <v>0</v>
      </c>
      <c r="CA73" s="45">
        <v>0</v>
      </c>
      <c r="CB73" s="42">
        <v>380891</v>
      </c>
      <c r="CC73" s="259"/>
      <c r="CD73" s="52">
        <v>1604216</v>
      </c>
      <c r="CE73" s="53">
        <v>0</v>
      </c>
      <c r="CF73" s="54">
        <v>-391</v>
      </c>
      <c r="CG73" s="52">
        <v>0</v>
      </c>
      <c r="CH73" s="55">
        <v>1984716</v>
      </c>
      <c r="CI73" s="51">
        <f t="shared" si="2"/>
        <v>1984716</v>
      </c>
      <c r="CJ73" s="51">
        <f t="shared" si="3"/>
        <v>0</v>
      </c>
    </row>
    <row r="74" spans="1:88" x14ac:dyDescent="0.25">
      <c r="A74" s="8" t="s">
        <v>72</v>
      </c>
      <c r="B74" s="262"/>
      <c r="C74" s="43">
        <v>1950</v>
      </c>
      <c r="D74" s="44">
        <v>755</v>
      </c>
      <c r="E74" s="44">
        <v>0</v>
      </c>
      <c r="F74" s="44">
        <v>10478</v>
      </c>
      <c r="G74" s="44">
        <v>286</v>
      </c>
      <c r="H74" s="44">
        <v>20294</v>
      </c>
      <c r="I74" s="44">
        <v>188</v>
      </c>
      <c r="J74" s="44">
        <v>1211</v>
      </c>
      <c r="K74" s="44">
        <v>1145</v>
      </c>
      <c r="L74" s="44">
        <v>462</v>
      </c>
      <c r="M74" s="44">
        <v>421</v>
      </c>
      <c r="N74" s="44">
        <v>2981</v>
      </c>
      <c r="O74" s="44">
        <v>3264</v>
      </c>
      <c r="P74" s="44">
        <v>3311</v>
      </c>
      <c r="Q74" s="45">
        <v>1083</v>
      </c>
      <c r="R74" s="45">
        <v>5060</v>
      </c>
      <c r="S74" s="45">
        <v>374</v>
      </c>
      <c r="T74" s="45">
        <v>6526</v>
      </c>
      <c r="U74" s="45">
        <v>7801</v>
      </c>
      <c r="V74" s="45">
        <v>3723</v>
      </c>
      <c r="W74" s="45">
        <v>10352</v>
      </c>
      <c r="X74" s="45">
        <v>1806</v>
      </c>
      <c r="Y74" s="45">
        <v>6623</v>
      </c>
      <c r="Z74" s="45">
        <v>4942</v>
      </c>
      <c r="AA74" s="45">
        <v>5696</v>
      </c>
      <c r="AB74" s="45">
        <v>329</v>
      </c>
      <c r="AC74" s="45">
        <v>4024</v>
      </c>
      <c r="AD74" s="45">
        <v>337</v>
      </c>
      <c r="AE74" s="45">
        <v>1619</v>
      </c>
      <c r="AF74" s="45">
        <v>6956</v>
      </c>
      <c r="AG74" s="45">
        <v>864</v>
      </c>
      <c r="AH74" s="45">
        <v>3912</v>
      </c>
      <c r="AI74" s="45">
        <v>789</v>
      </c>
      <c r="AJ74" s="45">
        <v>29782</v>
      </c>
      <c r="AK74" s="45">
        <v>15384</v>
      </c>
      <c r="AL74" s="45">
        <v>27963</v>
      </c>
      <c r="AM74" s="45">
        <v>15873</v>
      </c>
      <c r="AN74" s="45">
        <v>6972</v>
      </c>
      <c r="AO74" s="45">
        <v>520</v>
      </c>
      <c r="AP74" s="45">
        <v>1364</v>
      </c>
      <c r="AQ74" s="45">
        <v>21435</v>
      </c>
      <c r="AR74" s="45">
        <v>11076</v>
      </c>
      <c r="AS74" s="45">
        <v>765</v>
      </c>
      <c r="AT74" s="45">
        <v>8303</v>
      </c>
      <c r="AU74" s="45">
        <v>29</v>
      </c>
      <c r="AV74" s="45">
        <v>2398</v>
      </c>
      <c r="AW74" s="45">
        <v>18492</v>
      </c>
      <c r="AX74" s="45">
        <v>675</v>
      </c>
      <c r="AY74" s="45">
        <v>4822</v>
      </c>
      <c r="AZ74" s="45">
        <v>0</v>
      </c>
      <c r="BA74" s="45">
        <v>678</v>
      </c>
      <c r="BB74" s="45">
        <v>16411</v>
      </c>
      <c r="BC74" s="45">
        <v>9004</v>
      </c>
      <c r="BD74" s="45">
        <v>8222</v>
      </c>
      <c r="BE74" s="45">
        <v>3144</v>
      </c>
      <c r="BF74" s="45">
        <v>2099</v>
      </c>
      <c r="BG74" s="45">
        <v>1982</v>
      </c>
      <c r="BH74" s="45">
        <v>213</v>
      </c>
      <c r="BI74" s="45">
        <v>0</v>
      </c>
      <c r="BJ74" s="45">
        <v>14479</v>
      </c>
      <c r="BK74" s="45">
        <v>2632</v>
      </c>
      <c r="BL74" s="45">
        <v>15724</v>
      </c>
      <c r="BM74" s="45">
        <v>577</v>
      </c>
      <c r="BN74" s="45">
        <v>570</v>
      </c>
      <c r="BO74" s="45">
        <v>2171</v>
      </c>
      <c r="BP74" s="45">
        <v>42309</v>
      </c>
      <c r="BQ74" s="45">
        <v>11784</v>
      </c>
      <c r="BR74" s="45">
        <v>11021</v>
      </c>
      <c r="BS74" s="45">
        <v>4187</v>
      </c>
      <c r="BT74" s="45">
        <v>32843</v>
      </c>
      <c r="BU74" s="45">
        <v>384</v>
      </c>
      <c r="BV74" s="45">
        <v>198</v>
      </c>
      <c r="BW74" s="45">
        <v>1382172</v>
      </c>
      <c r="BX74" s="45">
        <v>78</v>
      </c>
      <c r="BY74" s="45">
        <v>1588</v>
      </c>
      <c r="BZ74" s="45">
        <v>171372</v>
      </c>
      <c r="CA74" s="45">
        <v>0</v>
      </c>
      <c r="CB74" s="42">
        <v>2021257</v>
      </c>
      <c r="CC74" s="259"/>
      <c r="CD74" s="52">
        <v>4773910</v>
      </c>
      <c r="CE74" s="53">
        <v>1649261</v>
      </c>
      <c r="CF74" s="54">
        <v>-382</v>
      </c>
      <c r="CG74" s="52">
        <v>331272</v>
      </c>
      <c r="CH74" s="55">
        <v>8775318</v>
      </c>
      <c r="CI74" s="51">
        <f t="shared" si="2"/>
        <v>8775318</v>
      </c>
      <c r="CJ74" s="51">
        <f t="shared" si="3"/>
        <v>0</v>
      </c>
    </row>
    <row r="75" spans="1:88" x14ac:dyDescent="0.25">
      <c r="A75" s="8" t="s">
        <v>73</v>
      </c>
      <c r="B75" s="262"/>
      <c r="C75" s="43">
        <v>61323</v>
      </c>
      <c r="D75" s="44">
        <v>23</v>
      </c>
      <c r="E75" s="44">
        <v>86</v>
      </c>
      <c r="F75" s="44">
        <v>6</v>
      </c>
      <c r="G75" s="44">
        <v>2650</v>
      </c>
      <c r="H75" s="44">
        <v>26548</v>
      </c>
      <c r="I75" s="44">
        <v>4571</v>
      </c>
      <c r="J75" s="44">
        <v>426</v>
      </c>
      <c r="K75" s="44">
        <v>2635</v>
      </c>
      <c r="L75" s="44">
        <v>1971</v>
      </c>
      <c r="M75" s="44">
        <v>2129</v>
      </c>
      <c r="N75" s="44">
        <v>2729</v>
      </c>
      <c r="O75" s="44">
        <v>50736</v>
      </c>
      <c r="P75" s="44">
        <v>5811</v>
      </c>
      <c r="Q75" s="45">
        <v>1823</v>
      </c>
      <c r="R75" s="45">
        <v>3241</v>
      </c>
      <c r="S75" s="45">
        <v>2895</v>
      </c>
      <c r="T75" s="45">
        <v>5655</v>
      </c>
      <c r="U75" s="45">
        <v>47556</v>
      </c>
      <c r="V75" s="45">
        <v>1563</v>
      </c>
      <c r="W75" s="45">
        <v>3309</v>
      </c>
      <c r="X75" s="45">
        <v>1296</v>
      </c>
      <c r="Y75" s="45">
        <v>2556</v>
      </c>
      <c r="Z75" s="45">
        <v>1757</v>
      </c>
      <c r="AA75" s="45">
        <v>3282</v>
      </c>
      <c r="AB75" s="45">
        <v>740</v>
      </c>
      <c r="AC75" s="45">
        <v>1795</v>
      </c>
      <c r="AD75" s="45">
        <v>54</v>
      </c>
      <c r="AE75" s="45">
        <v>1117</v>
      </c>
      <c r="AF75" s="45">
        <v>81590</v>
      </c>
      <c r="AG75" s="45">
        <v>1488</v>
      </c>
      <c r="AH75" s="45">
        <v>2306</v>
      </c>
      <c r="AI75" s="45">
        <v>58</v>
      </c>
      <c r="AJ75" s="45">
        <v>24902</v>
      </c>
      <c r="AK75" s="45">
        <v>2026</v>
      </c>
      <c r="AL75" s="45">
        <v>36545</v>
      </c>
      <c r="AM75" s="45">
        <v>50680</v>
      </c>
      <c r="AN75" s="45">
        <v>14984</v>
      </c>
      <c r="AO75" s="45">
        <v>298</v>
      </c>
      <c r="AP75" s="45">
        <v>1177</v>
      </c>
      <c r="AQ75" s="45">
        <v>7986</v>
      </c>
      <c r="AR75" s="45">
        <v>1397</v>
      </c>
      <c r="AS75" s="45">
        <v>834</v>
      </c>
      <c r="AT75" s="45">
        <v>0</v>
      </c>
      <c r="AU75" s="45">
        <v>20543</v>
      </c>
      <c r="AV75" s="45">
        <v>18024</v>
      </c>
      <c r="AW75" s="45">
        <v>4481</v>
      </c>
      <c r="AX75" s="45">
        <v>873</v>
      </c>
      <c r="AY75" s="45">
        <v>808</v>
      </c>
      <c r="AZ75" s="45">
        <v>39422</v>
      </c>
      <c r="BA75" s="45">
        <v>2389</v>
      </c>
      <c r="BB75" s="45">
        <v>9643</v>
      </c>
      <c r="BC75" s="45">
        <v>53372</v>
      </c>
      <c r="BD75" s="45">
        <v>5941</v>
      </c>
      <c r="BE75" s="45">
        <v>1512</v>
      </c>
      <c r="BF75" s="45">
        <v>1058</v>
      </c>
      <c r="BG75" s="45">
        <v>3385</v>
      </c>
      <c r="BH75" s="45">
        <v>296</v>
      </c>
      <c r="BI75" s="45">
        <v>0</v>
      </c>
      <c r="BJ75" s="45">
        <v>2103</v>
      </c>
      <c r="BK75" s="45">
        <v>1100</v>
      </c>
      <c r="BL75" s="45">
        <v>1130</v>
      </c>
      <c r="BM75" s="45">
        <v>417</v>
      </c>
      <c r="BN75" s="45">
        <v>1013</v>
      </c>
      <c r="BO75" s="45">
        <v>553</v>
      </c>
      <c r="BP75" s="45">
        <v>4447</v>
      </c>
      <c r="BQ75" s="45">
        <v>13310</v>
      </c>
      <c r="BR75" s="45">
        <v>17551</v>
      </c>
      <c r="BS75" s="45">
        <v>0</v>
      </c>
      <c r="BT75" s="45">
        <v>819</v>
      </c>
      <c r="BU75" s="45">
        <v>119</v>
      </c>
      <c r="BV75" s="45">
        <v>28</v>
      </c>
      <c r="BW75" s="45">
        <v>386</v>
      </c>
      <c r="BX75" s="45">
        <v>724</v>
      </c>
      <c r="BY75" s="45">
        <v>61</v>
      </c>
      <c r="BZ75" s="45">
        <v>1021</v>
      </c>
      <c r="CA75" s="45">
        <v>0</v>
      </c>
      <c r="CB75" s="42">
        <v>673083</v>
      </c>
      <c r="CC75" s="259"/>
      <c r="CD75" s="52">
        <v>4179894</v>
      </c>
      <c r="CE75" s="53">
        <v>0</v>
      </c>
      <c r="CF75" s="54">
        <v>0</v>
      </c>
      <c r="CG75" s="52">
        <v>0</v>
      </c>
      <c r="CH75" s="55">
        <v>4852977</v>
      </c>
      <c r="CI75" s="51">
        <f t="shared" si="2"/>
        <v>4852977</v>
      </c>
      <c r="CJ75" s="51">
        <f t="shared" si="3"/>
        <v>0</v>
      </c>
    </row>
    <row r="76" spans="1:88" x14ac:dyDescent="0.25">
      <c r="A76" s="8" t="s">
        <v>74</v>
      </c>
      <c r="B76" s="262"/>
      <c r="C76" s="43">
        <v>11513</v>
      </c>
      <c r="D76" s="44">
        <v>3165</v>
      </c>
      <c r="E76" s="44">
        <v>55</v>
      </c>
      <c r="F76" s="44">
        <v>5685</v>
      </c>
      <c r="G76" s="44">
        <v>33740</v>
      </c>
      <c r="H76" s="44">
        <v>167129</v>
      </c>
      <c r="I76" s="44">
        <v>4012</v>
      </c>
      <c r="J76" s="44">
        <v>20076</v>
      </c>
      <c r="K76" s="44">
        <v>20722</v>
      </c>
      <c r="L76" s="44">
        <v>31018</v>
      </c>
      <c r="M76" s="44">
        <v>12312</v>
      </c>
      <c r="N76" s="44">
        <v>25495</v>
      </c>
      <c r="O76" s="44">
        <v>20378</v>
      </c>
      <c r="P76" s="44">
        <v>27209</v>
      </c>
      <c r="Q76" s="45">
        <v>263429</v>
      </c>
      <c r="R76" s="45">
        <v>52423</v>
      </c>
      <c r="S76" s="45">
        <v>6703</v>
      </c>
      <c r="T76" s="45">
        <v>177541</v>
      </c>
      <c r="U76" s="45">
        <v>128534</v>
      </c>
      <c r="V76" s="45">
        <v>5760</v>
      </c>
      <c r="W76" s="45">
        <v>47667</v>
      </c>
      <c r="X76" s="45">
        <v>6677</v>
      </c>
      <c r="Y76" s="45">
        <v>84651</v>
      </c>
      <c r="Z76" s="45">
        <v>102885</v>
      </c>
      <c r="AA76" s="45">
        <v>42891</v>
      </c>
      <c r="AB76" s="45">
        <v>11130</v>
      </c>
      <c r="AC76" s="45">
        <v>108965</v>
      </c>
      <c r="AD76" s="45">
        <v>8471</v>
      </c>
      <c r="AE76" s="45">
        <v>51345</v>
      </c>
      <c r="AF76" s="45">
        <v>34357</v>
      </c>
      <c r="AG76" s="45">
        <v>4438</v>
      </c>
      <c r="AH76" s="45">
        <v>57095</v>
      </c>
      <c r="AI76" s="45">
        <v>2923</v>
      </c>
      <c r="AJ76" s="45">
        <v>110023</v>
      </c>
      <c r="AK76" s="45">
        <v>47413</v>
      </c>
      <c r="AL76" s="45">
        <v>1728063</v>
      </c>
      <c r="AM76" s="45">
        <v>1334397</v>
      </c>
      <c r="AN76" s="45">
        <v>115514</v>
      </c>
      <c r="AO76" s="45">
        <v>4848</v>
      </c>
      <c r="AP76" s="45">
        <v>39657</v>
      </c>
      <c r="AQ76" s="45">
        <v>22469</v>
      </c>
      <c r="AR76" s="45">
        <v>12424</v>
      </c>
      <c r="AS76" s="45">
        <v>1845</v>
      </c>
      <c r="AT76" s="45">
        <v>11789</v>
      </c>
      <c r="AU76" s="45">
        <v>2697</v>
      </c>
      <c r="AV76" s="45">
        <v>412070</v>
      </c>
      <c r="AW76" s="45">
        <v>360056</v>
      </c>
      <c r="AX76" s="45">
        <v>69880</v>
      </c>
      <c r="AY76" s="45">
        <v>41938</v>
      </c>
      <c r="AZ76" s="45">
        <v>30293</v>
      </c>
      <c r="BA76" s="45">
        <v>16544</v>
      </c>
      <c r="BB76" s="45">
        <v>37714</v>
      </c>
      <c r="BC76" s="45">
        <v>63398</v>
      </c>
      <c r="BD76" s="45">
        <v>249688</v>
      </c>
      <c r="BE76" s="45">
        <v>15677</v>
      </c>
      <c r="BF76" s="45">
        <v>11049</v>
      </c>
      <c r="BG76" s="45">
        <v>6402</v>
      </c>
      <c r="BH76" s="45">
        <v>10410</v>
      </c>
      <c r="BI76" s="45">
        <v>0</v>
      </c>
      <c r="BJ76" s="45">
        <v>96320</v>
      </c>
      <c r="BK76" s="45">
        <v>9183</v>
      </c>
      <c r="BL76" s="45">
        <v>4130</v>
      </c>
      <c r="BM76" s="45">
        <v>9182</v>
      </c>
      <c r="BN76" s="45">
        <v>10245</v>
      </c>
      <c r="BO76" s="45">
        <v>3694</v>
      </c>
      <c r="BP76" s="45">
        <v>21497</v>
      </c>
      <c r="BQ76" s="45">
        <v>34658</v>
      </c>
      <c r="BR76" s="45">
        <v>43971</v>
      </c>
      <c r="BS76" s="45">
        <v>7192</v>
      </c>
      <c r="BT76" s="45">
        <v>30034</v>
      </c>
      <c r="BU76" s="45">
        <v>6703</v>
      </c>
      <c r="BV76" s="45">
        <v>177</v>
      </c>
      <c r="BW76" s="45">
        <v>8063</v>
      </c>
      <c r="BX76" s="45">
        <v>9793</v>
      </c>
      <c r="BY76" s="45">
        <v>465458</v>
      </c>
      <c r="BZ76" s="45">
        <v>62539</v>
      </c>
      <c r="CA76" s="45">
        <v>0</v>
      </c>
      <c r="CB76" s="42">
        <v>7159491</v>
      </c>
      <c r="CC76" s="259"/>
      <c r="CD76" s="52">
        <v>6108858</v>
      </c>
      <c r="CE76" s="53">
        <v>0</v>
      </c>
      <c r="CF76" s="54">
        <v>-18126</v>
      </c>
      <c r="CG76" s="52">
        <v>207023</v>
      </c>
      <c r="CH76" s="55">
        <v>13457246</v>
      </c>
      <c r="CI76" s="51">
        <f t="shared" si="2"/>
        <v>13457246</v>
      </c>
      <c r="CJ76" s="51">
        <f t="shared" si="3"/>
        <v>0</v>
      </c>
    </row>
    <row r="77" spans="1:88" x14ac:dyDescent="0.25">
      <c r="A77" s="8" t="s">
        <v>75</v>
      </c>
      <c r="B77" s="262"/>
      <c r="C77" s="43">
        <v>10697</v>
      </c>
      <c r="D77" s="44">
        <v>6559</v>
      </c>
      <c r="E77" s="44">
        <v>311</v>
      </c>
      <c r="F77" s="44">
        <v>61613</v>
      </c>
      <c r="G77" s="44">
        <v>19516</v>
      </c>
      <c r="H77" s="44">
        <v>188599</v>
      </c>
      <c r="I77" s="44">
        <v>23550</v>
      </c>
      <c r="J77" s="44">
        <v>16058</v>
      </c>
      <c r="K77" s="44">
        <v>22904</v>
      </c>
      <c r="L77" s="44">
        <v>21497</v>
      </c>
      <c r="M77" s="44">
        <v>6172</v>
      </c>
      <c r="N77" s="44">
        <v>34977</v>
      </c>
      <c r="O77" s="44">
        <v>34014</v>
      </c>
      <c r="P77" s="44">
        <v>53320</v>
      </c>
      <c r="Q77" s="45">
        <v>44107</v>
      </c>
      <c r="R77" s="45">
        <v>39952</v>
      </c>
      <c r="S77" s="45">
        <v>11118</v>
      </c>
      <c r="T77" s="45">
        <v>54610</v>
      </c>
      <c r="U77" s="45">
        <v>70194</v>
      </c>
      <c r="V77" s="45">
        <v>57305</v>
      </c>
      <c r="W77" s="45">
        <v>159364</v>
      </c>
      <c r="X77" s="45">
        <v>37895</v>
      </c>
      <c r="Y77" s="45">
        <v>48978</v>
      </c>
      <c r="Z77" s="45">
        <v>48004</v>
      </c>
      <c r="AA77" s="45">
        <v>52856</v>
      </c>
      <c r="AB77" s="45">
        <v>23991</v>
      </c>
      <c r="AC77" s="45">
        <v>38066</v>
      </c>
      <c r="AD77" s="45">
        <v>10837</v>
      </c>
      <c r="AE77" s="45">
        <v>46216</v>
      </c>
      <c r="AF77" s="45">
        <v>21484</v>
      </c>
      <c r="AG77" s="45">
        <v>7140</v>
      </c>
      <c r="AH77" s="45">
        <v>45517</v>
      </c>
      <c r="AI77" s="45">
        <v>17138</v>
      </c>
      <c r="AJ77" s="45">
        <v>147437</v>
      </c>
      <c r="AK77" s="45">
        <v>33791</v>
      </c>
      <c r="AL77" s="45">
        <v>196590</v>
      </c>
      <c r="AM77" s="45">
        <v>49520</v>
      </c>
      <c r="AN77" s="45">
        <v>60666</v>
      </c>
      <c r="AO77" s="45">
        <v>1278</v>
      </c>
      <c r="AP77" s="45">
        <v>40941</v>
      </c>
      <c r="AQ77" s="45">
        <v>106220</v>
      </c>
      <c r="AR77" s="45">
        <v>163234</v>
      </c>
      <c r="AS77" s="45">
        <v>18877</v>
      </c>
      <c r="AT77" s="45">
        <v>25372</v>
      </c>
      <c r="AU77" s="45">
        <v>40261</v>
      </c>
      <c r="AV77" s="45">
        <v>36355</v>
      </c>
      <c r="AW77" s="45">
        <v>36027</v>
      </c>
      <c r="AX77" s="45">
        <v>11559</v>
      </c>
      <c r="AY77" s="45">
        <v>12462</v>
      </c>
      <c r="AZ77" s="45">
        <v>0</v>
      </c>
      <c r="BA77" s="45">
        <v>46676</v>
      </c>
      <c r="BB77" s="45">
        <v>78808</v>
      </c>
      <c r="BC77" s="45">
        <v>20779</v>
      </c>
      <c r="BD77" s="45">
        <v>29153</v>
      </c>
      <c r="BE77" s="45">
        <v>27245</v>
      </c>
      <c r="BF77" s="45">
        <v>17398</v>
      </c>
      <c r="BG77" s="45">
        <v>23575</v>
      </c>
      <c r="BH77" s="45">
        <v>6722</v>
      </c>
      <c r="BI77" s="45">
        <v>17971</v>
      </c>
      <c r="BJ77" s="45">
        <v>19143</v>
      </c>
      <c r="BK77" s="45">
        <v>4978</v>
      </c>
      <c r="BL77" s="45">
        <v>9321</v>
      </c>
      <c r="BM77" s="45">
        <v>6609</v>
      </c>
      <c r="BN77" s="45">
        <v>12489</v>
      </c>
      <c r="BO77" s="45">
        <v>11812</v>
      </c>
      <c r="BP77" s="45">
        <v>13917</v>
      </c>
      <c r="BQ77" s="45">
        <v>44011</v>
      </c>
      <c r="BR77" s="45">
        <v>508838</v>
      </c>
      <c r="BS77" s="45">
        <v>26466</v>
      </c>
      <c r="BT77" s="45">
        <v>48504</v>
      </c>
      <c r="BU77" s="45">
        <v>2368</v>
      </c>
      <c r="BV77" s="45">
        <v>316</v>
      </c>
      <c r="BW77" s="45">
        <v>14304</v>
      </c>
      <c r="BX77" s="45">
        <v>171</v>
      </c>
      <c r="BY77" s="45">
        <v>8135</v>
      </c>
      <c r="BZ77" s="45">
        <v>158100</v>
      </c>
      <c r="CA77" s="45">
        <v>0</v>
      </c>
      <c r="CB77" s="42">
        <v>3472958</v>
      </c>
      <c r="CC77" s="259"/>
      <c r="CD77" s="52">
        <v>14236380</v>
      </c>
      <c r="CE77" s="53">
        <v>113565</v>
      </c>
      <c r="CF77" s="54">
        <v>4753</v>
      </c>
      <c r="CG77" s="52">
        <v>10</v>
      </c>
      <c r="CH77" s="55">
        <v>17827666</v>
      </c>
      <c r="CI77" s="51">
        <f t="shared" si="2"/>
        <v>17827666</v>
      </c>
      <c r="CJ77" s="51">
        <f>CI77-CH77</f>
        <v>0</v>
      </c>
    </row>
    <row r="78" spans="1:88" ht="14.4" thickBot="1" x14ac:dyDescent="0.3">
      <c r="A78" s="1" t="s">
        <v>76</v>
      </c>
      <c r="B78" s="263"/>
      <c r="C78" s="43">
        <v>0</v>
      </c>
      <c r="D78" s="44">
        <v>0</v>
      </c>
      <c r="E78" s="44">
        <v>0</v>
      </c>
      <c r="F78" s="44">
        <v>0</v>
      </c>
      <c r="G78" s="44">
        <v>0</v>
      </c>
      <c r="H78" s="44">
        <v>0</v>
      </c>
      <c r="I78" s="44">
        <v>0</v>
      </c>
      <c r="J78" s="44">
        <v>0</v>
      </c>
      <c r="K78" s="44">
        <v>0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5">
        <v>0</v>
      </c>
      <c r="R78" s="45">
        <v>0</v>
      </c>
      <c r="S78" s="45">
        <v>0</v>
      </c>
      <c r="T78" s="45">
        <v>0</v>
      </c>
      <c r="U78" s="45">
        <v>0</v>
      </c>
      <c r="V78" s="45">
        <v>0</v>
      </c>
      <c r="W78" s="45">
        <v>0</v>
      </c>
      <c r="X78" s="45">
        <v>0</v>
      </c>
      <c r="Y78" s="45">
        <v>0</v>
      </c>
      <c r="Z78" s="45">
        <v>0</v>
      </c>
      <c r="AA78" s="45">
        <v>0</v>
      </c>
      <c r="AB78" s="45">
        <v>0</v>
      </c>
      <c r="AC78" s="45">
        <v>0</v>
      </c>
      <c r="AD78" s="45">
        <v>0</v>
      </c>
      <c r="AE78" s="45">
        <v>0</v>
      </c>
      <c r="AF78" s="45">
        <v>0</v>
      </c>
      <c r="AG78" s="45">
        <v>0</v>
      </c>
      <c r="AH78" s="45">
        <v>0</v>
      </c>
      <c r="AI78" s="45">
        <v>0</v>
      </c>
      <c r="AJ78" s="45">
        <v>0</v>
      </c>
      <c r="AK78" s="45">
        <v>0</v>
      </c>
      <c r="AL78" s="45">
        <v>0</v>
      </c>
      <c r="AM78" s="45">
        <v>0</v>
      </c>
      <c r="AN78" s="45">
        <v>0</v>
      </c>
      <c r="AO78" s="45">
        <v>0</v>
      </c>
      <c r="AP78" s="45">
        <v>0</v>
      </c>
      <c r="AQ78" s="45">
        <v>0</v>
      </c>
      <c r="AR78" s="45">
        <v>0</v>
      </c>
      <c r="AS78" s="45">
        <v>0</v>
      </c>
      <c r="AT78" s="45">
        <v>0</v>
      </c>
      <c r="AU78" s="45">
        <v>0</v>
      </c>
      <c r="AV78" s="45">
        <v>0</v>
      </c>
      <c r="AW78" s="45">
        <v>0</v>
      </c>
      <c r="AX78" s="45">
        <v>0</v>
      </c>
      <c r="AY78" s="45">
        <v>0</v>
      </c>
      <c r="AZ78" s="45">
        <v>0</v>
      </c>
      <c r="BA78" s="45">
        <v>0</v>
      </c>
      <c r="BB78" s="45">
        <v>0</v>
      </c>
      <c r="BC78" s="45">
        <v>0</v>
      </c>
      <c r="BD78" s="45">
        <v>0</v>
      </c>
      <c r="BE78" s="45">
        <v>0</v>
      </c>
      <c r="BF78" s="45">
        <v>0</v>
      </c>
      <c r="BG78" s="45">
        <v>0</v>
      </c>
      <c r="BH78" s="45">
        <v>0</v>
      </c>
      <c r="BI78" s="45">
        <v>0</v>
      </c>
      <c r="BJ78" s="45">
        <v>0</v>
      </c>
      <c r="BK78" s="45">
        <v>0</v>
      </c>
      <c r="BL78" s="45">
        <v>0</v>
      </c>
      <c r="BM78" s="45">
        <v>0</v>
      </c>
      <c r="BN78" s="45">
        <v>0</v>
      </c>
      <c r="BO78" s="45">
        <v>0</v>
      </c>
      <c r="BP78" s="45">
        <v>0</v>
      </c>
      <c r="BQ78" s="45">
        <v>0</v>
      </c>
      <c r="BR78" s="45">
        <v>0</v>
      </c>
      <c r="BS78" s="45">
        <v>0</v>
      </c>
      <c r="BT78" s="45">
        <v>0</v>
      </c>
      <c r="BU78" s="45">
        <v>0</v>
      </c>
      <c r="BV78" s="45">
        <v>0</v>
      </c>
      <c r="BW78" s="45">
        <v>0</v>
      </c>
      <c r="BX78" s="45">
        <v>0</v>
      </c>
      <c r="BY78" s="45">
        <v>0</v>
      </c>
      <c r="BZ78" s="45">
        <v>0</v>
      </c>
      <c r="CA78" s="45">
        <v>0</v>
      </c>
      <c r="CB78" s="56">
        <v>0</v>
      </c>
      <c r="CC78" s="260"/>
      <c r="CD78" s="57">
        <v>2212047</v>
      </c>
      <c r="CE78" s="58">
        <v>0</v>
      </c>
      <c r="CF78" s="59">
        <v>0</v>
      </c>
      <c r="CG78" s="57">
        <v>0</v>
      </c>
      <c r="CH78" s="60">
        <v>2212047</v>
      </c>
      <c r="CI78" s="51">
        <f t="shared" si="2"/>
        <v>2212047</v>
      </c>
      <c r="CJ78" s="51">
        <f>CI78-CH78</f>
        <v>0</v>
      </c>
    </row>
    <row r="79" spans="1:88" ht="21" thickBot="1" x14ac:dyDescent="0.3">
      <c r="A79" s="9" t="s">
        <v>86</v>
      </c>
      <c r="B79" s="23" t="s">
        <v>87</v>
      </c>
      <c r="C79" s="46">
        <v>52232629</v>
      </c>
      <c r="D79" s="61">
        <v>5020068</v>
      </c>
      <c r="E79" s="61">
        <v>184093</v>
      </c>
      <c r="F79" s="61">
        <v>6411376</v>
      </c>
      <c r="G79" s="61">
        <v>5587126</v>
      </c>
      <c r="H79" s="61">
        <v>124198419</v>
      </c>
      <c r="I79" s="61">
        <v>12023594</v>
      </c>
      <c r="J79" s="61">
        <v>2027372</v>
      </c>
      <c r="K79" s="61">
        <v>4363354</v>
      </c>
      <c r="L79" s="61">
        <v>4124285</v>
      </c>
      <c r="M79" s="61">
        <v>1817086</v>
      </c>
      <c r="N79" s="61">
        <v>21256242</v>
      </c>
      <c r="O79" s="61">
        <v>18329585</v>
      </c>
      <c r="P79" s="61">
        <v>6006738</v>
      </c>
      <c r="Q79" s="61">
        <v>11413119</v>
      </c>
      <c r="R79" s="61">
        <v>26280765</v>
      </c>
      <c r="S79" s="61">
        <v>6735385</v>
      </c>
      <c r="T79" s="61">
        <v>32083018</v>
      </c>
      <c r="U79" s="61">
        <v>25528226</v>
      </c>
      <c r="V79" s="61">
        <v>30951466</v>
      </c>
      <c r="W79" s="61">
        <v>41642912</v>
      </c>
      <c r="X79" s="61">
        <v>13875113</v>
      </c>
      <c r="Y79" s="61">
        <v>23052657</v>
      </c>
      <c r="Z79" s="61">
        <v>19290782</v>
      </c>
      <c r="AA79" s="61">
        <v>60287330</v>
      </c>
      <c r="AB79" s="61">
        <v>9447182</v>
      </c>
      <c r="AC79" s="61">
        <v>20732802</v>
      </c>
      <c r="AD79" s="61">
        <v>5028707</v>
      </c>
      <c r="AE79" s="61">
        <v>15296813</v>
      </c>
      <c r="AF79" s="61">
        <v>49878087</v>
      </c>
      <c r="AG79" s="61">
        <v>2046625</v>
      </c>
      <c r="AH79" s="61">
        <v>7052535</v>
      </c>
      <c r="AI79" s="61">
        <v>3227820</v>
      </c>
      <c r="AJ79" s="61">
        <v>177043670</v>
      </c>
      <c r="AK79" s="61">
        <v>16966164</v>
      </c>
      <c r="AL79" s="61">
        <v>68660229</v>
      </c>
      <c r="AM79" s="61">
        <v>49259698</v>
      </c>
      <c r="AN79" s="61">
        <v>66871115</v>
      </c>
      <c r="AO79" s="61">
        <v>5899495</v>
      </c>
      <c r="AP79" s="61">
        <v>38295764</v>
      </c>
      <c r="AQ79" s="61">
        <v>6354392</v>
      </c>
      <c r="AR79" s="61">
        <v>15012445</v>
      </c>
      <c r="AS79" s="61">
        <v>5551482</v>
      </c>
      <c r="AT79" s="61">
        <v>3516759</v>
      </c>
      <c r="AU79" s="61">
        <v>4024872</v>
      </c>
      <c r="AV79" s="61">
        <v>18112546</v>
      </c>
      <c r="AW79" s="61">
        <v>13816234</v>
      </c>
      <c r="AX79" s="61">
        <v>4625265</v>
      </c>
      <c r="AY79" s="61">
        <v>18340707</v>
      </c>
      <c r="AZ79" s="61">
        <v>11153719</v>
      </c>
      <c r="BA79" s="61">
        <v>10081975</v>
      </c>
      <c r="BB79" s="61">
        <v>61067878</v>
      </c>
      <c r="BC79" s="61">
        <v>9178608</v>
      </c>
      <c r="BD79" s="61">
        <v>11096306</v>
      </c>
      <c r="BE79" s="61">
        <v>12551085</v>
      </c>
      <c r="BF79" s="61">
        <v>4564920</v>
      </c>
      <c r="BG79" s="61">
        <v>23996083</v>
      </c>
      <c r="BH79" s="61">
        <v>4045469</v>
      </c>
      <c r="BI79" s="61">
        <v>486511</v>
      </c>
      <c r="BJ79" s="61">
        <v>8545454</v>
      </c>
      <c r="BK79" s="61">
        <v>2966626</v>
      </c>
      <c r="BL79" s="61">
        <v>8083570</v>
      </c>
      <c r="BM79" s="61">
        <v>3374619</v>
      </c>
      <c r="BN79" s="61">
        <v>5674182</v>
      </c>
      <c r="BO79" s="61">
        <v>6645647</v>
      </c>
      <c r="BP79" s="61">
        <v>20116230</v>
      </c>
      <c r="BQ79" s="61">
        <v>16928196</v>
      </c>
      <c r="BR79" s="61">
        <v>30986803</v>
      </c>
      <c r="BS79" s="61">
        <v>6395517</v>
      </c>
      <c r="BT79" s="61">
        <v>3841137</v>
      </c>
      <c r="BU79" s="61">
        <v>829144</v>
      </c>
      <c r="BV79" s="61">
        <v>818764</v>
      </c>
      <c r="BW79" s="61">
        <v>4122454</v>
      </c>
      <c r="BX79" s="61">
        <v>2426699</v>
      </c>
      <c r="BY79" s="61">
        <v>2376854</v>
      </c>
      <c r="BZ79" s="61">
        <v>4729929</v>
      </c>
      <c r="CA79" s="62">
        <v>0</v>
      </c>
      <c r="CB79" s="63">
        <v>1456868527</v>
      </c>
      <c r="CC79" s="25" t="s">
        <v>88</v>
      </c>
      <c r="CD79" s="64">
        <v>768156410</v>
      </c>
      <c r="CE79" s="65">
        <v>317935704</v>
      </c>
      <c r="CF79" s="66">
        <v>251746543</v>
      </c>
      <c r="CG79" s="64">
        <v>790636848</v>
      </c>
      <c r="CH79" s="67">
        <v>3585344032</v>
      </c>
      <c r="CI79" s="51">
        <f t="shared" si="2"/>
        <v>3585344032</v>
      </c>
      <c r="CJ79" s="51">
        <f t="shared" si="3"/>
        <v>0</v>
      </c>
    </row>
    <row r="80" spans="1:88" ht="28.2" thickBot="1" x14ac:dyDescent="0.3">
      <c r="A80" s="16" t="s">
        <v>89</v>
      </c>
      <c r="B80" s="33" t="s">
        <v>90</v>
      </c>
      <c r="C80" s="68">
        <v>10010831</v>
      </c>
      <c r="D80" s="69">
        <v>538864</v>
      </c>
      <c r="E80" s="69">
        <v>54486</v>
      </c>
      <c r="F80" s="69">
        <v>1282471</v>
      </c>
      <c r="G80" s="69">
        <v>1902357</v>
      </c>
      <c r="H80" s="69">
        <v>26882053</v>
      </c>
      <c r="I80" s="69">
        <v>3430757</v>
      </c>
      <c r="J80" s="69">
        <v>999259</v>
      </c>
      <c r="K80" s="69">
        <v>4374070</v>
      </c>
      <c r="L80" s="69">
        <v>2284944</v>
      </c>
      <c r="M80" s="69">
        <v>1647013</v>
      </c>
      <c r="N80" s="69">
        <v>5136565</v>
      </c>
      <c r="O80" s="69">
        <v>9656641</v>
      </c>
      <c r="P80" s="69">
        <v>2932285</v>
      </c>
      <c r="Q80" s="69">
        <v>37562912</v>
      </c>
      <c r="R80" s="69">
        <v>20509716</v>
      </c>
      <c r="S80" s="69">
        <v>3457476</v>
      </c>
      <c r="T80" s="69">
        <v>23231228</v>
      </c>
      <c r="U80" s="69">
        <v>6595368</v>
      </c>
      <c r="V80" s="69">
        <v>18304792</v>
      </c>
      <c r="W80" s="69">
        <v>18754540</v>
      </c>
      <c r="X80" s="69">
        <v>15468889</v>
      </c>
      <c r="Y80" s="69">
        <v>18053524</v>
      </c>
      <c r="Z80" s="69">
        <v>10813337</v>
      </c>
      <c r="AA80" s="69">
        <v>39774262</v>
      </c>
      <c r="AB80" s="69">
        <v>5870296</v>
      </c>
      <c r="AC80" s="69">
        <v>8798988</v>
      </c>
      <c r="AD80" s="69">
        <v>2635653</v>
      </c>
      <c r="AE80" s="69">
        <v>9441709</v>
      </c>
      <c r="AF80" s="69">
        <v>13174072</v>
      </c>
      <c r="AG80" s="69">
        <v>312260</v>
      </c>
      <c r="AH80" s="69">
        <v>4630726</v>
      </c>
      <c r="AI80" s="69">
        <v>487304</v>
      </c>
      <c r="AJ80" s="69">
        <v>33049502</v>
      </c>
      <c r="AK80" s="69">
        <v>2837681</v>
      </c>
      <c r="AL80" s="69">
        <v>15273801</v>
      </c>
      <c r="AM80" s="69">
        <v>9293294</v>
      </c>
      <c r="AN80" s="69">
        <v>16108487</v>
      </c>
      <c r="AO80" s="69">
        <v>970888</v>
      </c>
      <c r="AP80" s="69">
        <v>5119340</v>
      </c>
      <c r="AQ80" s="69">
        <v>873371</v>
      </c>
      <c r="AR80" s="69">
        <v>2166002</v>
      </c>
      <c r="AS80" s="69">
        <v>1609006</v>
      </c>
      <c r="AT80" s="69">
        <v>615877</v>
      </c>
      <c r="AU80" s="69">
        <v>447097</v>
      </c>
      <c r="AV80" s="69">
        <v>5934452</v>
      </c>
      <c r="AW80" s="69">
        <v>4000308</v>
      </c>
      <c r="AX80" s="69">
        <v>727613</v>
      </c>
      <c r="AY80" s="69">
        <v>2577272</v>
      </c>
      <c r="AZ80" s="69">
        <v>1973243</v>
      </c>
      <c r="BA80" s="69">
        <v>1142712</v>
      </c>
      <c r="BB80" s="69">
        <v>4447966</v>
      </c>
      <c r="BC80" s="69">
        <v>1740413</v>
      </c>
      <c r="BD80" s="69">
        <v>1463362</v>
      </c>
      <c r="BE80" s="69">
        <v>1325484</v>
      </c>
      <c r="BF80" s="69">
        <v>1831901</v>
      </c>
      <c r="BG80" s="69">
        <v>2382408</v>
      </c>
      <c r="BH80" s="69">
        <v>534497</v>
      </c>
      <c r="BI80" s="69">
        <v>359461</v>
      </c>
      <c r="BJ80" s="69">
        <v>1709526</v>
      </c>
      <c r="BK80" s="69">
        <v>206789</v>
      </c>
      <c r="BL80" s="69">
        <v>1427529</v>
      </c>
      <c r="BM80" s="69">
        <v>404566</v>
      </c>
      <c r="BN80" s="69">
        <v>1009898</v>
      </c>
      <c r="BO80" s="69">
        <v>1248879</v>
      </c>
      <c r="BP80" s="69">
        <v>4085607</v>
      </c>
      <c r="BQ80" s="69">
        <v>2093853</v>
      </c>
      <c r="BR80" s="69">
        <v>7851734</v>
      </c>
      <c r="BS80" s="69">
        <v>650314</v>
      </c>
      <c r="BT80" s="69">
        <v>875800</v>
      </c>
      <c r="BU80" s="69">
        <v>91321</v>
      </c>
      <c r="BV80" s="69">
        <v>76602</v>
      </c>
      <c r="BW80" s="69">
        <v>550044</v>
      </c>
      <c r="BX80" s="69">
        <v>821391</v>
      </c>
      <c r="BY80" s="69">
        <v>1168615</v>
      </c>
      <c r="BZ80" s="69">
        <v>785603</v>
      </c>
      <c r="CA80" s="70">
        <v>0</v>
      </c>
      <c r="CB80" s="71">
        <v>472873157</v>
      </c>
      <c r="CC80" s="26" t="s">
        <v>91</v>
      </c>
      <c r="CD80" s="72">
        <v>163657987</v>
      </c>
      <c r="CE80" s="73">
        <v>5042023</v>
      </c>
      <c r="CF80" s="74">
        <v>100581811</v>
      </c>
      <c r="CG80" s="72">
        <v>80580630</v>
      </c>
      <c r="CH80" s="75">
        <v>822735608</v>
      </c>
      <c r="CI80" s="51">
        <f t="shared" si="2"/>
        <v>822735608</v>
      </c>
      <c r="CJ80" s="51">
        <f t="shared" si="3"/>
        <v>0</v>
      </c>
    </row>
    <row r="81" spans="1:88" ht="20.399999999999999" x14ac:dyDescent="0.25">
      <c r="A81" s="30" t="s">
        <v>92</v>
      </c>
      <c r="B81" s="34" t="s">
        <v>93</v>
      </c>
      <c r="C81" s="76">
        <v>33135109</v>
      </c>
      <c r="D81" s="77">
        <v>2583016</v>
      </c>
      <c r="E81" s="77">
        <v>217522</v>
      </c>
      <c r="F81" s="77">
        <v>3173216</v>
      </c>
      <c r="G81" s="77">
        <v>3348293</v>
      </c>
      <c r="H81" s="77">
        <v>23548153</v>
      </c>
      <c r="I81" s="77">
        <v>4413649</v>
      </c>
      <c r="J81" s="77">
        <v>4572984</v>
      </c>
      <c r="K81" s="77">
        <v>1268940</v>
      </c>
      <c r="L81" s="77">
        <v>3313871</v>
      </c>
      <c r="M81" s="77">
        <v>873179</v>
      </c>
      <c r="N81" s="77">
        <v>7101406</v>
      </c>
      <c r="O81" s="77">
        <v>7667587</v>
      </c>
      <c r="P81" s="77">
        <v>1841414</v>
      </c>
      <c r="Q81" s="77">
        <v>6092481</v>
      </c>
      <c r="R81" s="77">
        <v>14296143</v>
      </c>
      <c r="S81" s="77">
        <v>2303307</v>
      </c>
      <c r="T81" s="77">
        <v>11557145</v>
      </c>
      <c r="U81" s="77">
        <v>10862024</v>
      </c>
      <c r="V81" s="77">
        <v>7051836</v>
      </c>
      <c r="W81" s="77">
        <v>19956231</v>
      </c>
      <c r="X81" s="77">
        <v>2928340</v>
      </c>
      <c r="Y81" s="77">
        <v>10125528</v>
      </c>
      <c r="Z81" s="77">
        <v>8387083</v>
      </c>
      <c r="AA81" s="77">
        <v>9419472</v>
      </c>
      <c r="AB81" s="77">
        <v>4912696</v>
      </c>
      <c r="AC81" s="77">
        <v>7104436</v>
      </c>
      <c r="AD81" s="77">
        <v>3329796</v>
      </c>
      <c r="AE81" s="77">
        <v>12694465</v>
      </c>
      <c r="AF81" s="77">
        <v>37432927</v>
      </c>
      <c r="AG81" s="77">
        <v>3692481</v>
      </c>
      <c r="AH81" s="77">
        <v>3719978</v>
      </c>
      <c r="AI81" s="77">
        <v>4257550</v>
      </c>
      <c r="AJ81" s="77">
        <v>91649400</v>
      </c>
      <c r="AK81" s="77">
        <v>27861892</v>
      </c>
      <c r="AL81" s="77">
        <v>58441157</v>
      </c>
      <c r="AM81" s="77">
        <v>93377991</v>
      </c>
      <c r="AN81" s="77">
        <v>50943061</v>
      </c>
      <c r="AO81" s="77">
        <v>2605406</v>
      </c>
      <c r="AP81" s="77">
        <v>28086503</v>
      </c>
      <c r="AQ81" s="77">
        <v>4574483</v>
      </c>
      <c r="AR81" s="77">
        <v>7463955</v>
      </c>
      <c r="AS81" s="77">
        <v>2579402</v>
      </c>
      <c r="AT81" s="77">
        <v>1957915</v>
      </c>
      <c r="AU81" s="77">
        <v>3182704</v>
      </c>
      <c r="AV81" s="77">
        <v>14951258</v>
      </c>
      <c r="AW81" s="77">
        <v>14673070</v>
      </c>
      <c r="AX81" s="77">
        <v>2909851</v>
      </c>
      <c r="AY81" s="77">
        <v>28119412</v>
      </c>
      <c r="AZ81" s="77">
        <v>7998634</v>
      </c>
      <c r="BA81" s="77">
        <v>4339270</v>
      </c>
      <c r="BB81" s="77">
        <v>80621972</v>
      </c>
      <c r="BC81" s="77">
        <v>15190184</v>
      </c>
      <c r="BD81" s="77">
        <v>10338784</v>
      </c>
      <c r="BE81" s="77">
        <v>13816413</v>
      </c>
      <c r="BF81" s="77">
        <v>6615262</v>
      </c>
      <c r="BG81" s="77">
        <v>15154506</v>
      </c>
      <c r="BH81" s="77">
        <v>6297346</v>
      </c>
      <c r="BI81" s="77">
        <v>1930528</v>
      </c>
      <c r="BJ81" s="77">
        <v>15816598</v>
      </c>
      <c r="BK81" s="77">
        <v>1332679</v>
      </c>
      <c r="BL81" s="77">
        <v>1387618</v>
      </c>
      <c r="BM81" s="77">
        <v>104053</v>
      </c>
      <c r="BN81" s="77">
        <v>3035907</v>
      </c>
      <c r="BO81" s="77">
        <v>5995698</v>
      </c>
      <c r="BP81" s="77">
        <v>15802977</v>
      </c>
      <c r="BQ81" s="77">
        <v>13782141</v>
      </c>
      <c r="BR81" s="77">
        <v>33053859</v>
      </c>
      <c r="BS81" s="77">
        <v>1589083</v>
      </c>
      <c r="BT81" s="77">
        <v>1957309</v>
      </c>
      <c r="BU81" s="77">
        <v>582167</v>
      </c>
      <c r="BV81" s="77">
        <v>577772</v>
      </c>
      <c r="BW81" s="77">
        <v>2011205</v>
      </c>
      <c r="BX81" s="77">
        <v>-25874</v>
      </c>
      <c r="BY81" s="77">
        <v>5652728</v>
      </c>
      <c r="BZ81" s="77">
        <v>9886214</v>
      </c>
      <c r="CA81" s="78">
        <v>2027535</v>
      </c>
      <c r="CB81" s="79">
        <v>987432286</v>
      </c>
      <c r="CD81" s="80"/>
      <c r="CE81" s="80"/>
      <c r="CF81" s="80"/>
      <c r="CG81" s="80"/>
      <c r="CH81" s="80"/>
      <c r="CI81" s="81"/>
      <c r="CJ81" s="81"/>
    </row>
    <row r="82" spans="1:88" ht="21" thickBot="1" x14ac:dyDescent="0.35">
      <c r="A82" s="11" t="s">
        <v>94</v>
      </c>
      <c r="B82" s="35" t="s">
        <v>95</v>
      </c>
      <c r="C82" s="82">
        <v>7500409</v>
      </c>
      <c r="D82" s="83">
        <v>3367549</v>
      </c>
      <c r="E82" s="83">
        <v>91966</v>
      </c>
      <c r="F82" s="83">
        <v>8530035</v>
      </c>
      <c r="G82" s="83">
        <v>3927936</v>
      </c>
      <c r="H82" s="83">
        <v>19431889</v>
      </c>
      <c r="I82" s="83">
        <v>2170370</v>
      </c>
      <c r="J82" s="83">
        <v>665372</v>
      </c>
      <c r="K82" s="83">
        <v>1829288</v>
      </c>
      <c r="L82" s="83">
        <v>3726721</v>
      </c>
      <c r="M82" s="83">
        <v>842695</v>
      </c>
      <c r="N82" s="83">
        <v>4711375</v>
      </c>
      <c r="O82" s="83">
        <v>3809719</v>
      </c>
      <c r="P82" s="83">
        <v>2622568</v>
      </c>
      <c r="Q82" s="83">
        <v>1323671</v>
      </c>
      <c r="R82" s="83">
        <v>6155852</v>
      </c>
      <c r="S82" s="83">
        <v>2034884</v>
      </c>
      <c r="T82" s="83">
        <v>10116362</v>
      </c>
      <c r="U82" s="83">
        <v>7097733</v>
      </c>
      <c r="V82" s="83">
        <v>5778466</v>
      </c>
      <c r="W82" s="83">
        <v>16518906</v>
      </c>
      <c r="X82" s="83">
        <v>2941323</v>
      </c>
      <c r="Y82" s="83">
        <v>6655204</v>
      </c>
      <c r="Z82" s="83">
        <v>9028185</v>
      </c>
      <c r="AA82" s="83">
        <v>10420526</v>
      </c>
      <c r="AB82" s="83">
        <v>3446750</v>
      </c>
      <c r="AC82" s="83">
        <v>7575846</v>
      </c>
      <c r="AD82" s="83">
        <v>2079443</v>
      </c>
      <c r="AE82" s="83">
        <v>8488920</v>
      </c>
      <c r="AF82" s="83">
        <v>12320721</v>
      </c>
      <c r="AG82" s="83">
        <v>2118429</v>
      </c>
      <c r="AH82" s="83">
        <v>3724711</v>
      </c>
      <c r="AI82" s="83">
        <v>3033584</v>
      </c>
      <c r="AJ82" s="83">
        <v>43939981</v>
      </c>
      <c r="AK82" s="83">
        <v>4740364</v>
      </c>
      <c r="AL82" s="83">
        <v>32277123</v>
      </c>
      <c r="AM82" s="83">
        <v>39408947</v>
      </c>
      <c r="AN82" s="83">
        <v>22926054</v>
      </c>
      <c r="AO82" s="83">
        <v>1021769</v>
      </c>
      <c r="AP82" s="83">
        <v>14663087</v>
      </c>
      <c r="AQ82" s="83">
        <v>3275208</v>
      </c>
      <c r="AR82" s="83">
        <v>5939694</v>
      </c>
      <c r="AS82" s="83">
        <v>3188865</v>
      </c>
      <c r="AT82" s="83">
        <v>551975</v>
      </c>
      <c r="AU82" s="83">
        <v>1362500</v>
      </c>
      <c r="AV82" s="83">
        <v>4247482</v>
      </c>
      <c r="AW82" s="83">
        <v>11299340</v>
      </c>
      <c r="AX82" s="83">
        <v>2184091</v>
      </c>
      <c r="AY82" s="83">
        <v>16429193</v>
      </c>
      <c r="AZ82" s="83">
        <v>2667778</v>
      </c>
      <c r="BA82" s="83">
        <v>4570002</v>
      </c>
      <c r="BB82" s="83">
        <v>10317258</v>
      </c>
      <c r="BC82" s="83">
        <v>7250178</v>
      </c>
      <c r="BD82" s="83">
        <v>6070426</v>
      </c>
      <c r="BE82" s="83">
        <v>5589576</v>
      </c>
      <c r="BF82" s="83">
        <v>8596213</v>
      </c>
      <c r="BG82" s="83">
        <v>5474916</v>
      </c>
      <c r="BH82" s="83">
        <v>1405021</v>
      </c>
      <c r="BI82" s="83">
        <v>235039</v>
      </c>
      <c r="BJ82" s="83">
        <v>3665782</v>
      </c>
      <c r="BK82" s="83">
        <v>8353946</v>
      </c>
      <c r="BL82" s="83">
        <v>675433</v>
      </c>
      <c r="BM82" s="83">
        <v>5724682</v>
      </c>
      <c r="BN82" s="83">
        <v>3192247</v>
      </c>
      <c r="BO82" s="83">
        <v>5088088</v>
      </c>
      <c r="BP82" s="83">
        <v>79855108</v>
      </c>
      <c r="BQ82" s="83">
        <v>60802161</v>
      </c>
      <c r="BR82" s="83">
        <v>27072722</v>
      </c>
      <c r="BS82" s="83">
        <v>14176221</v>
      </c>
      <c r="BT82" s="83">
        <v>4220204</v>
      </c>
      <c r="BU82" s="83">
        <v>520545</v>
      </c>
      <c r="BV82" s="83">
        <v>511578</v>
      </c>
      <c r="BW82" s="83">
        <v>2091615</v>
      </c>
      <c r="BX82" s="83">
        <v>1630761</v>
      </c>
      <c r="BY82" s="83">
        <v>4259049</v>
      </c>
      <c r="BZ82" s="83">
        <v>2425920</v>
      </c>
      <c r="CA82" s="84">
        <v>184512</v>
      </c>
      <c r="CB82" s="85">
        <v>668170062</v>
      </c>
      <c r="CC82" s="143"/>
      <c r="CD82" s="80"/>
      <c r="CE82" s="86"/>
      <c r="CF82" s="86"/>
      <c r="CG82" s="86"/>
      <c r="CH82" s="86"/>
      <c r="CI82" s="18"/>
      <c r="CJ82" s="18"/>
    </row>
    <row r="83" spans="1:88" ht="18" x14ac:dyDescent="0.25">
      <c r="A83" s="17" t="s">
        <v>96</v>
      </c>
      <c r="B83" s="24"/>
      <c r="C83" s="87">
        <v>34975520</v>
      </c>
      <c r="D83" s="88">
        <v>5328031</v>
      </c>
      <c r="E83" s="88">
        <v>262015</v>
      </c>
      <c r="F83" s="88">
        <v>11638791</v>
      </c>
      <c r="G83" s="88">
        <v>7078290</v>
      </c>
      <c r="H83" s="88">
        <v>43216044</v>
      </c>
      <c r="I83" s="88">
        <v>6405607</v>
      </c>
      <c r="J83" s="88">
        <v>4952285</v>
      </c>
      <c r="K83" s="88">
        <v>3034278</v>
      </c>
      <c r="L83" s="88">
        <v>6987538</v>
      </c>
      <c r="M83" s="88">
        <v>1701690</v>
      </c>
      <c r="N83" s="88">
        <v>11624817</v>
      </c>
      <c r="O83" s="88">
        <v>11368019</v>
      </c>
      <c r="P83" s="88">
        <v>4437501</v>
      </c>
      <c r="Q83" s="88">
        <v>6405041</v>
      </c>
      <c r="R83" s="88">
        <v>19849545</v>
      </c>
      <c r="S83" s="88">
        <v>4283773</v>
      </c>
      <c r="T83" s="88">
        <v>21334676</v>
      </c>
      <c r="U83" s="88">
        <v>17517495</v>
      </c>
      <c r="V83" s="88">
        <v>12572903</v>
      </c>
      <c r="W83" s="88">
        <v>36258000</v>
      </c>
      <c r="X83" s="88">
        <v>5796977</v>
      </c>
      <c r="Y83" s="88">
        <v>16597998</v>
      </c>
      <c r="Z83" s="88">
        <v>17268490</v>
      </c>
      <c r="AA83" s="88">
        <v>19613877</v>
      </c>
      <c r="AB83" s="88">
        <v>8265031</v>
      </c>
      <c r="AC83" s="88">
        <v>14563765</v>
      </c>
      <c r="AD83" s="88">
        <v>5281414</v>
      </c>
      <c r="AE83" s="88">
        <v>21064749</v>
      </c>
      <c r="AF83" s="88">
        <v>49403887</v>
      </c>
      <c r="AG83" s="88">
        <v>5780499</v>
      </c>
      <c r="AH83" s="88">
        <v>7174389</v>
      </c>
      <c r="AI83" s="88">
        <v>7081390</v>
      </c>
      <c r="AJ83" s="88">
        <v>134639079</v>
      </c>
      <c r="AK83" s="88">
        <v>32336462</v>
      </c>
      <c r="AL83" s="88">
        <v>89248569</v>
      </c>
      <c r="AM83" s="88">
        <v>132156875</v>
      </c>
      <c r="AN83" s="88">
        <v>62115602</v>
      </c>
      <c r="AO83" s="88">
        <v>3367807</v>
      </c>
      <c r="AP83" s="88">
        <v>40570170</v>
      </c>
      <c r="AQ83" s="88">
        <v>7585122</v>
      </c>
      <c r="AR83" s="88">
        <v>11809130</v>
      </c>
      <c r="AS83" s="88">
        <v>5732981</v>
      </c>
      <c r="AT83" s="88">
        <v>2501200</v>
      </c>
      <c r="AU83" s="88">
        <v>4489883</v>
      </c>
      <c r="AV83" s="88">
        <v>19150616</v>
      </c>
      <c r="AW83" s="88">
        <v>25919120</v>
      </c>
      <c r="AX83" s="88">
        <v>5077873</v>
      </c>
      <c r="AY83" s="88">
        <v>42698192</v>
      </c>
      <c r="AZ83" s="88">
        <v>7746313</v>
      </c>
      <c r="BA83" s="88">
        <v>8120155</v>
      </c>
      <c r="BB83" s="88">
        <v>82989482</v>
      </c>
      <c r="BC83" s="88">
        <v>22414380</v>
      </c>
      <c r="BD83" s="88">
        <v>16362999</v>
      </c>
      <c r="BE83" s="88">
        <v>19314616</v>
      </c>
      <c r="BF83" s="88">
        <v>14913782</v>
      </c>
      <c r="BG83" s="88">
        <v>20563164</v>
      </c>
      <c r="BH83" s="88">
        <v>7678791</v>
      </c>
      <c r="BI83" s="88">
        <v>2159918</v>
      </c>
      <c r="BJ83" s="88">
        <v>19276702</v>
      </c>
      <c r="BK83" s="88">
        <v>9661447</v>
      </c>
      <c r="BL83" s="88">
        <v>2022040</v>
      </c>
      <c r="BM83" s="88">
        <v>5751457</v>
      </c>
      <c r="BN83" s="88">
        <v>5918152</v>
      </c>
      <c r="BO83" s="88">
        <v>11049691</v>
      </c>
      <c r="BP83" s="88">
        <v>91043550</v>
      </c>
      <c r="BQ83" s="88">
        <v>72033430</v>
      </c>
      <c r="BR83" s="88">
        <v>56511500</v>
      </c>
      <c r="BS83" s="88">
        <v>15105285</v>
      </c>
      <c r="BT83" s="88">
        <v>5787732</v>
      </c>
      <c r="BU83" s="88">
        <v>1005157</v>
      </c>
      <c r="BV83" s="88">
        <v>1024841</v>
      </c>
      <c r="BW83" s="88">
        <v>3713939</v>
      </c>
      <c r="BX83" s="88">
        <v>1330003</v>
      </c>
      <c r="BY83" s="88">
        <v>9900166</v>
      </c>
      <c r="BZ83" s="88">
        <v>12232823</v>
      </c>
      <c r="CA83" s="89">
        <v>2212047</v>
      </c>
      <c r="CB83" s="90">
        <v>1596366568</v>
      </c>
      <c r="CD83" s="80"/>
      <c r="CE83" s="86"/>
      <c r="CF83" s="86"/>
      <c r="CG83" s="86"/>
      <c r="CH83" s="86"/>
      <c r="CI83" s="18"/>
      <c r="CJ83" s="18"/>
    </row>
    <row r="84" spans="1:88" ht="21" thickBot="1" x14ac:dyDescent="0.3">
      <c r="A84" s="10" t="s">
        <v>97</v>
      </c>
      <c r="B84" s="28" t="s">
        <v>98</v>
      </c>
      <c r="C84" s="91">
        <v>102878978</v>
      </c>
      <c r="D84" s="92">
        <v>11509497</v>
      </c>
      <c r="E84" s="92">
        <v>548067</v>
      </c>
      <c r="F84" s="92">
        <v>19397098</v>
      </c>
      <c r="G84" s="92">
        <v>14765712</v>
      </c>
      <c r="H84" s="92">
        <v>194060514</v>
      </c>
      <c r="I84" s="92">
        <v>22038370</v>
      </c>
      <c r="J84" s="92">
        <v>8264987</v>
      </c>
      <c r="K84" s="92">
        <v>11835652</v>
      </c>
      <c r="L84" s="92">
        <v>13449821</v>
      </c>
      <c r="M84" s="92">
        <v>5179973</v>
      </c>
      <c r="N84" s="92">
        <v>38205588</v>
      </c>
      <c r="O84" s="92">
        <v>39463532</v>
      </c>
      <c r="P84" s="92">
        <v>13403005</v>
      </c>
      <c r="Q84" s="92">
        <v>56392183</v>
      </c>
      <c r="R84" s="92">
        <v>67242476</v>
      </c>
      <c r="S84" s="92">
        <v>14531052</v>
      </c>
      <c r="T84" s="92">
        <v>76987753</v>
      </c>
      <c r="U84" s="92">
        <v>50083351</v>
      </c>
      <c r="V84" s="92">
        <v>62086560</v>
      </c>
      <c r="W84" s="92">
        <v>96872589</v>
      </c>
      <c r="X84" s="92">
        <v>35213665</v>
      </c>
      <c r="Y84" s="92">
        <v>57886913</v>
      </c>
      <c r="Z84" s="92">
        <v>47519387</v>
      </c>
      <c r="AA84" s="92">
        <v>119901590</v>
      </c>
      <c r="AB84" s="92">
        <v>23676924</v>
      </c>
      <c r="AC84" s="92">
        <v>44212072</v>
      </c>
      <c r="AD84" s="92">
        <v>13073599</v>
      </c>
      <c r="AE84" s="92">
        <v>45921907</v>
      </c>
      <c r="AF84" s="92">
        <v>112805807</v>
      </c>
      <c r="AG84" s="92">
        <v>8169795</v>
      </c>
      <c r="AH84" s="92">
        <v>19127950</v>
      </c>
      <c r="AI84" s="92">
        <v>11006258</v>
      </c>
      <c r="AJ84" s="92">
        <v>345682553</v>
      </c>
      <c r="AK84" s="92">
        <v>52406101</v>
      </c>
      <c r="AL84" s="92">
        <v>174652310</v>
      </c>
      <c r="AM84" s="92">
        <v>191339930</v>
      </c>
      <c r="AN84" s="92">
        <v>156848717</v>
      </c>
      <c r="AO84" s="92">
        <v>10497558</v>
      </c>
      <c r="AP84" s="92">
        <v>86164694</v>
      </c>
      <c r="AQ84" s="92">
        <v>15077454</v>
      </c>
      <c r="AR84" s="92">
        <v>30582096</v>
      </c>
      <c r="AS84" s="92">
        <v>12928755</v>
      </c>
      <c r="AT84" s="92">
        <v>6642526</v>
      </c>
      <c r="AU84" s="92">
        <v>9017173</v>
      </c>
      <c r="AV84" s="92">
        <v>43245738</v>
      </c>
      <c r="AW84" s="92">
        <v>43788952</v>
      </c>
      <c r="AX84" s="92">
        <v>10446820</v>
      </c>
      <c r="AY84" s="92">
        <v>65466584</v>
      </c>
      <c r="AZ84" s="92">
        <v>23793374</v>
      </c>
      <c r="BA84" s="92">
        <v>20133959</v>
      </c>
      <c r="BB84" s="92">
        <v>156455074</v>
      </c>
      <c r="BC84" s="92">
        <v>33359383</v>
      </c>
      <c r="BD84" s="92">
        <v>28968878</v>
      </c>
      <c r="BE84" s="92">
        <v>33282558</v>
      </c>
      <c r="BF84" s="92">
        <v>21608296</v>
      </c>
      <c r="BG84" s="92">
        <v>47007913</v>
      </c>
      <c r="BH84" s="92">
        <v>12282333</v>
      </c>
      <c r="BI84" s="92">
        <v>3011539</v>
      </c>
      <c r="BJ84" s="92">
        <v>29737360</v>
      </c>
      <c r="BK84" s="92">
        <v>12860040</v>
      </c>
      <c r="BL84" s="92">
        <v>11574150</v>
      </c>
      <c r="BM84" s="92">
        <v>9607920</v>
      </c>
      <c r="BN84" s="92">
        <v>12912234</v>
      </c>
      <c r="BO84" s="92">
        <v>18978312</v>
      </c>
      <c r="BP84" s="92">
        <v>119859922</v>
      </c>
      <c r="BQ84" s="92">
        <v>93606351</v>
      </c>
      <c r="BR84" s="92">
        <v>98965118</v>
      </c>
      <c r="BS84" s="92">
        <v>22811135</v>
      </c>
      <c r="BT84" s="92">
        <v>10894450</v>
      </c>
      <c r="BU84" s="92">
        <v>2023177</v>
      </c>
      <c r="BV84" s="92">
        <v>1984716</v>
      </c>
      <c r="BW84" s="92">
        <v>8775318</v>
      </c>
      <c r="BX84" s="92">
        <v>4852977</v>
      </c>
      <c r="BY84" s="92">
        <v>13457246</v>
      </c>
      <c r="BZ84" s="92">
        <v>17827666</v>
      </c>
      <c r="CA84" s="93">
        <v>2212047</v>
      </c>
      <c r="CB84" s="94">
        <v>3585344032</v>
      </c>
      <c r="CD84" s="80"/>
      <c r="CE84" s="86"/>
      <c r="CF84" s="86"/>
      <c r="CG84" s="86"/>
      <c r="CH84" s="86"/>
      <c r="CI84" s="18"/>
      <c r="CJ84" s="18"/>
    </row>
    <row r="85" spans="1:88" ht="20.399999999999999" x14ac:dyDescent="0.25">
      <c r="A85" s="15"/>
      <c r="B85" s="29" t="s">
        <v>99</v>
      </c>
      <c r="C85" s="51">
        <f>C79+C80+C81+C82</f>
        <v>102878978</v>
      </c>
      <c r="D85" s="51">
        <f t="shared" ref="D85:BO85" si="4">D79+D80+D81+D82</f>
        <v>11509497</v>
      </c>
      <c r="E85" s="51">
        <f t="shared" si="4"/>
        <v>548067</v>
      </c>
      <c r="F85" s="51">
        <f t="shared" si="4"/>
        <v>19397098</v>
      </c>
      <c r="G85" s="51">
        <f t="shared" si="4"/>
        <v>14765712</v>
      </c>
      <c r="H85" s="51">
        <f t="shared" si="4"/>
        <v>194060514</v>
      </c>
      <c r="I85" s="51">
        <f t="shared" si="4"/>
        <v>22038370</v>
      </c>
      <c r="J85" s="51">
        <f t="shared" si="4"/>
        <v>8264987</v>
      </c>
      <c r="K85" s="51">
        <f t="shared" si="4"/>
        <v>11835652</v>
      </c>
      <c r="L85" s="51">
        <f t="shared" si="4"/>
        <v>13449821</v>
      </c>
      <c r="M85" s="51">
        <f t="shared" si="4"/>
        <v>5179973</v>
      </c>
      <c r="N85" s="51">
        <f t="shared" si="4"/>
        <v>38205588</v>
      </c>
      <c r="O85" s="51">
        <f t="shared" si="4"/>
        <v>39463532</v>
      </c>
      <c r="P85" s="51">
        <f t="shared" si="4"/>
        <v>13403005</v>
      </c>
      <c r="Q85" s="51">
        <f t="shared" si="4"/>
        <v>56392183</v>
      </c>
      <c r="R85" s="51">
        <f t="shared" si="4"/>
        <v>67242476</v>
      </c>
      <c r="S85" s="51">
        <f t="shared" si="4"/>
        <v>14531052</v>
      </c>
      <c r="T85" s="51">
        <f t="shared" si="4"/>
        <v>76987753</v>
      </c>
      <c r="U85" s="51">
        <f t="shared" si="4"/>
        <v>50083351</v>
      </c>
      <c r="V85" s="51">
        <f t="shared" si="4"/>
        <v>62086560</v>
      </c>
      <c r="W85" s="51">
        <f t="shared" si="4"/>
        <v>96872589</v>
      </c>
      <c r="X85" s="51">
        <f t="shared" si="4"/>
        <v>35213665</v>
      </c>
      <c r="Y85" s="51">
        <f t="shared" si="4"/>
        <v>57886913</v>
      </c>
      <c r="Z85" s="51">
        <f t="shared" si="4"/>
        <v>47519387</v>
      </c>
      <c r="AA85" s="51">
        <f t="shared" si="4"/>
        <v>119901590</v>
      </c>
      <c r="AB85" s="51">
        <f t="shared" si="4"/>
        <v>23676924</v>
      </c>
      <c r="AC85" s="51">
        <f t="shared" si="4"/>
        <v>44212072</v>
      </c>
      <c r="AD85" s="51">
        <f t="shared" si="4"/>
        <v>13073599</v>
      </c>
      <c r="AE85" s="51">
        <f t="shared" si="4"/>
        <v>45921907</v>
      </c>
      <c r="AF85" s="51">
        <f t="shared" si="4"/>
        <v>112805807</v>
      </c>
      <c r="AG85" s="51">
        <f t="shared" si="4"/>
        <v>8169795</v>
      </c>
      <c r="AH85" s="51">
        <f t="shared" si="4"/>
        <v>19127950</v>
      </c>
      <c r="AI85" s="51">
        <f t="shared" si="4"/>
        <v>11006258</v>
      </c>
      <c r="AJ85" s="51">
        <f t="shared" si="4"/>
        <v>345682553</v>
      </c>
      <c r="AK85" s="51">
        <f t="shared" si="4"/>
        <v>52406101</v>
      </c>
      <c r="AL85" s="51">
        <f t="shared" si="4"/>
        <v>174652310</v>
      </c>
      <c r="AM85" s="51">
        <f t="shared" si="4"/>
        <v>191339930</v>
      </c>
      <c r="AN85" s="51">
        <f t="shared" si="4"/>
        <v>156848717</v>
      </c>
      <c r="AO85" s="51">
        <f t="shared" si="4"/>
        <v>10497558</v>
      </c>
      <c r="AP85" s="51">
        <f t="shared" si="4"/>
        <v>86164694</v>
      </c>
      <c r="AQ85" s="51">
        <f t="shared" si="4"/>
        <v>15077454</v>
      </c>
      <c r="AR85" s="51">
        <f t="shared" si="4"/>
        <v>30582096</v>
      </c>
      <c r="AS85" s="51">
        <f t="shared" si="4"/>
        <v>12928755</v>
      </c>
      <c r="AT85" s="51">
        <f t="shared" si="4"/>
        <v>6642526</v>
      </c>
      <c r="AU85" s="51">
        <f t="shared" si="4"/>
        <v>9017173</v>
      </c>
      <c r="AV85" s="51">
        <f t="shared" si="4"/>
        <v>43245738</v>
      </c>
      <c r="AW85" s="51">
        <f t="shared" si="4"/>
        <v>43788952</v>
      </c>
      <c r="AX85" s="51">
        <f t="shared" si="4"/>
        <v>10446820</v>
      </c>
      <c r="AY85" s="51">
        <f t="shared" si="4"/>
        <v>65466584</v>
      </c>
      <c r="AZ85" s="51">
        <f t="shared" si="4"/>
        <v>23793374</v>
      </c>
      <c r="BA85" s="51">
        <f t="shared" si="4"/>
        <v>20133959</v>
      </c>
      <c r="BB85" s="51">
        <f t="shared" si="4"/>
        <v>156455074</v>
      </c>
      <c r="BC85" s="51">
        <f t="shared" si="4"/>
        <v>33359383</v>
      </c>
      <c r="BD85" s="51">
        <f t="shared" si="4"/>
        <v>28968878</v>
      </c>
      <c r="BE85" s="51">
        <f t="shared" si="4"/>
        <v>33282558</v>
      </c>
      <c r="BF85" s="51">
        <f t="shared" si="4"/>
        <v>21608296</v>
      </c>
      <c r="BG85" s="51">
        <f t="shared" si="4"/>
        <v>47007913</v>
      </c>
      <c r="BH85" s="51">
        <f t="shared" si="4"/>
        <v>12282333</v>
      </c>
      <c r="BI85" s="51">
        <f t="shared" si="4"/>
        <v>3011539</v>
      </c>
      <c r="BJ85" s="51">
        <f t="shared" si="4"/>
        <v>29737360</v>
      </c>
      <c r="BK85" s="51">
        <f t="shared" si="4"/>
        <v>12860040</v>
      </c>
      <c r="BL85" s="51">
        <f t="shared" si="4"/>
        <v>11574150</v>
      </c>
      <c r="BM85" s="51">
        <f t="shared" si="4"/>
        <v>9607920</v>
      </c>
      <c r="BN85" s="51">
        <f t="shared" si="4"/>
        <v>12912234</v>
      </c>
      <c r="BO85" s="51">
        <f t="shared" si="4"/>
        <v>18978312</v>
      </c>
      <c r="BP85" s="51">
        <f t="shared" ref="BP85:BZ85" si="5">BP79+BP80+BP81+BP82</f>
        <v>119859922</v>
      </c>
      <c r="BQ85" s="51">
        <f t="shared" si="5"/>
        <v>93606351</v>
      </c>
      <c r="BR85" s="51">
        <f t="shared" si="5"/>
        <v>98965118</v>
      </c>
      <c r="BS85" s="51">
        <f t="shared" si="5"/>
        <v>22811135</v>
      </c>
      <c r="BT85" s="51">
        <f t="shared" si="5"/>
        <v>10894450</v>
      </c>
      <c r="BU85" s="51">
        <f t="shared" si="5"/>
        <v>2023177</v>
      </c>
      <c r="BV85" s="51">
        <f t="shared" si="5"/>
        <v>1984716</v>
      </c>
      <c r="BW85" s="51">
        <f t="shared" si="5"/>
        <v>8775318</v>
      </c>
      <c r="BX85" s="51">
        <f t="shared" si="5"/>
        <v>4852977</v>
      </c>
      <c r="BY85" s="51">
        <f t="shared" si="5"/>
        <v>13457246</v>
      </c>
      <c r="BZ85" s="51">
        <f t="shared" si="5"/>
        <v>17827666</v>
      </c>
      <c r="CA85" s="51">
        <f>CA79+CA80+CA81+CA82</f>
        <v>2212047</v>
      </c>
      <c r="CB85" s="51">
        <f>CB79+CB80+CB81+CB82</f>
        <v>3585344032</v>
      </c>
      <c r="CD85" s="18"/>
      <c r="CE85" s="18"/>
      <c r="CF85" s="18"/>
      <c r="CG85" s="18"/>
      <c r="CH85" s="18"/>
      <c r="CI85" s="18"/>
      <c r="CJ85" s="18"/>
    </row>
    <row r="86" spans="1:88" x14ac:dyDescent="0.25">
      <c r="A86" s="15"/>
      <c r="C86" s="51">
        <f>C85-C84</f>
        <v>0</v>
      </c>
      <c r="D86" s="51">
        <f t="shared" ref="D86:BO86" si="6">D85-D84</f>
        <v>0</v>
      </c>
      <c r="E86" s="51">
        <f t="shared" si="6"/>
        <v>0</v>
      </c>
      <c r="F86" s="51">
        <f t="shared" si="6"/>
        <v>0</v>
      </c>
      <c r="G86" s="51">
        <f t="shared" si="6"/>
        <v>0</v>
      </c>
      <c r="H86" s="51">
        <f t="shared" si="6"/>
        <v>0</v>
      </c>
      <c r="I86" s="51">
        <f t="shared" si="6"/>
        <v>0</v>
      </c>
      <c r="J86" s="51">
        <f t="shared" si="6"/>
        <v>0</v>
      </c>
      <c r="K86" s="51">
        <f t="shared" si="6"/>
        <v>0</v>
      </c>
      <c r="L86" s="51">
        <f t="shared" si="6"/>
        <v>0</v>
      </c>
      <c r="M86" s="51">
        <f t="shared" si="6"/>
        <v>0</v>
      </c>
      <c r="N86" s="51">
        <f t="shared" si="6"/>
        <v>0</v>
      </c>
      <c r="O86" s="51">
        <f t="shared" si="6"/>
        <v>0</v>
      </c>
      <c r="P86" s="51">
        <f t="shared" si="6"/>
        <v>0</v>
      </c>
      <c r="Q86" s="51">
        <f t="shared" si="6"/>
        <v>0</v>
      </c>
      <c r="R86" s="51">
        <f t="shared" si="6"/>
        <v>0</v>
      </c>
      <c r="S86" s="51">
        <f t="shared" si="6"/>
        <v>0</v>
      </c>
      <c r="T86" s="51">
        <f t="shared" si="6"/>
        <v>0</v>
      </c>
      <c r="U86" s="51">
        <f t="shared" si="6"/>
        <v>0</v>
      </c>
      <c r="V86" s="51">
        <f t="shared" si="6"/>
        <v>0</v>
      </c>
      <c r="W86" s="51">
        <f t="shared" si="6"/>
        <v>0</v>
      </c>
      <c r="X86" s="51">
        <f t="shared" si="6"/>
        <v>0</v>
      </c>
      <c r="Y86" s="51">
        <f t="shared" si="6"/>
        <v>0</v>
      </c>
      <c r="Z86" s="51">
        <f t="shared" si="6"/>
        <v>0</v>
      </c>
      <c r="AA86" s="51">
        <f t="shared" si="6"/>
        <v>0</v>
      </c>
      <c r="AB86" s="51">
        <f t="shared" si="6"/>
        <v>0</v>
      </c>
      <c r="AC86" s="51">
        <f t="shared" si="6"/>
        <v>0</v>
      </c>
      <c r="AD86" s="51">
        <f t="shared" si="6"/>
        <v>0</v>
      </c>
      <c r="AE86" s="51">
        <f t="shared" si="6"/>
        <v>0</v>
      </c>
      <c r="AF86" s="51">
        <f t="shared" si="6"/>
        <v>0</v>
      </c>
      <c r="AG86" s="51">
        <f t="shared" si="6"/>
        <v>0</v>
      </c>
      <c r="AH86" s="51">
        <f t="shared" si="6"/>
        <v>0</v>
      </c>
      <c r="AI86" s="51">
        <f t="shared" si="6"/>
        <v>0</v>
      </c>
      <c r="AJ86" s="51">
        <f t="shared" si="6"/>
        <v>0</v>
      </c>
      <c r="AK86" s="51">
        <f t="shared" si="6"/>
        <v>0</v>
      </c>
      <c r="AL86" s="51">
        <f t="shared" si="6"/>
        <v>0</v>
      </c>
      <c r="AM86" s="51">
        <f t="shared" si="6"/>
        <v>0</v>
      </c>
      <c r="AN86" s="51">
        <f t="shared" si="6"/>
        <v>0</v>
      </c>
      <c r="AO86" s="51">
        <f t="shared" si="6"/>
        <v>0</v>
      </c>
      <c r="AP86" s="51">
        <f t="shared" si="6"/>
        <v>0</v>
      </c>
      <c r="AQ86" s="51">
        <f t="shared" si="6"/>
        <v>0</v>
      </c>
      <c r="AR86" s="51">
        <f t="shared" si="6"/>
        <v>0</v>
      </c>
      <c r="AS86" s="51">
        <f t="shared" si="6"/>
        <v>0</v>
      </c>
      <c r="AT86" s="51">
        <f t="shared" si="6"/>
        <v>0</v>
      </c>
      <c r="AU86" s="51">
        <f t="shared" si="6"/>
        <v>0</v>
      </c>
      <c r="AV86" s="51">
        <f t="shared" si="6"/>
        <v>0</v>
      </c>
      <c r="AW86" s="51">
        <f t="shared" si="6"/>
        <v>0</v>
      </c>
      <c r="AX86" s="51">
        <f t="shared" si="6"/>
        <v>0</v>
      </c>
      <c r="AY86" s="51">
        <f t="shared" si="6"/>
        <v>0</v>
      </c>
      <c r="AZ86" s="51">
        <f t="shared" si="6"/>
        <v>0</v>
      </c>
      <c r="BA86" s="51">
        <f t="shared" si="6"/>
        <v>0</v>
      </c>
      <c r="BB86" s="51">
        <f t="shared" si="6"/>
        <v>0</v>
      </c>
      <c r="BC86" s="51">
        <f t="shared" si="6"/>
        <v>0</v>
      </c>
      <c r="BD86" s="51">
        <f t="shared" si="6"/>
        <v>0</v>
      </c>
      <c r="BE86" s="51">
        <f t="shared" si="6"/>
        <v>0</v>
      </c>
      <c r="BF86" s="51">
        <f t="shared" si="6"/>
        <v>0</v>
      </c>
      <c r="BG86" s="51">
        <f t="shared" si="6"/>
        <v>0</v>
      </c>
      <c r="BH86" s="51">
        <f t="shared" si="6"/>
        <v>0</v>
      </c>
      <c r="BI86" s="51">
        <f t="shared" si="6"/>
        <v>0</v>
      </c>
      <c r="BJ86" s="51">
        <f t="shared" si="6"/>
        <v>0</v>
      </c>
      <c r="BK86" s="51">
        <f t="shared" si="6"/>
        <v>0</v>
      </c>
      <c r="BL86" s="51">
        <f t="shared" si="6"/>
        <v>0</v>
      </c>
      <c r="BM86" s="51">
        <f t="shared" si="6"/>
        <v>0</v>
      </c>
      <c r="BN86" s="51">
        <f t="shared" si="6"/>
        <v>0</v>
      </c>
      <c r="BO86" s="51">
        <f t="shared" si="6"/>
        <v>0</v>
      </c>
      <c r="BP86" s="51">
        <f t="shared" ref="BP86:CB86" si="7">BP85-BP84</f>
        <v>0</v>
      </c>
      <c r="BQ86" s="51">
        <f t="shared" si="7"/>
        <v>0</v>
      </c>
      <c r="BR86" s="51">
        <f t="shared" si="7"/>
        <v>0</v>
      </c>
      <c r="BS86" s="51">
        <f t="shared" si="7"/>
        <v>0</v>
      </c>
      <c r="BT86" s="51">
        <f t="shared" si="7"/>
        <v>0</v>
      </c>
      <c r="BU86" s="51">
        <f t="shared" si="7"/>
        <v>0</v>
      </c>
      <c r="BV86" s="51">
        <f t="shared" si="7"/>
        <v>0</v>
      </c>
      <c r="BW86" s="51">
        <f t="shared" si="7"/>
        <v>0</v>
      </c>
      <c r="BX86" s="51">
        <f t="shared" si="7"/>
        <v>0</v>
      </c>
      <c r="BY86" s="51">
        <f t="shared" si="7"/>
        <v>0</v>
      </c>
      <c r="BZ86" s="51">
        <f t="shared" si="7"/>
        <v>0</v>
      </c>
      <c r="CA86" s="51">
        <f t="shared" ref="CA86" si="8">CA85-CA84</f>
        <v>0</v>
      </c>
      <c r="CB86" s="51">
        <f t="shared" si="7"/>
        <v>0</v>
      </c>
      <c r="CD86" s="18"/>
      <c r="CE86" s="18"/>
      <c r="CF86" s="18"/>
      <c r="CG86" s="18"/>
      <c r="CH86" s="18"/>
      <c r="CI86" s="18"/>
      <c r="CJ86" s="18"/>
    </row>
    <row r="87" spans="1:88" ht="14.4" thickBot="1" x14ac:dyDescent="0.3">
      <c r="A87" s="15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81"/>
      <c r="U87" s="81"/>
      <c r="V87" s="81"/>
      <c r="W87" s="81"/>
      <c r="X87" s="81"/>
      <c r="Y87" s="81"/>
      <c r="Z87" s="81"/>
      <c r="AA87" s="81"/>
      <c r="AB87" s="81"/>
      <c r="AC87" s="81"/>
      <c r="AD87" s="81"/>
      <c r="AE87" s="81"/>
      <c r="AF87" s="81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  <c r="BA87" s="81"/>
      <c r="BB87" s="81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27"/>
      <c r="CD87" s="18"/>
      <c r="CE87" s="18"/>
      <c r="CF87" s="18"/>
      <c r="CG87" s="18"/>
      <c r="CH87" s="18"/>
      <c r="CI87" s="18"/>
      <c r="CJ87" s="18"/>
    </row>
    <row r="88" spans="1:88" ht="15" customHeight="1" x14ac:dyDescent="0.25">
      <c r="A88" s="31" t="s">
        <v>0</v>
      </c>
      <c r="B88" s="267" t="s">
        <v>100</v>
      </c>
      <c r="C88" s="95">
        <v>980673</v>
      </c>
      <c r="D88" s="96">
        <v>429</v>
      </c>
      <c r="E88" s="96">
        <v>1812</v>
      </c>
      <c r="F88" s="96">
        <v>0</v>
      </c>
      <c r="G88" s="96">
        <v>332</v>
      </c>
      <c r="H88" s="96">
        <v>5708249</v>
      </c>
      <c r="I88" s="96">
        <v>176420</v>
      </c>
      <c r="J88" s="96">
        <v>573486</v>
      </c>
      <c r="K88" s="96">
        <v>12827</v>
      </c>
      <c r="L88" s="96">
        <v>7799</v>
      </c>
      <c r="M88" s="96">
        <v>52275</v>
      </c>
      <c r="N88" s="96">
        <v>107</v>
      </c>
      <c r="O88" s="96">
        <v>8783</v>
      </c>
      <c r="P88" s="96">
        <v>1388</v>
      </c>
      <c r="Q88" s="96">
        <v>0</v>
      </c>
      <c r="R88" s="96">
        <v>78451</v>
      </c>
      <c r="S88" s="96">
        <v>49591</v>
      </c>
      <c r="T88" s="96">
        <v>616820</v>
      </c>
      <c r="U88" s="96">
        <v>29475</v>
      </c>
      <c r="V88" s="96">
        <v>0</v>
      </c>
      <c r="W88" s="96">
        <v>1500</v>
      </c>
      <c r="X88" s="96">
        <v>0</v>
      </c>
      <c r="Y88" s="96">
        <v>0</v>
      </c>
      <c r="Z88" s="96">
        <v>12425</v>
      </c>
      <c r="AA88" s="96">
        <v>4488</v>
      </c>
      <c r="AB88" s="96">
        <v>0</v>
      </c>
      <c r="AC88" s="96">
        <v>5214</v>
      </c>
      <c r="AD88" s="96">
        <v>1674</v>
      </c>
      <c r="AE88" s="96">
        <v>0</v>
      </c>
      <c r="AF88" s="96">
        <v>315718</v>
      </c>
      <c r="AG88" s="96">
        <v>0</v>
      </c>
      <c r="AH88" s="96">
        <v>3482</v>
      </c>
      <c r="AI88" s="96">
        <v>0</v>
      </c>
      <c r="AJ88" s="96">
        <v>18840</v>
      </c>
      <c r="AK88" s="96">
        <v>0</v>
      </c>
      <c r="AL88" s="96">
        <v>223492</v>
      </c>
      <c r="AM88" s="96">
        <v>54878</v>
      </c>
      <c r="AN88" s="96">
        <v>16885</v>
      </c>
      <c r="AO88" s="96">
        <v>0</v>
      </c>
      <c r="AP88" s="96">
        <v>0</v>
      </c>
      <c r="AQ88" s="96">
        <v>19183</v>
      </c>
      <c r="AR88" s="96">
        <v>36476</v>
      </c>
      <c r="AS88" s="96">
        <v>2</v>
      </c>
      <c r="AT88" s="96">
        <v>0</v>
      </c>
      <c r="AU88" s="96">
        <v>0</v>
      </c>
      <c r="AV88" s="96">
        <v>0</v>
      </c>
      <c r="AW88" s="96">
        <v>0</v>
      </c>
      <c r="AX88" s="96">
        <v>0</v>
      </c>
      <c r="AY88" s="96">
        <v>0</v>
      </c>
      <c r="AZ88" s="96">
        <v>0</v>
      </c>
      <c r="BA88" s="96">
        <v>0</v>
      </c>
      <c r="BB88" s="96">
        <v>67968</v>
      </c>
      <c r="BC88" s="96">
        <v>0</v>
      </c>
      <c r="BD88" s="96">
        <v>0</v>
      </c>
      <c r="BE88" s="96">
        <v>0</v>
      </c>
      <c r="BF88" s="96">
        <v>7154</v>
      </c>
      <c r="BG88" s="96">
        <v>0</v>
      </c>
      <c r="BH88" s="96">
        <v>0</v>
      </c>
      <c r="BI88" s="96">
        <v>0</v>
      </c>
      <c r="BJ88" s="96">
        <v>12812</v>
      </c>
      <c r="BK88" s="96">
        <v>2337</v>
      </c>
      <c r="BL88" s="96">
        <v>0</v>
      </c>
      <c r="BM88" s="96">
        <v>1481</v>
      </c>
      <c r="BN88" s="96">
        <v>30567</v>
      </c>
      <c r="BO88" s="96">
        <v>140939</v>
      </c>
      <c r="BP88" s="96">
        <v>37624</v>
      </c>
      <c r="BQ88" s="96">
        <v>5134</v>
      </c>
      <c r="BR88" s="96">
        <v>25049</v>
      </c>
      <c r="BS88" s="96">
        <v>11642</v>
      </c>
      <c r="BT88" s="96">
        <v>0</v>
      </c>
      <c r="BU88" s="96">
        <v>0</v>
      </c>
      <c r="BV88" s="96">
        <v>0</v>
      </c>
      <c r="BW88" s="96">
        <v>1419</v>
      </c>
      <c r="BX88" s="96">
        <v>1284</v>
      </c>
      <c r="BY88" s="96">
        <v>0</v>
      </c>
      <c r="BZ88" s="96">
        <v>7594</v>
      </c>
      <c r="CA88" s="96">
        <v>0</v>
      </c>
      <c r="CB88" s="97">
        <v>9366178</v>
      </c>
      <c r="CC88" s="264" t="s">
        <v>101</v>
      </c>
      <c r="CD88" s="98">
        <v>6770949</v>
      </c>
      <c r="CE88" s="98">
        <v>0</v>
      </c>
      <c r="CF88" s="99">
        <v>382438</v>
      </c>
      <c r="CG88" s="100">
        <v>2361052</v>
      </c>
      <c r="CH88" s="101">
        <v>18880617</v>
      </c>
      <c r="CI88" s="51">
        <f>CB88+CD88+CE88+CF88+CG88</f>
        <v>18880617</v>
      </c>
      <c r="CJ88" s="51">
        <f>CH88-CI88</f>
        <v>0</v>
      </c>
    </row>
    <row r="89" spans="1:88" ht="15" customHeight="1" x14ac:dyDescent="0.25">
      <c r="A89" s="13" t="s">
        <v>1</v>
      </c>
      <c r="B89" s="268"/>
      <c r="C89" s="102">
        <v>3461</v>
      </c>
      <c r="D89" s="103">
        <v>81630</v>
      </c>
      <c r="E89" s="103">
        <v>0</v>
      </c>
      <c r="F89" s="103">
        <v>1187</v>
      </c>
      <c r="G89" s="103">
        <v>583</v>
      </c>
      <c r="H89" s="103">
        <v>5371</v>
      </c>
      <c r="I89" s="103">
        <v>32</v>
      </c>
      <c r="J89" s="103">
        <v>0</v>
      </c>
      <c r="K89" s="103">
        <v>383</v>
      </c>
      <c r="L89" s="103">
        <v>239</v>
      </c>
      <c r="M89" s="103">
        <v>326</v>
      </c>
      <c r="N89" s="103">
        <v>193115</v>
      </c>
      <c r="O89" s="103">
        <v>36810</v>
      </c>
      <c r="P89" s="103">
        <v>181</v>
      </c>
      <c r="Q89" s="103">
        <v>398</v>
      </c>
      <c r="R89" s="103">
        <v>2002</v>
      </c>
      <c r="S89" s="103">
        <v>0</v>
      </c>
      <c r="T89" s="103">
        <v>2246</v>
      </c>
      <c r="U89" s="103">
        <v>813</v>
      </c>
      <c r="V89" s="103">
        <v>413</v>
      </c>
      <c r="W89" s="103">
        <v>1072</v>
      </c>
      <c r="X89" s="103">
        <v>0</v>
      </c>
      <c r="Y89" s="103">
        <v>564</v>
      </c>
      <c r="Z89" s="103">
        <v>494</v>
      </c>
      <c r="AA89" s="103">
        <v>539</v>
      </c>
      <c r="AB89" s="103">
        <v>468</v>
      </c>
      <c r="AC89" s="103">
        <v>17555</v>
      </c>
      <c r="AD89" s="103">
        <v>613</v>
      </c>
      <c r="AE89" s="103">
        <v>0</v>
      </c>
      <c r="AF89" s="103">
        <v>19596</v>
      </c>
      <c r="AG89" s="103">
        <v>17</v>
      </c>
      <c r="AH89" s="103">
        <v>40</v>
      </c>
      <c r="AI89" s="103">
        <v>85</v>
      </c>
      <c r="AJ89" s="103">
        <v>8305</v>
      </c>
      <c r="AK89" s="103">
        <v>0</v>
      </c>
      <c r="AL89" s="103">
        <v>12352</v>
      </c>
      <c r="AM89" s="103">
        <v>4476</v>
      </c>
      <c r="AN89" s="103">
        <v>1718</v>
      </c>
      <c r="AO89" s="103">
        <v>0</v>
      </c>
      <c r="AP89" s="103">
        <v>81</v>
      </c>
      <c r="AQ89" s="103">
        <v>143</v>
      </c>
      <c r="AR89" s="103">
        <v>0</v>
      </c>
      <c r="AS89" s="103">
        <v>33</v>
      </c>
      <c r="AT89" s="103">
        <v>0</v>
      </c>
      <c r="AU89" s="103">
        <v>0</v>
      </c>
      <c r="AV89" s="103">
        <v>0</v>
      </c>
      <c r="AW89" s="103">
        <v>0</v>
      </c>
      <c r="AX89" s="103">
        <v>0</v>
      </c>
      <c r="AY89" s="103">
        <v>0</v>
      </c>
      <c r="AZ89" s="103">
        <v>0</v>
      </c>
      <c r="BA89" s="103">
        <v>573</v>
      </c>
      <c r="BB89" s="103">
        <v>565</v>
      </c>
      <c r="BC89" s="103">
        <v>0</v>
      </c>
      <c r="BD89" s="103">
        <v>0</v>
      </c>
      <c r="BE89" s="103">
        <v>0</v>
      </c>
      <c r="BF89" s="103">
        <v>234</v>
      </c>
      <c r="BG89" s="103">
        <v>0</v>
      </c>
      <c r="BH89" s="103">
        <v>0</v>
      </c>
      <c r="BI89" s="103">
        <v>0</v>
      </c>
      <c r="BJ89" s="103">
        <v>144</v>
      </c>
      <c r="BK89" s="103">
        <v>228</v>
      </c>
      <c r="BL89" s="103">
        <v>0</v>
      </c>
      <c r="BM89" s="103">
        <v>0</v>
      </c>
      <c r="BN89" s="103">
        <v>3448</v>
      </c>
      <c r="BO89" s="103">
        <v>0</v>
      </c>
      <c r="BP89" s="103">
        <v>484</v>
      </c>
      <c r="BQ89" s="103">
        <v>60</v>
      </c>
      <c r="BR89" s="103">
        <v>72</v>
      </c>
      <c r="BS89" s="103">
        <v>0</v>
      </c>
      <c r="BT89" s="103">
        <v>35</v>
      </c>
      <c r="BU89" s="103">
        <v>0</v>
      </c>
      <c r="BV89" s="103">
        <v>0</v>
      </c>
      <c r="BW89" s="103">
        <v>0</v>
      </c>
      <c r="BX89" s="103">
        <v>186</v>
      </c>
      <c r="BY89" s="103">
        <v>0</v>
      </c>
      <c r="BZ89" s="103">
        <v>810</v>
      </c>
      <c r="CA89" s="103">
        <v>0</v>
      </c>
      <c r="CB89" s="104">
        <v>404180</v>
      </c>
      <c r="CC89" s="265"/>
      <c r="CD89" s="105">
        <v>143829</v>
      </c>
      <c r="CE89" s="105">
        <v>0</v>
      </c>
      <c r="CF89" s="106">
        <v>10268</v>
      </c>
      <c r="CG89" s="107">
        <v>0</v>
      </c>
      <c r="CH89" s="108">
        <v>558277</v>
      </c>
      <c r="CI89" s="51">
        <f t="shared" ref="CI89:CI152" si="9">CB89+CD89+CE89+CF89+CG89</f>
        <v>558277</v>
      </c>
      <c r="CJ89" s="51">
        <f t="shared" ref="CJ89:CJ152" si="10">CH89-CI89</f>
        <v>0</v>
      </c>
    </row>
    <row r="90" spans="1:88" ht="15" customHeight="1" x14ac:dyDescent="0.25">
      <c r="A90" s="13" t="s">
        <v>2</v>
      </c>
      <c r="B90" s="268"/>
      <c r="C90" s="102">
        <v>2414</v>
      </c>
      <c r="D90" s="103">
        <v>4174</v>
      </c>
      <c r="E90" s="103">
        <v>28494</v>
      </c>
      <c r="F90" s="103">
        <v>0</v>
      </c>
      <c r="G90" s="103">
        <v>0</v>
      </c>
      <c r="H90" s="103">
        <v>2574648</v>
      </c>
      <c r="I90" s="103">
        <v>0</v>
      </c>
      <c r="J90" s="103">
        <v>0</v>
      </c>
      <c r="K90" s="103">
        <v>0</v>
      </c>
      <c r="L90" s="103">
        <v>0</v>
      </c>
      <c r="M90" s="103">
        <v>607</v>
      </c>
      <c r="N90" s="103">
        <v>793</v>
      </c>
      <c r="O90" s="103">
        <v>0</v>
      </c>
      <c r="P90" s="103">
        <v>0</v>
      </c>
      <c r="Q90" s="103">
        <v>0</v>
      </c>
      <c r="R90" s="103">
        <v>2190</v>
      </c>
      <c r="S90" s="103">
        <v>0</v>
      </c>
      <c r="T90" s="103">
        <v>0</v>
      </c>
      <c r="U90" s="103">
        <v>0</v>
      </c>
      <c r="V90" s="103">
        <v>0</v>
      </c>
      <c r="W90" s="103">
        <v>0</v>
      </c>
      <c r="X90" s="103">
        <v>0</v>
      </c>
      <c r="Y90" s="103">
        <v>0</v>
      </c>
      <c r="Z90" s="103">
        <v>150</v>
      </c>
      <c r="AA90" s="103">
        <v>0</v>
      </c>
      <c r="AB90" s="103">
        <v>0</v>
      </c>
      <c r="AC90" s="103">
        <v>740</v>
      </c>
      <c r="AD90" s="103">
        <v>0</v>
      </c>
      <c r="AE90" s="103">
        <v>0</v>
      </c>
      <c r="AF90" s="103">
        <v>630</v>
      </c>
      <c r="AG90" s="103">
        <v>0</v>
      </c>
      <c r="AH90" s="103">
        <v>0</v>
      </c>
      <c r="AI90" s="103">
        <v>0</v>
      </c>
      <c r="AJ90" s="103">
        <v>788</v>
      </c>
      <c r="AK90" s="103">
        <v>0</v>
      </c>
      <c r="AL90" s="103">
        <v>149083</v>
      </c>
      <c r="AM90" s="103">
        <v>4090</v>
      </c>
      <c r="AN90" s="103">
        <v>0</v>
      </c>
      <c r="AO90" s="103">
        <v>0</v>
      </c>
      <c r="AP90" s="103">
        <v>0</v>
      </c>
      <c r="AQ90" s="103">
        <v>35683</v>
      </c>
      <c r="AR90" s="103">
        <v>92582</v>
      </c>
      <c r="AS90" s="103">
        <v>0</v>
      </c>
      <c r="AT90" s="103">
        <v>0</v>
      </c>
      <c r="AU90" s="103">
        <v>0</v>
      </c>
      <c r="AV90" s="103">
        <v>0</v>
      </c>
      <c r="AW90" s="103">
        <v>0</v>
      </c>
      <c r="AX90" s="103">
        <v>0</v>
      </c>
      <c r="AY90" s="103">
        <v>0</v>
      </c>
      <c r="AZ90" s="103">
        <v>0</v>
      </c>
      <c r="BA90" s="103">
        <v>0</v>
      </c>
      <c r="BB90" s="103">
        <v>136</v>
      </c>
      <c r="BC90" s="103">
        <v>0</v>
      </c>
      <c r="BD90" s="103">
        <v>0</v>
      </c>
      <c r="BE90" s="103">
        <v>0</v>
      </c>
      <c r="BF90" s="103">
        <v>5279</v>
      </c>
      <c r="BG90" s="103">
        <v>0</v>
      </c>
      <c r="BH90" s="103">
        <v>0</v>
      </c>
      <c r="BI90" s="103">
        <v>0</v>
      </c>
      <c r="BJ90" s="103">
        <v>0</v>
      </c>
      <c r="BK90" s="103">
        <v>0</v>
      </c>
      <c r="BL90" s="103">
        <v>754</v>
      </c>
      <c r="BM90" s="103">
        <v>0</v>
      </c>
      <c r="BN90" s="103">
        <v>204</v>
      </c>
      <c r="BO90" s="103">
        <v>0</v>
      </c>
      <c r="BP90" s="103">
        <v>456</v>
      </c>
      <c r="BQ90" s="103">
        <v>1510</v>
      </c>
      <c r="BR90" s="103">
        <v>5873</v>
      </c>
      <c r="BS90" s="103">
        <v>2705</v>
      </c>
      <c r="BT90" s="103">
        <v>0</v>
      </c>
      <c r="BU90" s="103">
        <v>0</v>
      </c>
      <c r="BV90" s="103">
        <v>0</v>
      </c>
      <c r="BW90" s="103">
        <v>0</v>
      </c>
      <c r="BX90" s="103">
        <v>420</v>
      </c>
      <c r="BY90" s="103">
        <v>0</v>
      </c>
      <c r="BZ90" s="103">
        <v>2084</v>
      </c>
      <c r="CA90" s="103">
        <v>0</v>
      </c>
      <c r="CB90" s="104">
        <v>2916487</v>
      </c>
      <c r="CC90" s="265"/>
      <c r="CD90" s="105">
        <v>259003</v>
      </c>
      <c r="CE90" s="105">
        <v>0</v>
      </c>
      <c r="CF90" s="106">
        <v>17069</v>
      </c>
      <c r="CG90" s="107">
        <v>0</v>
      </c>
      <c r="CH90" s="108">
        <v>3192559</v>
      </c>
      <c r="CI90" s="51">
        <f t="shared" si="9"/>
        <v>3192559</v>
      </c>
      <c r="CJ90" s="51">
        <f t="shared" si="10"/>
        <v>0</v>
      </c>
    </row>
    <row r="91" spans="1:88" ht="15" customHeight="1" x14ac:dyDescent="0.25">
      <c r="A91" s="13" t="s">
        <v>3</v>
      </c>
      <c r="B91" s="268"/>
      <c r="C91" s="102">
        <v>50013</v>
      </c>
      <c r="D91" s="103">
        <v>2329</v>
      </c>
      <c r="E91" s="103">
        <v>0</v>
      </c>
      <c r="F91" s="103">
        <v>848</v>
      </c>
      <c r="G91" s="103">
        <v>393</v>
      </c>
      <c r="H91" s="103">
        <v>28742</v>
      </c>
      <c r="I91" s="103">
        <v>1595</v>
      </c>
      <c r="J91" s="103">
        <v>104</v>
      </c>
      <c r="K91" s="103">
        <v>470</v>
      </c>
      <c r="L91" s="103">
        <v>358</v>
      </c>
      <c r="M91" s="103">
        <v>238</v>
      </c>
      <c r="N91" s="103">
        <v>1977</v>
      </c>
      <c r="O91" s="103">
        <v>19641</v>
      </c>
      <c r="P91" s="103">
        <v>0</v>
      </c>
      <c r="Q91" s="103">
        <v>213897</v>
      </c>
      <c r="R91" s="103">
        <v>59669</v>
      </c>
      <c r="S91" s="103">
        <v>0</v>
      </c>
      <c r="T91" s="103">
        <v>7238</v>
      </c>
      <c r="U91" s="103">
        <v>50032</v>
      </c>
      <c r="V91" s="103">
        <v>314229</v>
      </c>
      <c r="W91" s="103">
        <v>1258</v>
      </c>
      <c r="X91" s="103">
        <v>1192</v>
      </c>
      <c r="Y91" s="103">
        <v>220</v>
      </c>
      <c r="Z91" s="103">
        <v>701</v>
      </c>
      <c r="AA91" s="103">
        <v>120</v>
      </c>
      <c r="AB91" s="103">
        <v>699</v>
      </c>
      <c r="AC91" s="103">
        <v>436</v>
      </c>
      <c r="AD91" s="103">
        <v>211</v>
      </c>
      <c r="AE91" s="103">
        <v>173</v>
      </c>
      <c r="AF91" s="103">
        <v>965819</v>
      </c>
      <c r="AG91" s="103">
        <v>422</v>
      </c>
      <c r="AH91" s="103">
        <v>3989</v>
      </c>
      <c r="AI91" s="103">
        <v>2085</v>
      </c>
      <c r="AJ91" s="103">
        <v>1353</v>
      </c>
      <c r="AK91" s="103">
        <v>786</v>
      </c>
      <c r="AL91" s="103">
        <v>748</v>
      </c>
      <c r="AM91" s="103">
        <v>1593</v>
      </c>
      <c r="AN91" s="103">
        <v>413</v>
      </c>
      <c r="AO91" s="103">
        <v>0</v>
      </c>
      <c r="AP91" s="103">
        <v>421</v>
      </c>
      <c r="AQ91" s="103">
        <v>336</v>
      </c>
      <c r="AR91" s="103">
        <v>281</v>
      </c>
      <c r="AS91" s="103">
        <v>0</v>
      </c>
      <c r="AT91" s="103">
        <v>0</v>
      </c>
      <c r="AU91" s="103">
        <v>0</v>
      </c>
      <c r="AV91" s="103">
        <v>0</v>
      </c>
      <c r="AW91" s="103">
        <v>162</v>
      </c>
      <c r="AX91" s="103">
        <v>744</v>
      </c>
      <c r="AY91" s="103">
        <v>282</v>
      </c>
      <c r="AZ91" s="103">
        <v>597</v>
      </c>
      <c r="BA91" s="103">
        <v>599</v>
      </c>
      <c r="BB91" s="103">
        <v>5316</v>
      </c>
      <c r="BC91" s="103">
        <v>721</v>
      </c>
      <c r="BD91" s="103">
        <v>240</v>
      </c>
      <c r="BE91" s="103">
        <v>113</v>
      </c>
      <c r="BF91" s="103">
        <v>1150</v>
      </c>
      <c r="BG91" s="103">
        <v>0</v>
      </c>
      <c r="BH91" s="103">
        <v>303</v>
      </c>
      <c r="BI91" s="103">
        <v>186</v>
      </c>
      <c r="BJ91" s="103">
        <v>0</v>
      </c>
      <c r="BK91" s="103">
        <v>192</v>
      </c>
      <c r="BL91" s="103">
        <v>168</v>
      </c>
      <c r="BM91" s="103">
        <v>120</v>
      </c>
      <c r="BN91" s="103">
        <v>68</v>
      </c>
      <c r="BO91" s="103">
        <v>0</v>
      </c>
      <c r="BP91" s="103">
        <v>592</v>
      </c>
      <c r="BQ91" s="103">
        <v>360</v>
      </c>
      <c r="BR91" s="103">
        <v>453</v>
      </c>
      <c r="BS91" s="103">
        <v>182</v>
      </c>
      <c r="BT91" s="103">
        <v>96</v>
      </c>
      <c r="BU91" s="103">
        <v>0</v>
      </c>
      <c r="BV91" s="103">
        <v>0</v>
      </c>
      <c r="BW91" s="103">
        <v>93</v>
      </c>
      <c r="BX91" s="103">
        <v>0</v>
      </c>
      <c r="BY91" s="103">
        <v>0</v>
      </c>
      <c r="BZ91" s="103">
        <v>219</v>
      </c>
      <c r="CA91" s="103">
        <v>0</v>
      </c>
      <c r="CB91" s="104">
        <v>1747985</v>
      </c>
      <c r="CC91" s="265"/>
      <c r="CD91" s="105">
        <v>842464</v>
      </c>
      <c r="CE91" s="105">
        <v>0</v>
      </c>
      <c r="CF91" s="106">
        <v>116031</v>
      </c>
      <c r="CG91" s="107">
        <v>0</v>
      </c>
      <c r="CH91" s="108">
        <v>2706480</v>
      </c>
      <c r="CI91" s="51">
        <f t="shared" si="9"/>
        <v>2706480</v>
      </c>
      <c r="CJ91" s="51">
        <f t="shared" si="10"/>
        <v>0</v>
      </c>
    </row>
    <row r="92" spans="1:88" ht="28.2" customHeight="1" x14ac:dyDescent="0.25">
      <c r="A92" s="13" t="s">
        <v>4</v>
      </c>
      <c r="B92" s="268"/>
      <c r="C92" s="102">
        <v>24858</v>
      </c>
      <c r="D92" s="103">
        <v>6023</v>
      </c>
      <c r="E92" s="103">
        <v>0</v>
      </c>
      <c r="F92" s="103">
        <v>40880</v>
      </c>
      <c r="G92" s="103">
        <v>981811</v>
      </c>
      <c r="H92" s="103">
        <v>11337</v>
      </c>
      <c r="I92" s="103">
        <v>0</v>
      </c>
      <c r="J92" s="103">
        <v>0</v>
      </c>
      <c r="K92" s="103">
        <v>1342</v>
      </c>
      <c r="L92" s="103">
        <v>378</v>
      </c>
      <c r="M92" s="103">
        <v>235</v>
      </c>
      <c r="N92" s="103">
        <v>1266</v>
      </c>
      <c r="O92" s="103">
        <v>5708</v>
      </c>
      <c r="P92" s="103">
        <v>862</v>
      </c>
      <c r="Q92" s="103">
        <v>34279730</v>
      </c>
      <c r="R92" s="103">
        <v>2448686</v>
      </c>
      <c r="S92" s="103">
        <v>2419</v>
      </c>
      <c r="T92" s="103">
        <v>14101</v>
      </c>
      <c r="U92" s="103">
        <v>519147</v>
      </c>
      <c r="V92" s="103">
        <v>2761894</v>
      </c>
      <c r="W92" s="103">
        <v>88699</v>
      </c>
      <c r="X92" s="103">
        <v>145701</v>
      </c>
      <c r="Y92" s="103">
        <v>99833</v>
      </c>
      <c r="Z92" s="103">
        <v>50300</v>
      </c>
      <c r="AA92" s="103">
        <v>30250</v>
      </c>
      <c r="AB92" s="103">
        <v>2703</v>
      </c>
      <c r="AC92" s="103">
        <v>9658</v>
      </c>
      <c r="AD92" s="103">
        <v>607</v>
      </c>
      <c r="AE92" s="103">
        <v>4231</v>
      </c>
      <c r="AF92" s="103">
        <v>7350318</v>
      </c>
      <c r="AG92" s="103">
        <v>305</v>
      </c>
      <c r="AH92" s="103">
        <v>16831</v>
      </c>
      <c r="AI92" s="103">
        <v>5992</v>
      </c>
      <c r="AJ92" s="103">
        <v>423609</v>
      </c>
      <c r="AK92" s="103">
        <v>1425</v>
      </c>
      <c r="AL92" s="103">
        <v>26891</v>
      </c>
      <c r="AM92" s="103">
        <v>2894</v>
      </c>
      <c r="AN92" s="103">
        <v>34374</v>
      </c>
      <c r="AO92" s="103">
        <v>0</v>
      </c>
      <c r="AP92" s="103">
        <v>2436</v>
      </c>
      <c r="AQ92" s="103">
        <v>279</v>
      </c>
      <c r="AR92" s="103">
        <v>2884</v>
      </c>
      <c r="AS92" s="103">
        <v>0</v>
      </c>
      <c r="AT92" s="103">
        <v>0</v>
      </c>
      <c r="AU92" s="103">
        <v>0</v>
      </c>
      <c r="AV92" s="103">
        <v>0</v>
      </c>
      <c r="AW92" s="103">
        <v>0</v>
      </c>
      <c r="AX92" s="103">
        <v>0</v>
      </c>
      <c r="AY92" s="103">
        <v>2888</v>
      </c>
      <c r="AZ92" s="103">
        <v>0</v>
      </c>
      <c r="BA92" s="103">
        <v>0</v>
      </c>
      <c r="BB92" s="103">
        <v>6729</v>
      </c>
      <c r="BC92" s="103">
        <v>108</v>
      </c>
      <c r="BD92" s="103">
        <v>2082</v>
      </c>
      <c r="BE92" s="103">
        <v>3134</v>
      </c>
      <c r="BF92" s="103">
        <v>12376</v>
      </c>
      <c r="BG92" s="103">
        <v>0</v>
      </c>
      <c r="BH92" s="103">
        <v>0</v>
      </c>
      <c r="BI92" s="103">
        <v>0</v>
      </c>
      <c r="BJ92" s="103">
        <v>2451</v>
      </c>
      <c r="BK92" s="103">
        <v>0</v>
      </c>
      <c r="BL92" s="103">
        <v>0</v>
      </c>
      <c r="BM92" s="103">
        <v>0</v>
      </c>
      <c r="BN92" s="103">
        <v>25219</v>
      </c>
      <c r="BO92" s="103">
        <v>9122</v>
      </c>
      <c r="BP92" s="103">
        <v>14326</v>
      </c>
      <c r="BQ92" s="103">
        <v>4057</v>
      </c>
      <c r="BR92" s="103">
        <v>1352</v>
      </c>
      <c r="BS92" s="103">
        <v>675</v>
      </c>
      <c r="BT92" s="103">
        <v>0</v>
      </c>
      <c r="BU92" s="103">
        <v>655</v>
      </c>
      <c r="BV92" s="103">
        <v>0</v>
      </c>
      <c r="BW92" s="103">
        <v>0</v>
      </c>
      <c r="BX92" s="103">
        <v>3055</v>
      </c>
      <c r="BY92" s="103">
        <v>0</v>
      </c>
      <c r="BZ92" s="103">
        <v>1984</v>
      </c>
      <c r="CA92" s="103">
        <v>0</v>
      </c>
      <c r="CB92" s="104">
        <v>49491110</v>
      </c>
      <c r="CC92" s="265"/>
      <c r="CD92" s="105">
        <v>72236</v>
      </c>
      <c r="CE92" s="105">
        <v>0</v>
      </c>
      <c r="CF92" s="106">
        <v>2761955</v>
      </c>
      <c r="CG92" s="107">
        <v>41222</v>
      </c>
      <c r="CH92" s="108">
        <v>52366523</v>
      </c>
      <c r="CI92" s="51">
        <f t="shared" si="9"/>
        <v>52366523</v>
      </c>
      <c r="CJ92" s="51">
        <f t="shared" si="10"/>
        <v>0</v>
      </c>
    </row>
    <row r="93" spans="1:88" ht="15" customHeight="1" x14ac:dyDescent="0.25">
      <c r="A93" s="13" t="s">
        <v>5</v>
      </c>
      <c r="B93" s="268"/>
      <c r="C93" s="102">
        <v>1275344</v>
      </c>
      <c r="D93" s="103">
        <v>4370</v>
      </c>
      <c r="E93" s="103">
        <v>2100</v>
      </c>
      <c r="F93" s="103">
        <v>0</v>
      </c>
      <c r="G93" s="103">
        <v>1542</v>
      </c>
      <c r="H93" s="103">
        <v>13216041</v>
      </c>
      <c r="I93" s="103">
        <v>414242</v>
      </c>
      <c r="J93" s="103">
        <v>0</v>
      </c>
      <c r="K93" s="103">
        <v>5229</v>
      </c>
      <c r="L93" s="103">
        <v>6593</v>
      </c>
      <c r="M93" s="103">
        <v>19167</v>
      </c>
      <c r="N93" s="103">
        <v>2319</v>
      </c>
      <c r="O93" s="103">
        <v>4669</v>
      </c>
      <c r="P93" s="103">
        <v>0</v>
      </c>
      <c r="Q93" s="103">
        <v>74604</v>
      </c>
      <c r="R93" s="103">
        <v>30368</v>
      </c>
      <c r="S93" s="103">
        <v>8735</v>
      </c>
      <c r="T93" s="103">
        <v>3693</v>
      </c>
      <c r="U93" s="103">
        <v>0</v>
      </c>
      <c r="V93" s="103">
        <v>0</v>
      </c>
      <c r="W93" s="103">
        <v>0</v>
      </c>
      <c r="X93" s="103">
        <v>659</v>
      </c>
      <c r="Y93" s="103">
        <v>1802</v>
      </c>
      <c r="Z93" s="103">
        <v>3366</v>
      </c>
      <c r="AA93" s="103">
        <v>0</v>
      </c>
      <c r="AB93" s="103">
        <v>0</v>
      </c>
      <c r="AC93" s="103">
        <v>264005</v>
      </c>
      <c r="AD93" s="103">
        <v>7602</v>
      </c>
      <c r="AE93" s="103">
        <v>5420</v>
      </c>
      <c r="AF93" s="103">
        <v>2451</v>
      </c>
      <c r="AG93" s="103">
        <v>0</v>
      </c>
      <c r="AH93" s="103">
        <v>26563</v>
      </c>
      <c r="AI93" s="103">
        <v>1206</v>
      </c>
      <c r="AJ93" s="103">
        <v>19935</v>
      </c>
      <c r="AK93" s="103">
        <v>4052</v>
      </c>
      <c r="AL93" s="103">
        <v>519493</v>
      </c>
      <c r="AM93" s="103">
        <v>734414</v>
      </c>
      <c r="AN93" s="103">
        <v>6392</v>
      </c>
      <c r="AO93" s="103">
        <v>1839</v>
      </c>
      <c r="AP93" s="103">
        <v>4589</v>
      </c>
      <c r="AQ93" s="103">
        <v>236622</v>
      </c>
      <c r="AR93" s="103">
        <v>1124167</v>
      </c>
      <c r="AS93" s="103">
        <v>157</v>
      </c>
      <c r="AT93" s="103">
        <v>0</v>
      </c>
      <c r="AU93" s="103">
        <v>0</v>
      </c>
      <c r="AV93" s="103">
        <v>1820</v>
      </c>
      <c r="AW93" s="103">
        <v>3469</v>
      </c>
      <c r="AX93" s="103">
        <v>1071</v>
      </c>
      <c r="AY93" s="103">
        <v>19825</v>
      </c>
      <c r="AZ93" s="103">
        <v>11214</v>
      </c>
      <c r="BA93" s="103">
        <v>0</v>
      </c>
      <c r="BB93" s="103">
        <v>10787</v>
      </c>
      <c r="BC93" s="103">
        <v>3705</v>
      </c>
      <c r="BD93" s="103">
        <v>1868</v>
      </c>
      <c r="BE93" s="103">
        <v>736</v>
      </c>
      <c r="BF93" s="103">
        <v>2109</v>
      </c>
      <c r="BG93" s="103">
        <v>1160</v>
      </c>
      <c r="BH93" s="103">
        <v>1130</v>
      </c>
      <c r="BI93" s="103">
        <v>0</v>
      </c>
      <c r="BJ93" s="103">
        <v>4219</v>
      </c>
      <c r="BK93" s="103">
        <v>4949</v>
      </c>
      <c r="BL93" s="103">
        <v>7385</v>
      </c>
      <c r="BM93" s="103">
        <v>518</v>
      </c>
      <c r="BN93" s="103">
        <v>22493</v>
      </c>
      <c r="BO93" s="103">
        <v>12836</v>
      </c>
      <c r="BP93" s="103">
        <v>48984</v>
      </c>
      <c r="BQ93" s="103">
        <v>100615</v>
      </c>
      <c r="BR93" s="103">
        <v>81642</v>
      </c>
      <c r="BS93" s="103">
        <v>119951</v>
      </c>
      <c r="BT93" s="103">
        <v>1853</v>
      </c>
      <c r="BU93" s="103">
        <v>0</v>
      </c>
      <c r="BV93" s="103">
        <v>0</v>
      </c>
      <c r="BW93" s="103">
        <v>7114</v>
      </c>
      <c r="BX93" s="103">
        <v>71050</v>
      </c>
      <c r="BY93" s="103">
        <v>0</v>
      </c>
      <c r="BZ93" s="103">
        <v>13152</v>
      </c>
      <c r="CA93" s="103">
        <v>0</v>
      </c>
      <c r="CB93" s="104">
        <v>18589405</v>
      </c>
      <c r="CC93" s="265"/>
      <c r="CD93" s="105">
        <v>20717777</v>
      </c>
      <c r="CE93" s="105">
        <v>13154</v>
      </c>
      <c r="CF93" s="106">
        <v>1887189</v>
      </c>
      <c r="CG93" s="107">
        <v>1011408</v>
      </c>
      <c r="CH93" s="108">
        <v>42218933</v>
      </c>
      <c r="CI93" s="51">
        <f t="shared" si="9"/>
        <v>42218933</v>
      </c>
      <c r="CJ93" s="51">
        <f t="shared" si="10"/>
        <v>0</v>
      </c>
    </row>
    <row r="94" spans="1:88" ht="15" customHeight="1" x14ac:dyDescent="0.25">
      <c r="A94" s="13" t="s">
        <v>6</v>
      </c>
      <c r="B94" s="268"/>
      <c r="C94" s="102">
        <v>5977</v>
      </c>
      <c r="D94" s="103">
        <v>379</v>
      </c>
      <c r="E94" s="103">
        <v>0</v>
      </c>
      <c r="F94" s="103">
        <v>813</v>
      </c>
      <c r="G94" s="103">
        <v>393</v>
      </c>
      <c r="H94" s="103">
        <v>15056</v>
      </c>
      <c r="I94" s="103">
        <v>337786</v>
      </c>
      <c r="J94" s="103">
        <v>0</v>
      </c>
      <c r="K94" s="103">
        <v>35</v>
      </c>
      <c r="L94" s="103">
        <v>422</v>
      </c>
      <c r="M94" s="103">
        <v>259</v>
      </c>
      <c r="N94" s="103">
        <v>102</v>
      </c>
      <c r="O94" s="103">
        <v>1309</v>
      </c>
      <c r="P94" s="103">
        <v>279</v>
      </c>
      <c r="Q94" s="103">
        <v>2366</v>
      </c>
      <c r="R94" s="103">
        <v>13426</v>
      </c>
      <c r="S94" s="103">
        <v>145</v>
      </c>
      <c r="T94" s="103">
        <v>4060</v>
      </c>
      <c r="U94" s="103">
        <v>1435</v>
      </c>
      <c r="V94" s="103">
        <v>992</v>
      </c>
      <c r="W94" s="103">
        <v>1492</v>
      </c>
      <c r="X94" s="103">
        <v>83</v>
      </c>
      <c r="Y94" s="103">
        <v>1204</v>
      </c>
      <c r="Z94" s="103">
        <v>1858</v>
      </c>
      <c r="AA94" s="103">
        <v>305</v>
      </c>
      <c r="AB94" s="103">
        <v>236</v>
      </c>
      <c r="AC94" s="103">
        <v>210</v>
      </c>
      <c r="AD94" s="103">
        <v>0</v>
      </c>
      <c r="AE94" s="103">
        <v>382</v>
      </c>
      <c r="AF94" s="103">
        <v>345</v>
      </c>
      <c r="AG94" s="103">
        <v>73</v>
      </c>
      <c r="AH94" s="103">
        <v>328</v>
      </c>
      <c r="AI94" s="103">
        <v>81</v>
      </c>
      <c r="AJ94" s="103">
        <v>4642</v>
      </c>
      <c r="AK94" s="103">
        <v>2036</v>
      </c>
      <c r="AL94" s="103">
        <v>25119</v>
      </c>
      <c r="AM94" s="103">
        <v>18757</v>
      </c>
      <c r="AN94" s="103">
        <v>3263</v>
      </c>
      <c r="AO94" s="103">
        <v>962</v>
      </c>
      <c r="AP94" s="103">
        <v>1451</v>
      </c>
      <c r="AQ94" s="103">
        <v>21401</v>
      </c>
      <c r="AR94" s="103">
        <v>283408</v>
      </c>
      <c r="AS94" s="103">
        <v>100</v>
      </c>
      <c r="AT94" s="103">
        <v>30</v>
      </c>
      <c r="AU94" s="103">
        <v>0</v>
      </c>
      <c r="AV94" s="103">
        <v>524</v>
      </c>
      <c r="AW94" s="103">
        <v>497</v>
      </c>
      <c r="AX94" s="103">
        <v>158</v>
      </c>
      <c r="AY94" s="103">
        <v>4613</v>
      </c>
      <c r="AZ94" s="103">
        <v>1066</v>
      </c>
      <c r="BA94" s="103">
        <v>708</v>
      </c>
      <c r="BB94" s="103">
        <v>1363</v>
      </c>
      <c r="BC94" s="103">
        <v>657</v>
      </c>
      <c r="BD94" s="103">
        <v>533</v>
      </c>
      <c r="BE94" s="103">
        <v>153</v>
      </c>
      <c r="BF94" s="103">
        <v>1222</v>
      </c>
      <c r="BG94" s="103">
        <v>70</v>
      </c>
      <c r="BH94" s="103">
        <v>78</v>
      </c>
      <c r="BI94" s="103">
        <v>0</v>
      </c>
      <c r="BJ94" s="103">
        <v>982</v>
      </c>
      <c r="BK94" s="103">
        <v>215</v>
      </c>
      <c r="BL94" s="103">
        <v>409</v>
      </c>
      <c r="BM94" s="103">
        <v>96</v>
      </c>
      <c r="BN94" s="103">
        <v>390</v>
      </c>
      <c r="BO94" s="103">
        <v>243</v>
      </c>
      <c r="BP94" s="103">
        <v>11465</v>
      </c>
      <c r="BQ94" s="103">
        <v>10825</v>
      </c>
      <c r="BR94" s="103">
        <v>5102</v>
      </c>
      <c r="BS94" s="103">
        <v>594</v>
      </c>
      <c r="BT94" s="103">
        <v>159</v>
      </c>
      <c r="BU94" s="103">
        <v>28</v>
      </c>
      <c r="BV94" s="103">
        <v>0</v>
      </c>
      <c r="BW94" s="103">
        <v>252</v>
      </c>
      <c r="BX94" s="103">
        <v>0</v>
      </c>
      <c r="BY94" s="103">
        <v>0</v>
      </c>
      <c r="BZ94" s="103">
        <v>279</v>
      </c>
      <c r="CA94" s="103">
        <v>0</v>
      </c>
      <c r="CB94" s="104">
        <v>795681</v>
      </c>
      <c r="CC94" s="265"/>
      <c r="CD94" s="105">
        <v>2080332</v>
      </c>
      <c r="CE94" s="105">
        <v>0</v>
      </c>
      <c r="CF94" s="106">
        <v>37292</v>
      </c>
      <c r="CG94" s="107">
        <v>0</v>
      </c>
      <c r="CH94" s="108">
        <v>2913305</v>
      </c>
      <c r="CI94" s="51">
        <f t="shared" si="9"/>
        <v>2913305</v>
      </c>
      <c r="CJ94" s="51">
        <f t="shared" si="10"/>
        <v>0</v>
      </c>
    </row>
    <row r="95" spans="1:88" ht="15" customHeight="1" x14ac:dyDescent="0.25">
      <c r="A95" s="13" t="s">
        <v>7</v>
      </c>
      <c r="B95" s="268"/>
      <c r="C95" s="102">
        <v>23</v>
      </c>
      <c r="D95" s="103">
        <v>3</v>
      </c>
      <c r="E95" s="103">
        <v>0</v>
      </c>
      <c r="F95" s="103">
        <v>18</v>
      </c>
      <c r="G95" s="103">
        <v>24</v>
      </c>
      <c r="H95" s="103">
        <v>81</v>
      </c>
      <c r="I95" s="103">
        <v>3</v>
      </c>
      <c r="J95" s="103">
        <v>16101</v>
      </c>
      <c r="K95" s="103">
        <v>270</v>
      </c>
      <c r="L95" s="103">
        <v>278</v>
      </c>
      <c r="M95" s="103">
        <v>0</v>
      </c>
      <c r="N95" s="103">
        <v>0</v>
      </c>
      <c r="O95" s="103">
        <v>0</v>
      </c>
      <c r="P95" s="103">
        <v>0</v>
      </c>
      <c r="Q95" s="103">
        <v>12</v>
      </c>
      <c r="R95" s="103">
        <v>0</v>
      </c>
      <c r="S95" s="103">
        <v>0</v>
      </c>
      <c r="T95" s="103">
        <v>0</v>
      </c>
      <c r="U95" s="103">
        <v>11</v>
      </c>
      <c r="V95" s="103">
        <v>0</v>
      </c>
      <c r="W95" s="103">
        <v>23</v>
      </c>
      <c r="X95" s="103">
        <v>0</v>
      </c>
      <c r="Y95" s="103">
        <v>0</v>
      </c>
      <c r="Z95" s="103">
        <v>10</v>
      </c>
      <c r="AA95" s="103">
        <v>34</v>
      </c>
      <c r="AB95" s="103">
        <v>25</v>
      </c>
      <c r="AC95" s="103">
        <v>703</v>
      </c>
      <c r="AD95" s="103">
        <v>0</v>
      </c>
      <c r="AE95" s="103">
        <v>17</v>
      </c>
      <c r="AF95" s="103">
        <v>7</v>
      </c>
      <c r="AG95" s="103">
        <v>0</v>
      </c>
      <c r="AH95" s="103">
        <v>0</v>
      </c>
      <c r="AI95" s="103">
        <v>0</v>
      </c>
      <c r="AJ95" s="103">
        <v>72</v>
      </c>
      <c r="AK95" s="103">
        <v>2</v>
      </c>
      <c r="AL95" s="103">
        <v>36</v>
      </c>
      <c r="AM95" s="103">
        <v>16</v>
      </c>
      <c r="AN95" s="103">
        <v>49</v>
      </c>
      <c r="AO95" s="103">
        <v>106</v>
      </c>
      <c r="AP95" s="103">
        <v>0</v>
      </c>
      <c r="AQ95" s="103">
        <v>2844</v>
      </c>
      <c r="AR95" s="103">
        <v>20083</v>
      </c>
      <c r="AS95" s="103">
        <v>0</v>
      </c>
      <c r="AT95" s="103">
        <v>0</v>
      </c>
      <c r="AU95" s="103">
        <v>0</v>
      </c>
      <c r="AV95" s="103">
        <v>0</v>
      </c>
      <c r="AW95" s="103">
        <v>0</v>
      </c>
      <c r="AX95" s="103">
        <v>0</v>
      </c>
      <c r="AY95" s="103">
        <v>0</v>
      </c>
      <c r="AZ95" s="103">
        <v>0</v>
      </c>
      <c r="BA95" s="103">
        <v>9</v>
      </c>
      <c r="BB95" s="103">
        <v>0</v>
      </c>
      <c r="BC95" s="103">
        <v>0</v>
      </c>
      <c r="BD95" s="103">
        <v>15</v>
      </c>
      <c r="BE95" s="103">
        <v>0</v>
      </c>
      <c r="BF95" s="103">
        <v>41</v>
      </c>
      <c r="BG95" s="103">
        <v>0</v>
      </c>
      <c r="BH95" s="103">
        <v>11</v>
      </c>
      <c r="BI95" s="103">
        <v>0</v>
      </c>
      <c r="BJ95" s="103">
        <v>0</v>
      </c>
      <c r="BK95" s="103">
        <v>0</v>
      </c>
      <c r="BL95" s="103">
        <v>12</v>
      </c>
      <c r="BM95" s="103">
        <v>0</v>
      </c>
      <c r="BN95" s="103">
        <v>20</v>
      </c>
      <c r="BO95" s="103">
        <v>0</v>
      </c>
      <c r="BP95" s="103">
        <v>39</v>
      </c>
      <c r="BQ95" s="103">
        <v>77</v>
      </c>
      <c r="BR95" s="103">
        <v>0</v>
      </c>
      <c r="BS95" s="103">
        <v>0</v>
      </c>
      <c r="BT95" s="103">
        <v>5</v>
      </c>
      <c r="BU95" s="103">
        <v>0</v>
      </c>
      <c r="BV95" s="103">
        <v>2</v>
      </c>
      <c r="BW95" s="103">
        <v>3</v>
      </c>
      <c r="BX95" s="103">
        <v>23</v>
      </c>
      <c r="BY95" s="103">
        <v>0</v>
      </c>
      <c r="BZ95" s="103">
        <v>81</v>
      </c>
      <c r="CA95" s="103">
        <v>0</v>
      </c>
      <c r="CB95" s="104">
        <v>41189</v>
      </c>
      <c r="CC95" s="265"/>
      <c r="CD95" s="105">
        <v>1073665</v>
      </c>
      <c r="CE95" s="105">
        <v>0</v>
      </c>
      <c r="CF95" s="106">
        <v>2113</v>
      </c>
      <c r="CG95" s="107">
        <v>800000</v>
      </c>
      <c r="CH95" s="108">
        <v>1916967</v>
      </c>
      <c r="CI95" s="51">
        <f t="shared" si="9"/>
        <v>1916967</v>
      </c>
      <c r="CJ95" s="51">
        <f t="shared" si="10"/>
        <v>0</v>
      </c>
    </row>
    <row r="96" spans="1:88" ht="15" customHeight="1" x14ac:dyDescent="0.25">
      <c r="A96" s="13" t="s">
        <v>8</v>
      </c>
      <c r="B96" s="268"/>
      <c r="C96" s="102">
        <v>797</v>
      </c>
      <c r="D96" s="103">
        <v>2822</v>
      </c>
      <c r="E96" s="103">
        <v>279</v>
      </c>
      <c r="F96" s="103">
        <v>8234</v>
      </c>
      <c r="G96" s="103">
        <v>6695</v>
      </c>
      <c r="H96" s="103">
        <v>26641</v>
      </c>
      <c r="I96" s="103">
        <v>477</v>
      </c>
      <c r="J96" s="103">
        <v>0</v>
      </c>
      <c r="K96" s="103">
        <v>2741470</v>
      </c>
      <c r="L96" s="103">
        <v>1581448</v>
      </c>
      <c r="M96" s="103">
        <v>161625</v>
      </c>
      <c r="N96" s="103">
        <v>15719</v>
      </c>
      <c r="O96" s="103">
        <v>54597</v>
      </c>
      <c r="P96" s="103">
        <v>6202</v>
      </c>
      <c r="Q96" s="103">
        <v>1656</v>
      </c>
      <c r="R96" s="103">
        <v>38184</v>
      </c>
      <c r="S96" s="103">
        <v>2699</v>
      </c>
      <c r="T96" s="103">
        <v>904652</v>
      </c>
      <c r="U96" s="103">
        <v>41167</v>
      </c>
      <c r="V96" s="103">
        <v>1311</v>
      </c>
      <c r="W96" s="103">
        <v>10770</v>
      </c>
      <c r="X96" s="103">
        <v>2316</v>
      </c>
      <c r="Y96" s="103">
        <v>13357</v>
      </c>
      <c r="Z96" s="103">
        <v>47897</v>
      </c>
      <c r="AA96" s="103">
        <v>965949</v>
      </c>
      <c r="AB96" s="103">
        <v>36899</v>
      </c>
      <c r="AC96" s="103">
        <v>1478407</v>
      </c>
      <c r="AD96" s="103">
        <v>20743</v>
      </c>
      <c r="AE96" s="103">
        <v>3181</v>
      </c>
      <c r="AF96" s="103">
        <v>6470</v>
      </c>
      <c r="AG96" s="103">
        <v>369</v>
      </c>
      <c r="AH96" s="103">
        <v>4608</v>
      </c>
      <c r="AI96" s="103">
        <v>631</v>
      </c>
      <c r="AJ96" s="103">
        <v>50582</v>
      </c>
      <c r="AK96" s="103">
        <v>1157</v>
      </c>
      <c r="AL96" s="103">
        <v>363173</v>
      </c>
      <c r="AM96" s="103">
        <v>208710</v>
      </c>
      <c r="AN96" s="103">
        <v>21485</v>
      </c>
      <c r="AO96" s="103">
        <v>747</v>
      </c>
      <c r="AP96" s="103">
        <v>10340</v>
      </c>
      <c r="AQ96" s="103">
        <v>39822</v>
      </c>
      <c r="AR96" s="103">
        <v>18173</v>
      </c>
      <c r="AS96" s="103">
        <v>289</v>
      </c>
      <c r="AT96" s="103">
        <v>189</v>
      </c>
      <c r="AU96" s="103">
        <v>0</v>
      </c>
      <c r="AV96" s="103">
        <v>0</v>
      </c>
      <c r="AW96" s="103">
        <v>0</v>
      </c>
      <c r="AX96" s="103">
        <v>0</v>
      </c>
      <c r="AY96" s="103">
        <v>1311</v>
      </c>
      <c r="AZ96" s="103">
        <v>0</v>
      </c>
      <c r="BA96" s="103">
        <v>0</v>
      </c>
      <c r="BB96" s="103">
        <v>7521</v>
      </c>
      <c r="BC96" s="103">
        <v>331</v>
      </c>
      <c r="BD96" s="103">
        <v>0</v>
      </c>
      <c r="BE96" s="103">
        <v>1658</v>
      </c>
      <c r="BF96" s="103">
        <v>15142</v>
      </c>
      <c r="BG96" s="103">
        <v>1299</v>
      </c>
      <c r="BH96" s="103">
        <v>3813</v>
      </c>
      <c r="BI96" s="103">
        <v>0</v>
      </c>
      <c r="BJ96" s="103">
        <v>5398</v>
      </c>
      <c r="BK96" s="103">
        <v>0</v>
      </c>
      <c r="BL96" s="103">
        <v>0</v>
      </c>
      <c r="BM96" s="103">
        <v>785</v>
      </c>
      <c r="BN96" s="103">
        <v>4995</v>
      </c>
      <c r="BO96" s="103">
        <v>2811</v>
      </c>
      <c r="BP96" s="103">
        <v>55675</v>
      </c>
      <c r="BQ96" s="103">
        <v>8161</v>
      </c>
      <c r="BR96" s="103">
        <v>22698</v>
      </c>
      <c r="BS96" s="103">
        <v>1518</v>
      </c>
      <c r="BT96" s="103">
        <v>8316</v>
      </c>
      <c r="BU96" s="103">
        <v>0</v>
      </c>
      <c r="BV96" s="103">
        <v>0</v>
      </c>
      <c r="BW96" s="103">
        <v>661</v>
      </c>
      <c r="BX96" s="103">
        <v>20861</v>
      </c>
      <c r="BY96" s="103">
        <v>0</v>
      </c>
      <c r="BZ96" s="103">
        <v>18726</v>
      </c>
      <c r="CA96" s="103">
        <v>0</v>
      </c>
      <c r="CB96" s="104">
        <v>9084619</v>
      </c>
      <c r="CC96" s="265"/>
      <c r="CD96" s="105">
        <v>3231580</v>
      </c>
      <c r="CE96" s="105">
        <v>6502</v>
      </c>
      <c r="CF96" s="106">
        <v>304032</v>
      </c>
      <c r="CG96" s="107">
        <v>1833811</v>
      </c>
      <c r="CH96" s="108">
        <v>14460544</v>
      </c>
      <c r="CI96" s="51">
        <f t="shared" si="9"/>
        <v>14460544</v>
      </c>
      <c r="CJ96" s="51">
        <f t="shared" si="10"/>
        <v>0</v>
      </c>
    </row>
    <row r="97" spans="1:88" ht="15" customHeight="1" x14ac:dyDescent="0.25">
      <c r="A97" s="13" t="s">
        <v>9</v>
      </c>
      <c r="B97" s="268"/>
      <c r="C97" s="102">
        <v>1714</v>
      </c>
      <c r="D97" s="103">
        <v>10925</v>
      </c>
      <c r="E97" s="103">
        <v>68</v>
      </c>
      <c r="F97" s="103">
        <v>6239</v>
      </c>
      <c r="G97" s="103">
        <v>1480</v>
      </c>
      <c r="H97" s="103">
        <v>33899</v>
      </c>
      <c r="I97" s="103">
        <v>1999</v>
      </c>
      <c r="J97" s="103">
        <v>877</v>
      </c>
      <c r="K97" s="103">
        <v>2631</v>
      </c>
      <c r="L97" s="103">
        <v>126813</v>
      </c>
      <c r="M97" s="103">
        <v>1354</v>
      </c>
      <c r="N97" s="103">
        <v>3660</v>
      </c>
      <c r="O97" s="103">
        <v>1681</v>
      </c>
      <c r="P97" s="103">
        <v>199</v>
      </c>
      <c r="Q97" s="103">
        <v>1852</v>
      </c>
      <c r="R97" s="103">
        <v>3221</v>
      </c>
      <c r="S97" s="103">
        <v>1359</v>
      </c>
      <c r="T97" s="103">
        <v>4699</v>
      </c>
      <c r="U97" s="103">
        <v>9334</v>
      </c>
      <c r="V97" s="103">
        <v>15357</v>
      </c>
      <c r="W97" s="103">
        <v>12601</v>
      </c>
      <c r="X97" s="103">
        <v>624</v>
      </c>
      <c r="Y97" s="103">
        <v>6443</v>
      </c>
      <c r="Z97" s="103">
        <v>4464</v>
      </c>
      <c r="AA97" s="103">
        <v>5678</v>
      </c>
      <c r="AB97" s="103">
        <v>6247</v>
      </c>
      <c r="AC97" s="103">
        <v>4553</v>
      </c>
      <c r="AD97" s="103">
        <v>1748</v>
      </c>
      <c r="AE97" s="103">
        <v>8301</v>
      </c>
      <c r="AF97" s="103">
        <v>9246</v>
      </c>
      <c r="AG97" s="103">
        <v>734</v>
      </c>
      <c r="AH97" s="103">
        <v>1371</v>
      </c>
      <c r="AI97" s="103">
        <v>2064</v>
      </c>
      <c r="AJ97" s="103">
        <v>62554</v>
      </c>
      <c r="AK97" s="103">
        <v>6352</v>
      </c>
      <c r="AL97" s="103">
        <v>34734</v>
      </c>
      <c r="AM97" s="103">
        <v>17475</v>
      </c>
      <c r="AN97" s="103">
        <v>15356</v>
      </c>
      <c r="AO97" s="103">
        <v>720</v>
      </c>
      <c r="AP97" s="103">
        <v>29825</v>
      </c>
      <c r="AQ97" s="103">
        <v>6312</v>
      </c>
      <c r="AR97" s="103">
        <v>12743</v>
      </c>
      <c r="AS97" s="103">
        <v>134</v>
      </c>
      <c r="AT97" s="103">
        <v>462</v>
      </c>
      <c r="AU97" s="103">
        <v>20</v>
      </c>
      <c r="AV97" s="103">
        <v>258</v>
      </c>
      <c r="AW97" s="103">
        <v>285</v>
      </c>
      <c r="AX97" s="103">
        <v>0</v>
      </c>
      <c r="AY97" s="103">
        <v>29430</v>
      </c>
      <c r="AZ97" s="103">
        <v>0</v>
      </c>
      <c r="BA97" s="103">
        <v>0</v>
      </c>
      <c r="BB97" s="103">
        <v>10005</v>
      </c>
      <c r="BC97" s="103">
        <v>318</v>
      </c>
      <c r="BD97" s="103">
        <v>1031</v>
      </c>
      <c r="BE97" s="103">
        <v>2230</v>
      </c>
      <c r="BF97" s="103">
        <v>2276</v>
      </c>
      <c r="BG97" s="103">
        <v>2539</v>
      </c>
      <c r="BH97" s="103">
        <v>125</v>
      </c>
      <c r="BI97" s="103">
        <v>45</v>
      </c>
      <c r="BJ97" s="103">
        <v>22013</v>
      </c>
      <c r="BK97" s="103">
        <v>1578</v>
      </c>
      <c r="BL97" s="103">
        <v>1247</v>
      </c>
      <c r="BM97" s="103">
        <v>19918</v>
      </c>
      <c r="BN97" s="103">
        <v>8677</v>
      </c>
      <c r="BO97" s="103">
        <v>1809</v>
      </c>
      <c r="BP97" s="103">
        <v>262517</v>
      </c>
      <c r="BQ97" s="103">
        <v>7018</v>
      </c>
      <c r="BR97" s="103">
        <v>9571</v>
      </c>
      <c r="BS97" s="103">
        <v>6544</v>
      </c>
      <c r="BT97" s="103">
        <v>5674</v>
      </c>
      <c r="BU97" s="103">
        <v>709</v>
      </c>
      <c r="BV97" s="103">
        <v>65</v>
      </c>
      <c r="BW97" s="103">
        <v>46901</v>
      </c>
      <c r="BX97" s="103">
        <v>7737</v>
      </c>
      <c r="BY97" s="103">
        <v>106</v>
      </c>
      <c r="BZ97" s="103">
        <v>10988</v>
      </c>
      <c r="CA97" s="103">
        <v>0</v>
      </c>
      <c r="CB97" s="104">
        <v>941736</v>
      </c>
      <c r="CC97" s="265"/>
      <c r="CD97" s="105">
        <v>14214939</v>
      </c>
      <c r="CE97" s="105">
        <v>193494</v>
      </c>
      <c r="CF97" s="106">
        <v>1519933</v>
      </c>
      <c r="CG97" s="107">
        <v>4940000</v>
      </c>
      <c r="CH97" s="108">
        <v>21810102</v>
      </c>
      <c r="CI97" s="51">
        <f t="shared" si="9"/>
        <v>21810102</v>
      </c>
      <c r="CJ97" s="51">
        <f t="shared" si="10"/>
        <v>0</v>
      </c>
    </row>
    <row r="98" spans="1:88" ht="15" customHeight="1" x14ac:dyDescent="0.25">
      <c r="A98" s="13" t="s">
        <v>10</v>
      </c>
      <c r="B98" s="268"/>
      <c r="C98" s="102">
        <v>2152</v>
      </c>
      <c r="D98" s="103">
        <v>5269</v>
      </c>
      <c r="E98" s="103">
        <v>0</v>
      </c>
      <c r="F98" s="103">
        <v>10902</v>
      </c>
      <c r="G98" s="103">
        <v>3028</v>
      </c>
      <c r="H98" s="103">
        <v>19841</v>
      </c>
      <c r="I98" s="103">
        <v>1552</v>
      </c>
      <c r="J98" s="103">
        <v>130</v>
      </c>
      <c r="K98" s="103">
        <v>10977</v>
      </c>
      <c r="L98" s="103">
        <v>53140</v>
      </c>
      <c r="M98" s="103">
        <v>926939</v>
      </c>
      <c r="N98" s="103">
        <v>5496</v>
      </c>
      <c r="O98" s="103">
        <v>8085</v>
      </c>
      <c r="P98" s="103">
        <v>2101</v>
      </c>
      <c r="Q98" s="103">
        <v>3993</v>
      </c>
      <c r="R98" s="103">
        <v>1983</v>
      </c>
      <c r="S98" s="103">
        <v>317</v>
      </c>
      <c r="T98" s="103">
        <v>7461</v>
      </c>
      <c r="U98" s="103">
        <v>3433</v>
      </c>
      <c r="V98" s="103">
        <v>2434</v>
      </c>
      <c r="W98" s="103">
        <v>2921</v>
      </c>
      <c r="X98" s="103">
        <v>290</v>
      </c>
      <c r="Y98" s="103">
        <v>5755</v>
      </c>
      <c r="Z98" s="103">
        <v>2342</v>
      </c>
      <c r="AA98" s="103">
        <v>163605</v>
      </c>
      <c r="AB98" s="103">
        <v>6658</v>
      </c>
      <c r="AC98" s="103">
        <v>476582</v>
      </c>
      <c r="AD98" s="103">
        <v>3145</v>
      </c>
      <c r="AE98" s="103">
        <v>1692</v>
      </c>
      <c r="AF98" s="103">
        <v>5403</v>
      </c>
      <c r="AG98" s="103">
        <v>1006</v>
      </c>
      <c r="AH98" s="103">
        <v>1129</v>
      </c>
      <c r="AI98" s="103">
        <v>643</v>
      </c>
      <c r="AJ98" s="103">
        <v>33328</v>
      </c>
      <c r="AK98" s="103">
        <v>836</v>
      </c>
      <c r="AL98" s="103">
        <v>33295</v>
      </c>
      <c r="AM98" s="103">
        <v>30010</v>
      </c>
      <c r="AN98" s="103">
        <v>14582</v>
      </c>
      <c r="AO98" s="103">
        <v>838</v>
      </c>
      <c r="AP98" s="103">
        <v>28709</v>
      </c>
      <c r="AQ98" s="103">
        <v>2323</v>
      </c>
      <c r="AR98" s="103">
        <v>100</v>
      </c>
      <c r="AS98" s="103">
        <v>543</v>
      </c>
      <c r="AT98" s="103">
        <v>0</v>
      </c>
      <c r="AU98" s="103">
        <v>0</v>
      </c>
      <c r="AV98" s="103">
        <v>139</v>
      </c>
      <c r="AW98" s="103">
        <v>0</v>
      </c>
      <c r="AX98" s="103">
        <v>0</v>
      </c>
      <c r="AY98" s="103">
        <v>2736</v>
      </c>
      <c r="AZ98" s="103">
        <v>0</v>
      </c>
      <c r="BA98" s="103">
        <v>0</v>
      </c>
      <c r="BB98" s="103">
        <v>1500</v>
      </c>
      <c r="BC98" s="103">
        <v>79</v>
      </c>
      <c r="BD98" s="103">
        <v>0</v>
      </c>
      <c r="BE98" s="103">
        <v>182</v>
      </c>
      <c r="BF98" s="103">
        <v>1153</v>
      </c>
      <c r="BG98" s="103">
        <v>210</v>
      </c>
      <c r="BH98" s="103">
        <v>0</v>
      </c>
      <c r="BI98" s="103">
        <v>0</v>
      </c>
      <c r="BJ98" s="103">
        <v>2147</v>
      </c>
      <c r="BK98" s="103">
        <v>247</v>
      </c>
      <c r="BL98" s="103">
        <v>0</v>
      </c>
      <c r="BM98" s="103">
        <v>1263</v>
      </c>
      <c r="BN98" s="103">
        <v>2056</v>
      </c>
      <c r="BO98" s="103">
        <v>0</v>
      </c>
      <c r="BP98" s="103">
        <v>3831</v>
      </c>
      <c r="BQ98" s="103">
        <v>690</v>
      </c>
      <c r="BR98" s="103">
        <v>2341</v>
      </c>
      <c r="BS98" s="103">
        <v>434</v>
      </c>
      <c r="BT98" s="103">
        <v>1594</v>
      </c>
      <c r="BU98" s="103">
        <v>0</v>
      </c>
      <c r="BV98" s="103">
        <v>66</v>
      </c>
      <c r="BW98" s="103">
        <v>1294</v>
      </c>
      <c r="BX98" s="103">
        <v>1180</v>
      </c>
      <c r="BY98" s="103">
        <v>13999</v>
      </c>
      <c r="BZ98" s="103">
        <v>742</v>
      </c>
      <c r="CA98" s="103">
        <v>0</v>
      </c>
      <c r="CB98" s="104">
        <v>1922851</v>
      </c>
      <c r="CC98" s="265"/>
      <c r="CD98" s="105">
        <v>6538192</v>
      </c>
      <c r="CE98" s="105">
        <v>60944</v>
      </c>
      <c r="CF98" s="106">
        <v>55862</v>
      </c>
      <c r="CG98" s="107">
        <v>1565000</v>
      </c>
      <c r="CH98" s="108">
        <v>10142849</v>
      </c>
      <c r="CI98" s="51">
        <f t="shared" si="9"/>
        <v>10142849</v>
      </c>
      <c r="CJ98" s="51">
        <f t="shared" si="10"/>
        <v>0</v>
      </c>
    </row>
    <row r="99" spans="1:88" ht="15" customHeight="1" x14ac:dyDescent="0.25">
      <c r="A99" s="13" t="s">
        <v>11</v>
      </c>
      <c r="B99" s="268"/>
      <c r="C99" s="102">
        <v>42584</v>
      </c>
      <c r="D99" s="103">
        <v>35680</v>
      </c>
      <c r="E99" s="103">
        <v>0</v>
      </c>
      <c r="F99" s="103">
        <v>12967</v>
      </c>
      <c r="G99" s="103">
        <v>3960</v>
      </c>
      <c r="H99" s="103">
        <v>26458</v>
      </c>
      <c r="I99" s="103">
        <v>4079</v>
      </c>
      <c r="J99" s="103">
        <v>479</v>
      </c>
      <c r="K99" s="103">
        <v>4084</v>
      </c>
      <c r="L99" s="103">
        <v>2227</v>
      </c>
      <c r="M99" s="103">
        <v>2972</v>
      </c>
      <c r="N99" s="103">
        <v>1351580</v>
      </c>
      <c r="O99" s="103">
        <v>48008</v>
      </c>
      <c r="P99" s="103">
        <v>3156</v>
      </c>
      <c r="Q99" s="103">
        <v>2975</v>
      </c>
      <c r="R99" s="103">
        <v>12743</v>
      </c>
      <c r="S99" s="103">
        <v>678</v>
      </c>
      <c r="T99" s="103">
        <v>37525</v>
      </c>
      <c r="U99" s="103">
        <v>84544</v>
      </c>
      <c r="V99" s="103">
        <v>4380</v>
      </c>
      <c r="W99" s="103">
        <v>96787</v>
      </c>
      <c r="X99" s="103">
        <v>16785</v>
      </c>
      <c r="Y99" s="103">
        <v>53491</v>
      </c>
      <c r="Z99" s="103">
        <v>24078</v>
      </c>
      <c r="AA99" s="103">
        <v>35747</v>
      </c>
      <c r="AB99" s="103">
        <v>36097</v>
      </c>
      <c r="AC99" s="103">
        <v>1357089</v>
      </c>
      <c r="AD99" s="103">
        <v>99389</v>
      </c>
      <c r="AE99" s="103">
        <v>5115</v>
      </c>
      <c r="AF99" s="103">
        <v>10480</v>
      </c>
      <c r="AG99" s="103">
        <v>294</v>
      </c>
      <c r="AH99" s="103">
        <v>10578</v>
      </c>
      <c r="AI99" s="103">
        <v>792</v>
      </c>
      <c r="AJ99" s="103">
        <v>874885</v>
      </c>
      <c r="AK99" s="103">
        <v>1938</v>
      </c>
      <c r="AL99" s="103">
        <v>91807</v>
      </c>
      <c r="AM99" s="103">
        <v>84609</v>
      </c>
      <c r="AN99" s="103">
        <v>54278</v>
      </c>
      <c r="AO99" s="103">
        <v>745</v>
      </c>
      <c r="AP99" s="103">
        <v>17296</v>
      </c>
      <c r="AQ99" s="103">
        <v>4180</v>
      </c>
      <c r="AR99" s="103">
        <v>3990</v>
      </c>
      <c r="AS99" s="103">
        <v>50</v>
      </c>
      <c r="AT99" s="103">
        <v>298</v>
      </c>
      <c r="AU99" s="103">
        <v>0</v>
      </c>
      <c r="AV99" s="103">
        <v>716</v>
      </c>
      <c r="AW99" s="103">
        <v>510</v>
      </c>
      <c r="AX99" s="103">
        <v>0</v>
      </c>
      <c r="AY99" s="103">
        <v>5422</v>
      </c>
      <c r="AZ99" s="103">
        <v>0</v>
      </c>
      <c r="BA99" s="103">
        <v>0</v>
      </c>
      <c r="BB99" s="103">
        <v>131612</v>
      </c>
      <c r="BC99" s="103">
        <v>161</v>
      </c>
      <c r="BD99" s="103">
        <v>838</v>
      </c>
      <c r="BE99" s="103">
        <v>1284</v>
      </c>
      <c r="BF99" s="103">
        <v>1749</v>
      </c>
      <c r="BG99" s="103">
        <v>0</v>
      </c>
      <c r="BH99" s="103">
        <v>2307</v>
      </c>
      <c r="BI99" s="103">
        <v>0</v>
      </c>
      <c r="BJ99" s="103">
        <v>6256</v>
      </c>
      <c r="BK99" s="103">
        <v>0</v>
      </c>
      <c r="BL99" s="103">
        <v>0</v>
      </c>
      <c r="BM99" s="103">
        <v>0</v>
      </c>
      <c r="BN99" s="103">
        <v>6769</v>
      </c>
      <c r="BO99" s="103">
        <v>1624</v>
      </c>
      <c r="BP99" s="103">
        <v>25913</v>
      </c>
      <c r="BQ99" s="103">
        <v>5917</v>
      </c>
      <c r="BR99" s="103">
        <v>2162</v>
      </c>
      <c r="BS99" s="103">
        <v>0</v>
      </c>
      <c r="BT99" s="103">
        <v>1307</v>
      </c>
      <c r="BU99" s="103">
        <v>522</v>
      </c>
      <c r="BV99" s="103">
        <v>0</v>
      </c>
      <c r="BW99" s="103">
        <v>0</v>
      </c>
      <c r="BX99" s="103">
        <v>6733</v>
      </c>
      <c r="BY99" s="103">
        <v>9308</v>
      </c>
      <c r="BZ99" s="103">
        <v>49042</v>
      </c>
      <c r="CA99" s="103">
        <v>0</v>
      </c>
      <c r="CB99" s="104">
        <v>4822029</v>
      </c>
      <c r="CC99" s="265"/>
      <c r="CD99" s="105">
        <v>542888</v>
      </c>
      <c r="CE99" s="105">
        <v>0</v>
      </c>
      <c r="CF99" s="106">
        <v>115524</v>
      </c>
      <c r="CG99" s="107">
        <v>0</v>
      </c>
      <c r="CH99" s="108">
        <v>5480441</v>
      </c>
      <c r="CI99" s="51">
        <f t="shared" si="9"/>
        <v>5480441</v>
      </c>
      <c r="CJ99" s="51">
        <f t="shared" si="10"/>
        <v>0</v>
      </c>
    </row>
    <row r="100" spans="1:88" ht="15" customHeight="1" x14ac:dyDescent="0.25">
      <c r="A100" s="13" t="s">
        <v>12</v>
      </c>
      <c r="B100" s="268"/>
      <c r="C100" s="102">
        <v>34650</v>
      </c>
      <c r="D100" s="103">
        <v>4861</v>
      </c>
      <c r="E100" s="103">
        <v>0</v>
      </c>
      <c r="F100" s="103">
        <v>2309</v>
      </c>
      <c r="G100" s="103">
        <v>6689</v>
      </c>
      <c r="H100" s="103">
        <v>878872</v>
      </c>
      <c r="I100" s="103">
        <v>240599</v>
      </c>
      <c r="J100" s="103">
        <v>207169</v>
      </c>
      <c r="K100" s="103">
        <v>72862</v>
      </c>
      <c r="L100" s="103">
        <v>20327</v>
      </c>
      <c r="M100" s="103">
        <v>25958</v>
      </c>
      <c r="N100" s="103">
        <v>473484</v>
      </c>
      <c r="O100" s="103">
        <v>6132552</v>
      </c>
      <c r="P100" s="103">
        <v>1666318</v>
      </c>
      <c r="Q100" s="103">
        <v>27841</v>
      </c>
      <c r="R100" s="103">
        <v>196288</v>
      </c>
      <c r="S100" s="103">
        <v>46818</v>
      </c>
      <c r="T100" s="103">
        <v>355070</v>
      </c>
      <c r="U100" s="103">
        <v>440625</v>
      </c>
      <c r="V100" s="103">
        <v>35078</v>
      </c>
      <c r="W100" s="103">
        <v>81742</v>
      </c>
      <c r="X100" s="103">
        <v>12690</v>
      </c>
      <c r="Y100" s="103">
        <v>101168</v>
      </c>
      <c r="Z100" s="103">
        <v>62049</v>
      </c>
      <c r="AA100" s="103">
        <v>120556</v>
      </c>
      <c r="AB100" s="103">
        <v>24872</v>
      </c>
      <c r="AC100" s="103">
        <v>438969</v>
      </c>
      <c r="AD100" s="103">
        <v>88649</v>
      </c>
      <c r="AE100" s="103">
        <v>41128</v>
      </c>
      <c r="AF100" s="103">
        <v>27406</v>
      </c>
      <c r="AG100" s="103">
        <v>3813</v>
      </c>
      <c r="AH100" s="103">
        <v>20876</v>
      </c>
      <c r="AI100" s="103">
        <v>5093</v>
      </c>
      <c r="AJ100" s="103">
        <v>140887</v>
      </c>
      <c r="AK100" s="103">
        <v>42634</v>
      </c>
      <c r="AL100" s="103">
        <v>728117</v>
      </c>
      <c r="AM100" s="103">
        <v>311353</v>
      </c>
      <c r="AN100" s="103">
        <v>110717</v>
      </c>
      <c r="AO100" s="103">
        <v>3461</v>
      </c>
      <c r="AP100" s="103">
        <v>108153</v>
      </c>
      <c r="AQ100" s="103">
        <v>19703</v>
      </c>
      <c r="AR100" s="103">
        <v>84588</v>
      </c>
      <c r="AS100" s="103">
        <v>871143</v>
      </c>
      <c r="AT100" s="103">
        <v>91809</v>
      </c>
      <c r="AU100" s="103">
        <v>125</v>
      </c>
      <c r="AV100" s="103">
        <v>15654</v>
      </c>
      <c r="AW100" s="103">
        <v>13523</v>
      </c>
      <c r="AX100" s="103">
        <v>33829</v>
      </c>
      <c r="AY100" s="103">
        <v>175704</v>
      </c>
      <c r="AZ100" s="103">
        <v>180496</v>
      </c>
      <c r="BA100" s="103">
        <v>53698</v>
      </c>
      <c r="BB100" s="103">
        <v>124766</v>
      </c>
      <c r="BC100" s="103">
        <v>34359</v>
      </c>
      <c r="BD100" s="103">
        <v>17750</v>
      </c>
      <c r="BE100" s="103">
        <v>22492</v>
      </c>
      <c r="BF100" s="103">
        <v>56991</v>
      </c>
      <c r="BG100" s="103">
        <v>72936</v>
      </c>
      <c r="BH100" s="103">
        <v>10944</v>
      </c>
      <c r="BI100" s="103">
        <v>0</v>
      </c>
      <c r="BJ100" s="103">
        <v>7737</v>
      </c>
      <c r="BK100" s="103">
        <v>2672</v>
      </c>
      <c r="BL100" s="103">
        <v>3402</v>
      </c>
      <c r="BM100" s="103">
        <v>5272</v>
      </c>
      <c r="BN100" s="103">
        <v>23025</v>
      </c>
      <c r="BO100" s="103">
        <v>451532</v>
      </c>
      <c r="BP100" s="103">
        <v>234174</v>
      </c>
      <c r="BQ100" s="103">
        <v>129482</v>
      </c>
      <c r="BR100" s="103">
        <v>46936</v>
      </c>
      <c r="BS100" s="103">
        <v>11206</v>
      </c>
      <c r="BT100" s="103">
        <v>64813</v>
      </c>
      <c r="BU100" s="103">
        <v>16469</v>
      </c>
      <c r="BV100" s="103">
        <v>7584</v>
      </c>
      <c r="BW100" s="103">
        <v>3036</v>
      </c>
      <c r="BX100" s="103">
        <v>148890</v>
      </c>
      <c r="BY100" s="103">
        <v>2115</v>
      </c>
      <c r="BZ100" s="103">
        <v>26791</v>
      </c>
      <c r="CA100" s="103">
        <v>0</v>
      </c>
      <c r="CB100" s="104">
        <v>16408349</v>
      </c>
      <c r="CC100" s="265"/>
      <c r="CD100" s="105">
        <v>909977</v>
      </c>
      <c r="CE100" s="105">
        <v>0</v>
      </c>
      <c r="CF100" s="106">
        <v>385830</v>
      </c>
      <c r="CG100" s="107">
        <v>1609215</v>
      </c>
      <c r="CH100" s="108">
        <v>19313371</v>
      </c>
      <c r="CI100" s="51">
        <f t="shared" si="9"/>
        <v>19313371</v>
      </c>
      <c r="CJ100" s="51">
        <f t="shared" si="10"/>
        <v>0</v>
      </c>
    </row>
    <row r="101" spans="1:88" ht="15" customHeight="1" x14ac:dyDescent="0.25">
      <c r="A101" s="13" t="s">
        <v>13</v>
      </c>
      <c r="B101" s="268"/>
      <c r="C101" s="102">
        <v>44</v>
      </c>
      <c r="D101" s="103">
        <v>41</v>
      </c>
      <c r="E101" s="103">
        <v>0</v>
      </c>
      <c r="F101" s="103">
        <v>0</v>
      </c>
      <c r="G101" s="103">
        <v>19</v>
      </c>
      <c r="H101" s="103">
        <v>617</v>
      </c>
      <c r="I101" s="103">
        <v>244</v>
      </c>
      <c r="J101" s="103">
        <v>58</v>
      </c>
      <c r="K101" s="103">
        <v>85</v>
      </c>
      <c r="L101" s="103">
        <v>64</v>
      </c>
      <c r="M101" s="103">
        <v>55</v>
      </c>
      <c r="N101" s="103">
        <v>88</v>
      </c>
      <c r="O101" s="103">
        <v>2694</v>
      </c>
      <c r="P101" s="103">
        <v>38820</v>
      </c>
      <c r="Q101" s="103">
        <v>33</v>
      </c>
      <c r="R101" s="103">
        <v>1288</v>
      </c>
      <c r="S101" s="103">
        <v>616</v>
      </c>
      <c r="T101" s="103">
        <v>674</v>
      </c>
      <c r="U101" s="103">
        <v>364</v>
      </c>
      <c r="V101" s="103">
        <v>10</v>
      </c>
      <c r="W101" s="103">
        <v>340</v>
      </c>
      <c r="X101" s="103">
        <v>33</v>
      </c>
      <c r="Y101" s="103">
        <v>343</v>
      </c>
      <c r="Z101" s="103">
        <v>114</v>
      </c>
      <c r="AA101" s="103">
        <v>327</v>
      </c>
      <c r="AB101" s="103">
        <v>19</v>
      </c>
      <c r="AC101" s="103">
        <v>83</v>
      </c>
      <c r="AD101" s="103">
        <v>130</v>
      </c>
      <c r="AE101" s="103">
        <v>50</v>
      </c>
      <c r="AF101" s="103">
        <v>373</v>
      </c>
      <c r="AG101" s="103">
        <v>23</v>
      </c>
      <c r="AH101" s="103">
        <v>101</v>
      </c>
      <c r="AI101" s="103">
        <v>20</v>
      </c>
      <c r="AJ101" s="103">
        <v>822</v>
      </c>
      <c r="AK101" s="103">
        <v>494</v>
      </c>
      <c r="AL101" s="103">
        <v>25839</v>
      </c>
      <c r="AM101" s="103">
        <v>9102</v>
      </c>
      <c r="AN101" s="103">
        <v>892</v>
      </c>
      <c r="AO101" s="103">
        <v>51</v>
      </c>
      <c r="AP101" s="103">
        <v>231</v>
      </c>
      <c r="AQ101" s="103">
        <v>81</v>
      </c>
      <c r="AR101" s="103">
        <v>108</v>
      </c>
      <c r="AS101" s="103">
        <v>25303</v>
      </c>
      <c r="AT101" s="103">
        <v>5104</v>
      </c>
      <c r="AU101" s="103">
        <v>19</v>
      </c>
      <c r="AV101" s="103">
        <v>609</v>
      </c>
      <c r="AW101" s="103">
        <v>300</v>
      </c>
      <c r="AX101" s="103">
        <v>356</v>
      </c>
      <c r="AY101" s="103">
        <v>4968</v>
      </c>
      <c r="AZ101" s="103">
        <v>13630</v>
      </c>
      <c r="BA101" s="103">
        <v>905</v>
      </c>
      <c r="BB101" s="103">
        <v>404</v>
      </c>
      <c r="BC101" s="103">
        <v>297</v>
      </c>
      <c r="BD101" s="103">
        <v>863</v>
      </c>
      <c r="BE101" s="103">
        <v>251</v>
      </c>
      <c r="BF101" s="103">
        <v>1417</v>
      </c>
      <c r="BG101" s="103">
        <v>9049</v>
      </c>
      <c r="BH101" s="103">
        <v>3116</v>
      </c>
      <c r="BI101" s="103">
        <v>0</v>
      </c>
      <c r="BJ101" s="103">
        <v>818</v>
      </c>
      <c r="BK101" s="103">
        <v>109</v>
      </c>
      <c r="BL101" s="103">
        <v>96</v>
      </c>
      <c r="BM101" s="103">
        <v>43</v>
      </c>
      <c r="BN101" s="103">
        <v>76</v>
      </c>
      <c r="BO101" s="103">
        <v>428</v>
      </c>
      <c r="BP101" s="103">
        <v>9567</v>
      </c>
      <c r="BQ101" s="103">
        <v>11611</v>
      </c>
      <c r="BR101" s="103">
        <v>895</v>
      </c>
      <c r="BS101" s="103">
        <v>117</v>
      </c>
      <c r="BT101" s="103">
        <v>1374</v>
      </c>
      <c r="BU101" s="103">
        <v>302</v>
      </c>
      <c r="BV101" s="103">
        <v>180</v>
      </c>
      <c r="BW101" s="103">
        <v>131</v>
      </c>
      <c r="BX101" s="103">
        <v>1075</v>
      </c>
      <c r="BY101" s="103">
        <v>0</v>
      </c>
      <c r="BZ101" s="103">
        <v>190</v>
      </c>
      <c r="CA101" s="103">
        <v>0</v>
      </c>
      <c r="CB101" s="104">
        <v>178993</v>
      </c>
      <c r="CC101" s="265"/>
      <c r="CD101" s="105">
        <v>41456</v>
      </c>
      <c r="CE101" s="105">
        <v>0</v>
      </c>
      <c r="CF101" s="106">
        <v>9982</v>
      </c>
      <c r="CG101" s="107">
        <v>0</v>
      </c>
      <c r="CH101" s="108">
        <v>230431</v>
      </c>
      <c r="CI101" s="51">
        <f t="shared" si="9"/>
        <v>230431</v>
      </c>
      <c r="CJ101" s="51">
        <f t="shared" si="10"/>
        <v>0</v>
      </c>
    </row>
    <row r="102" spans="1:88" ht="15" customHeight="1" x14ac:dyDescent="0.25">
      <c r="A102" s="13" t="s">
        <v>14</v>
      </c>
      <c r="B102" s="268"/>
      <c r="C102" s="102">
        <v>571401</v>
      </c>
      <c r="D102" s="103">
        <v>15868</v>
      </c>
      <c r="E102" s="103">
        <v>6892</v>
      </c>
      <c r="F102" s="103">
        <v>9693</v>
      </c>
      <c r="G102" s="103">
        <v>47858</v>
      </c>
      <c r="H102" s="103">
        <v>106064</v>
      </c>
      <c r="I102" s="103">
        <v>47527</v>
      </c>
      <c r="J102" s="103">
        <v>3047</v>
      </c>
      <c r="K102" s="103">
        <v>10924</v>
      </c>
      <c r="L102" s="103">
        <v>6281</v>
      </c>
      <c r="M102" s="103">
        <v>2128</v>
      </c>
      <c r="N102" s="103">
        <v>49064</v>
      </c>
      <c r="O102" s="103">
        <v>42120</v>
      </c>
      <c r="P102" s="103">
        <v>3617</v>
      </c>
      <c r="Q102" s="103">
        <v>422247</v>
      </c>
      <c r="R102" s="103">
        <v>176651</v>
      </c>
      <c r="S102" s="103">
        <v>16986</v>
      </c>
      <c r="T102" s="103">
        <v>64523</v>
      </c>
      <c r="U102" s="103">
        <v>150630</v>
      </c>
      <c r="V102" s="103">
        <v>82856</v>
      </c>
      <c r="W102" s="103">
        <v>62191</v>
      </c>
      <c r="X102" s="103">
        <v>5591</v>
      </c>
      <c r="Y102" s="103">
        <v>29639</v>
      </c>
      <c r="Z102" s="103">
        <v>27494</v>
      </c>
      <c r="AA102" s="103">
        <v>19621</v>
      </c>
      <c r="AB102" s="103">
        <v>8971</v>
      </c>
      <c r="AC102" s="103">
        <v>20908</v>
      </c>
      <c r="AD102" s="103">
        <v>56717</v>
      </c>
      <c r="AE102" s="103">
        <v>25268</v>
      </c>
      <c r="AF102" s="103">
        <v>100752</v>
      </c>
      <c r="AG102" s="103">
        <v>509</v>
      </c>
      <c r="AH102" s="103">
        <v>80921</v>
      </c>
      <c r="AI102" s="103">
        <v>41607</v>
      </c>
      <c r="AJ102" s="103">
        <v>1161826</v>
      </c>
      <c r="AK102" s="103">
        <v>93626</v>
      </c>
      <c r="AL102" s="103">
        <v>422809</v>
      </c>
      <c r="AM102" s="103">
        <v>176379</v>
      </c>
      <c r="AN102" s="103">
        <v>4441835</v>
      </c>
      <c r="AO102" s="103">
        <v>103393</v>
      </c>
      <c r="AP102" s="103">
        <v>229432</v>
      </c>
      <c r="AQ102" s="103">
        <v>23656</v>
      </c>
      <c r="AR102" s="103">
        <v>28272</v>
      </c>
      <c r="AS102" s="103">
        <v>2029</v>
      </c>
      <c r="AT102" s="103">
        <v>1830</v>
      </c>
      <c r="AU102" s="103">
        <v>484</v>
      </c>
      <c r="AV102" s="103">
        <v>29268</v>
      </c>
      <c r="AW102" s="103">
        <v>8729</v>
      </c>
      <c r="AX102" s="103">
        <v>2472</v>
      </c>
      <c r="AY102" s="103">
        <v>63483</v>
      </c>
      <c r="AZ102" s="103">
        <v>313083</v>
      </c>
      <c r="BA102" s="103">
        <v>12194</v>
      </c>
      <c r="BB102" s="103">
        <v>88473</v>
      </c>
      <c r="BC102" s="103">
        <v>4178</v>
      </c>
      <c r="BD102" s="103">
        <v>8900</v>
      </c>
      <c r="BE102" s="103">
        <v>9079</v>
      </c>
      <c r="BF102" s="103">
        <v>13334</v>
      </c>
      <c r="BG102" s="103">
        <v>17077</v>
      </c>
      <c r="BH102" s="103">
        <v>6698</v>
      </c>
      <c r="BI102" s="103">
        <v>1594</v>
      </c>
      <c r="BJ102" s="103">
        <v>59047</v>
      </c>
      <c r="BK102" s="103">
        <v>7759</v>
      </c>
      <c r="BL102" s="103">
        <v>6639</v>
      </c>
      <c r="BM102" s="103">
        <v>23680</v>
      </c>
      <c r="BN102" s="103">
        <v>32905</v>
      </c>
      <c r="BO102" s="103">
        <v>9207</v>
      </c>
      <c r="BP102" s="103">
        <v>167618</v>
      </c>
      <c r="BQ102" s="103">
        <v>41799</v>
      </c>
      <c r="BR102" s="103">
        <v>51471</v>
      </c>
      <c r="BS102" s="103">
        <v>19394</v>
      </c>
      <c r="BT102" s="103">
        <v>6442</v>
      </c>
      <c r="BU102" s="103">
        <v>1405</v>
      </c>
      <c r="BV102" s="103">
        <v>377</v>
      </c>
      <c r="BW102" s="103">
        <v>6630</v>
      </c>
      <c r="BX102" s="103">
        <v>8092</v>
      </c>
      <c r="BY102" s="103">
        <v>1757</v>
      </c>
      <c r="BZ102" s="103">
        <v>19593</v>
      </c>
      <c r="CA102" s="103">
        <v>0</v>
      </c>
      <c r="CB102" s="104">
        <v>10044514</v>
      </c>
      <c r="CC102" s="265"/>
      <c r="CD102" s="105">
        <v>4081382</v>
      </c>
      <c r="CE102" s="105">
        <v>0</v>
      </c>
      <c r="CF102" s="106">
        <v>322810</v>
      </c>
      <c r="CG102" s="107">
        <v>0</v>
      </c>
      <c r="CH102" s="108">
        <v>14448706</v>
      </c>
      <c r="CI102" s="51">
        <f t="shared" si="9"/>
        <v>14448706</v>
      </c>
      <c r="CJ102" s="51">
        <f t="shared" si="10"/>
        <v>0</v>
      </c>
    </row>
    <row r="103" spans="1:88" ht="15" customHeight="1" x14ac:dyDescent="0.25">
      <c r="A103" s="13" t="s">
        <v>15</v>
      </c>
      <c r="B103" s="268"/>
      <c r="C103" s="102">
        <v>4609866</v>
      </c>
      <c r="D103" s="103">
        <v>47761</v>
      </c>
      <c r="E103" s="103">
        <v>0</v>
      </c>
      <c r="F103" s="103">
        <v>105198</v>
      </c>
      <c r="G103" s="103">
        <v>93059</v>
      </c>
      <c r="H103" s="103">
        <v>1130162</v>
      </c>
      <c r="I103" s="103">
        <v>210880</v>
      </c>
      <c r="J103" s="103">
        <v>62119</v>
      </c>
      <c r="K103" s="103">
        <v>875676</v>
      </c>
      <c r="L103" s="103">
        <v>189290</v>
      </c>
      <c r="M103" s="103">
        <v>279113</v>
      </c>
      <c r="N103" s="103">
        <v>1242558</v>
      </c>
      <c r="O103" s="103">
        <v>1879331</v>
      </c>
      <c r="P103" s="103">
        <v>593786</v>
      </c>
      <c r="Q103" s="103">
        <v>1591186</v>
      </c>
      <c r="R103" s="103">
        <v>14997969</v>
      </c>
      <c r="S103" s="103">
        <v>210130</v>
      </c>
      <c r="T103" s="103">
        <v>12508376</v>
      </c>
      <c r="U103" s="103">
        <v>1526201</v>
      </c>
      <c r="V103" s="103">
        <v>322312</v>
      </c>
      <c r="W103" s="103">
        <v>1217679</v>
      </c>
      <c r="X103" s="103">
        <v>328140</v>
      </c>
      <c r="Y103" s="103">
        <v>1374130</v>
      </c>
      <c r="Z103" s="103">
        <v>544399</v>
      </c>
      <c r="AA103" s="103">
        <v>1371418</v>
      </c>
      <c r="AB103" s="103">
        <v>283325</v>
      </c>
      <c r="AC103" s="103">
        <v>1281767</v>
      </c>
      <c r="AD103" s="103">
        <v>423607</v>
      </c>
      <c r="AE103" s="103">
        <v>274997</v>
      </c>
      <c r="AF103" s="103">
        <v>167763</v>
      </c>
      <c r="AG103" s="103">
        <v>115787</v>
      </c>
      <c r="AH103" s="103">
        <v>88165</v>
      </c>
      <c r="AI103" s="103">
        <v>90125</v>
      </c>
      <c r="AJ103" s="103">
        <v>2458195</v>
      </c>
      <c r="AK103" s="103">
        <v>247263</v>
      </c>
      <c r="AL103" s="103">
        <v>1250543</v>
      </c>
      <c r="AM103" s="103">
        <v>567350</v>
      </c>
      <c r="AN103" s="103">
        <v>473190</v>
      </c>
      <c r="AO103" s="103">
        <v>15875</v>
      </c>
      <c r="AP103" s="103">
        <v>106154</v>
      </c>
      <c r="AQ103" s="103">
        <v>80594</v>
      </c>
      <c r="AR103" s="103">
        <v>79631</v>
      </c>
      <c r="AS103" s="103">
        <v>66407</v>
      </c>
      <c r="AT103" s="103">
        <v>85405</v>
      </c>
      <c r="AU103" s="103">
        <v>0</v>
      </c>
      <c r="AV103" s="103">
        <v>0</v>
      </c>
      <c r="AW103" s="103">
        <v>12664</v>
      </c>
      <c r="AX103" s="103">
        <v>0</v>
      </c>
      <c r="AY103" s="103">
        <v>114731</v>
      </c>
      <c r="AZ103" s="103">
        <v>14236</v>
      </c>
      <c r="BA103" s="103">
        <v>17665</v>
      </c>
      <c r="BB103" s="103">
        <v>809673</v>
      </c>
      <c r="BC103" s="103">
        <v>31452</v>
      </c>
      <c r="BD103" s="103">
        <v>22416</v>
      </c>
      <c r="BE103" s="103">
        <v>74835</v>
      </c>
      <c r="BF103" s="103">
        <v>475311</v>
      </c>
      <c r="BG103" s="103">
        <v>51910</v>
      </c>
      <c r="BH103" s="103">
        <v>29173</v>
      </c>
      <c r="BI103" s="103">
        <v>19154</v>
      </c>
      <c r="BJ103" s="103">
        <v>54780</v>
      </c>
      <c r="BK103" s="103">
        <v>8538</v>
      </c>
      <c r="BL103" s="103">
        <v>4001</v>
      </c>
      <c r="BM103" s="103">
        <v>31155</v>
      </c>
      <c r="BN103" s="103">
        <v>401537</v>
      </c>
      <c r="BO103" s="103">
        <v>58690</v>
      </c>
      <c r="BP103" s="103">
        <v>198744</v>
      </c>
      <c r="BQ103" s="103">
        <v>137835</v>
      </c>
      <c r="BR103" s="103">
        <v>1171363</v>
      </c>
      <c r="BS103" s="103">
        <v>25346</v>
      </c>
      <c r="BT103" s="103">
        <v>31938</v>
      </c>
      <c r="BU103" s="103">
        <v>1710</v>
      </c>
      <c r="BV103" s="103">
        <v>0</v>
      </c>
      <c r="BW103" s="103">
        <v>28541</v>
      </c>
      <c r="BX103" s="103">
        <v>105162</v>
      </c>
      <c r="BY103" s="103">
        <v>12719</v>
      </c>
      <c r="BZ103" s="103">
        <v>167351</v>
      </c>
      <c r="CA103" s="103">
        <v>0</v>
      </c>
      <c r="CB103" s="104">
        <v>59579512</v>
      </c>
      <c r="CC103" s="265"/>
      <c r="CD103" s="105">
        <v>8891039</v>
      </c>
      <c r="CE103" s="105">
        <v>2562</v>
      </c>
      <c r="CF103" s="106">
        <v>813242</v>
      </c>
      <c r="CG103" s="107">
        <v>3170000</v>
      </c>
      <c r="CH103" s="108">
        <v>72456355</v>
      </c>
      <c r="CI103" s="51">
        <f t="shared" si="9"/>
        <v>72456355</v>
      </c>
      <c r="CJ103" s="51">
        <f t="shared" si="10"/>
        <v>0</v>
      </c>
    </row>
    <row r="104" spans="1:88" ht="15" customHeight="1" x14ac:dyDescent="0.25">
      <c r="A104" s="13" t="s">
        <v>16</v>
      </c>
      <c r="B104" s="268"/>
      <c r="C104" s="102">
        <v>20509</v>
      </c>
      <c r="D104" s="103">
        <v>482</v>
      </c>
      <c r="E104" s="103">
        <v>0</v>
      </c>
      <c r="F104" s="103">
        <v>0</v>
      </c>
      <c r="G104" s="103">
        <v>756</v>
      </c>
      <c r="H104" s="103">
        <v>61145</v>
      </c>
      <c r="I104" s="103">
        <v>525</v>
      </c>
      <c r="J104" s="103">
        <v>0</v>
      </c>
      <c r="K104" s="103">
        <v>21101</v>
      </c>
      <c r="L104" s="103">
        <v>0</v>
      </c>
      <c r="M104" s="103">
        <v>0</v>
      </c>
      <c r="N104" s="103">
        <v>0</v>
      </c>
      <c r="O104" s="103">
        <v>574</v>
      </c>
      <c r="P104" s="103">
        <v>0</v>
      </c>
      <c r="Q104" s="103">
        <v>0</v>
      </c>
      <c r="R104" s="103">
        <v>94451</v>
      </c>
      <c r="S104" s="103">
        <v>2638143</v>
      </c>
      <c r="T104" s="103">
        <v>20065</v>
      </c>
      <c r="U104" s="103">
        <v>2483</v>
      </c>
      <c r="V104" s="103">
        <v>0</v>
      </c>
      <c r="W104" s="103">
        <v>4543</v>
      </c>
      <c r="X104" s="103">
        <v>753</v>
      </c>
      <c r="Y104" s="103">
        <v>0</v>
      </c>
      <c r="Z104" s="103">
        <v>3247</v>
      </c>
      <c r="AA104" s="103">
        <v>80725</v>
      </c>
      <c r="AB104" s="103">
        <v>0</v>
      </c>
      <c r="AC104" s="103">
        <v>0</v>
      </c>
      <c r="AD104" s="103">
        <v>3897</v>
      </c>
      <c r="AE104" s="103">
        <v>0</v>
      </c>
      <c r="AF104" s="103">
        <v>314</v>
      </c>
      <c r="AG104" s="103">
        <v>0</v>
      </c>
      <c r="AH104" s="103">
        <v>0</v>
      </c>
      <c r="AI104" s="103">
        <v>935</v>
      </c>
      <c r="AJ104" s="103">
        <v>2968</v>
      </c>
      <c r="AK104" s="103">
        <v>353</v>
      </c>
      <c r="AL104" s="103">
        <v>54206</v>
      </c>
      <c r="AM104" s="103">
        <v>24592</v>
      </c>
      <c r="AN104" s="103">
        <v>4018</v>
      </c>
      <c r="AO104" s="103">
        <v>2789</v>
      </c>
      <c r="AP104" s="103">
        <v>10813</v>
      </c>
      <c r="AQ104" s="103">
        <v>4462</v>
      </c>
      <c r="AR104" s="103">
        <v>1916</v>
      </c>
      <c r="AS104" s="103">
        <v>0</v>
      </c>
      <c r="AT104" s="103">
        <v>0</v>
      </c>
      <c r="AU104" s="103">
        <v>0</v>
      </c>
      <c r="AV104" s="103">
        <v>0</v>
      </c>
      <c r="AW104" s="103">
        <v>3040</v>
      </c>
      <c r="AX104" s="103">
        <v>2819</v>
      </c>
      <c r="AY104" s="103">
        <v>848</v>
      </c>
      <c r="AZ104" s="103">
        <v>632</v>
      </c>
      <c r="BA104" s="103">
        <v>0</v>
      </c>
      <c r="BB104" s="103">
        <v>1211</v>
      </c>
      <c r="BC104" s="103">
        <v>0</v>
      </c>
      <c r="BD104" s="103">
        <v>4783</v>
      </c>
      <c r="BE104" s="103">
        <v>1126</v>
      </c>
      <c r="BF104" s="103">
        <v>85415</v>
      </c>
      <c r="BG104" s="103">
        <v>10943</v>
      </c>
      <c r="BH104" s="103">
        <v>0</v>
      </c>
      <c r="BI104" s="103">
        <v>327062</v>
      </c>
      <c r="BJ104" s="103">
        <v>0</v>
      </c>
      <c r="BK104" s="103">
        <v>0</v>
      </c>
      <c r="BL104" s="103">
        <v>0</v>
      </c>
      <c r="BM104" s="103">
        <v>595</v>
      </c>
      <c r="BN104" s="103">
        <v>6771</v>
      </c>
      <c r="BO104" s="103">
        <v>0</v>
      </c>
      <c r="BP104" s="103">
        <v>223082</v>
      </c>
      <c r="BQ104" s="103">
        <v>42989</v>
      </c>
      <c r="BR104" s="103">
        <v>3196877</v>
      </c>
      <c r="BS104" s="103">
        <v>168566</v>
      </c>
      <c r="BT104" s="103">
        <v>0</v>
      </c>
      <c r="BU104" s="103">
        <v>0</v>
      </c>
      <c r="BV104" s="103">
        <v>0</v>
      </c>
      <c r="BW104" s="103">
        <v>9172</v>
      </c>
      <c r="BX104" s="103">
        <v>9</v>
      </c>
      <c r="BY104" s="103">
        <v>0</v>
      </c>
      <c r="BZ104" s="103">
        <v>3823</v>
      </c>
      <c r="CA104" s="103">
        <v>0</v>
      </c>
      <c r="CB104" s="104">
        <v>7150528</v>
      </c>
      <c r="CC104" s="265"/>
      <c r="CD104" s="105">
        <v>11720347</v>
      </c>
      <c r="CE104" s="105">
        <v>4374860</v>
      </c>
      <c r="CF104" s="106">
        <v>413034</v>
      </c>
      <c r="CG104" s="107">
        <v>265000</v>
      </c>
      <c r="CH104" s="108">
        <v>23923769</v>
      </c>
      <c r="CI104" s="51">
        <f t="shared" si="9"/>
        <v>23923769</v>
      </c>
      <c r="CJ104" s="51">
        <f t="shared" si="10"/>
        <v>0</v>
      </c>
    </row>
    <row r="105" spans="1:88" ht="15" customHeight="1" x14ac:dyDescent="0.25">
      <c r="A105" s="13" t="s">
        <v>17</v>
      </c>
      <c r="B105" s="268"/>
      <c r="C105" s="102">
        <v>85786</v>
      </c>
      <c r="D105" s="103">
        <v>28738</v>
      </c>
      <c r="E105" s="103">
        <v>0</v>
      </c>
      <c r="F105" s="103">
        <v>78674</v>
      </c>
      <c r="G105" s="103">
        <v>29022</v>
      </c>
      <c r="H105" s="103">
        <v>661331</v>
      </c>
      <c r="I105" s="103">
        <v>483769</v>
      </c>
      <c r="J105" s="103">
        <v>0</v>
      </c>
      <c r="K105" s="103">
        <v>106933</v>
      </c>
      <c r="L105" s="103">
        <v>22239</v>
      </c>
      <c r="M105" s="103">
        <v>74959</v>
      </c>
      <c r="N105" s="103">
        <v>260814</v>
      </c>
      <c r="O105" s="103">
        <v>222369</v>
      </c>
      <c r="P105" s="103">
        <v>101267</v>
      </c>
      <c r="Q105" s="103">
        <v>25289</v>
      </c>
      <c r="R105" s="103">
        <v>696147</v>
      </c>
      <c r="S105" s="103">
        <v>72462</v>
      </c>
      <c r="T105" s="103">
        <v>5723089</v>
      </c>
      <c r="U105" s="103">
        <v>257080</v>
      </c>
      <c r="V105" s="103">
        <v>60617</v>
      </c>
      <c r="W105" s="103">
        <v>466059</v>
      </c>
      <c r="X105" s="103">
        <v>562821</v>
      </c>
      <c r="Y105" s="103">
        <v>1288203</v>
      </c>
      <c r="Z105" s="103">
        <v>502749</v>
      </c>
      <c r="AA105" s="103">
        <v>2569664</v>
      </c>
      <c r="AB105" s="103">
        <v>93424</v>
      </c>
      <c r="AC105" s="103">
        <v>760742</v>
      </c>
      <c r="AD105" s="103">
        <v>514469</v>
      </c>
      <c r="AE105" s="103">
        <v>232746</v>
      </c>
      <c r="AF105" s="103">
        <v>98673</v>
      </c>
      <c r="AG105" s="103">
        <v>13522</v>
      </c>
      <c r="AH105" s="103">
        <v>134322</v>
      </c>
      <c r="AI105" s="103">
        <v>54141</v>
      </c>
      <c r="AJ105" s="103">
        <v>9386427</v>
      </c>
      <c r="AK105" s="103">
        <v>291515</v>
      </c>
      <c r="AL105" s="103">
        <v>907056</v>
      </c>
      <c r="AM105" s="103">
        <v>709130</v>
      </c>
      <c r="AN105" s="103">
        <v>900748</v>
      </c>
      <c r="AO105" s="103">
        <v>1746</v>
      </c>
      <c r="AP105" s="103">
        <v>173370</v>
      </c>
      <c r="AQ105" s="103">
        <v>6436</v>
      </c>
      <c r="AR105" s="103">
        <v>17222</v>
      </c>
      <c r="AS105" s="103">
        <v>21943</v>
      </c>
      <c r="AT105" s="103">
        <v>83673</v>
      </c>
      <c r="AU105" s="103">
        <v>0</v>
      </c>
      <c r="AV105" s="103">
        <v>34088</v>
      </c>
      <c r="AW105" s="103">
        <v>3146</v>
      </c>
      <c r="AX105" s="103">
        <v>0</v>
      </c>
      <c r="AY105" s="103">
        <v>61783</v>
      </c>
      <c r="AZ105" s="103">
        <v>185168</v>
      </c>
      <c r="BA105" s="103">
        <v>0</v>
      </c>
      <c r="BB105" s="103">
        <v>55918</v>
      </c>
      <c r="BC105" s="103">
        <v>7167</v>
      </c>
      <c r="BD105" s="103">
        <v>12967</v>
      </c>
      <c r="BE105" s="103">
        <v>25361</v>
      </c>
      <c r="BF105" s="103">
        <v>36727</v>
      </c>
      <c r="BG105" s="103">
        <v>17628</v>
      </c>
      <c r="BH105" s="103">
        <v>2176</v>
      </c>
      <c r="BI105" s="103">
        <v>0</v>
      </c>
      <c r="BJ105" s="103">
        <v>62593</v>
      </c>
      <c r="BK105" s="103">
        <v>2367</v>
      </c>
      <c r="BL105" s="103">
        <v>1348</v>
      </c>
      <c r="BM105" s="103">
        <v>2600</v>
      </c>
      <c r="BN105" s="103">
        <v>41681</v>
      </c>
      <c r="BO105" s="103">
        <v>169328</v>
      </c>
      <c r="BP105" s="103">
        <v>158333</v>
      </c>
      <c r="BQ105" s="103">
        <v>24599</v>
      </c>
      <c r="BR105" s="103">
        <v>58019</v>
      </c>
      <c r="BS105" s="103">
        <v>5067</v>
      </c>
      <c r="BT105" s="103">
        <v>4600</v>
      </c>
      <c r="BU105" s="103">
        <v>2076</v>
      </c>
      <c r="BV105" s="103">
        <v>0</v>
      </c>
      <c r="BW105" s="103">
        <v>8194</v>
      </c>
      <c r="BX105" s="103">
        <v>21908</v>
      </c>
      <c r="BY105" s="103">
        <v>5616</v>
      </c>
      <c r="BZ105" s="103">
        <v>51061</v>
      </c>
      <c r="CA105" s="103">
        <v>0</v>
      </c>
      <c r="CB105" s="104">
        <v>29842905</v>
      </c>
      <c r="CC105" s="265"/>
      <c r="CD105" s="105">
        <v>2313091</v>
      </c>
      <c r="CE105" s="105">
        <v>0</v>
      </c>
      <c r="CF105" s="106">
        <v>284683</v>
      </c>
      <c r="CG105" s="107">
        <v>0</v>
      </c>
      <c r="CH105" s="108">
        <v>32440679</v>
      </c>
      <c r="CI105" s="51">
        <f t="shared" si="9"/>
        <v>32440679</v>
      </c>
      <c r="CJ105" s="51">
        <f t="shared" si="10"/>
        <v>0</v>
      </c>
    </row>
    <row r="106" spans="1:88" ht="15" customHeight="1" x14ac:dyDescent="0.25">
      <c r="A106" s="13" t="s">
        <v>18</v>
      </c>
      <c r="B106" s="268"/>
      <c r="C106" s="102">
        <v>46442</v>
      </c>
      <c r="D106" s="103">
        <v>4745</v>
      </c>
      <c r="E106" s="103">
        <v>0</v>
      </c>
      <c r="F106" s="103">
        <v>7860</v>
      </c>
      <c r="G106" s="103">
        <v>28147</v>
      </c>
      <c r="H106" s="103">
        <v>130444</v>
      </c>
      <c r="I106" s="103">
        <v>112480</v>
      </c>
      <c r="J106" s="103">
        <v>727</v>
      </c>
      <c r="K106" s="103">
        <v>11609</v>
      </c>
      <c r="L106" s="103">
        <v>4682</v>
      </c>
      <c r="M106" s="103">
        <v>6503</v>
      </c>
      <c r="N106" s="103">
        <v>150498</v>
      </c>
      <c r="O106" s="103">
        <v>15374</v>
      </c>
      <c r="P106" s="103">
        <v>5914</v>
      </c>
      <c r="Q106" s="103">
        <v>13835</v>
      </c>
      <c r="R106" s="103">
        <v>103357</v>
      </c>
      <c r="S106" s="103">
        <v>13307</v>
      </c>
      <c r="T106" s="103">
        <v>448112</v>
      </c>
      <c r="U106" s="103">
        <v>1394602</v>
      </c>
      <c r="V106" s="103">
        <v>125935</v>
      </c>
      <c r="W106" s="103">
        <v>222414</v>
      </c>
      <c r="X106" s="103">
        <v>32151</v>
      </c>
      <c r="Y106" s="103">
        <v>176852</v>
      </c>
      <c r="Z106" s="103">
        <v>58405</v>
      </c>
      <c r="AA106" s="103">
        <v>93679</v>
      </c>
      <c r="AB106" s="103">
        <v>32613</v>
      </c>
      <c r="AC106" s="103">
        <v>86371</v>
      </c>
      <c r="AD106" s="103">
        <v>59903</v>
      </c>
      <c r="AE106" s="103">
        <v>39451</v>
      </c>
      <c r="AF106" s="103">
        <v>16084</v>
      </c>
      <c r="AG106" s="103">
        <v>5667</v>
      </c>
      <c r="AH106" s="103">
        <v>37160</v>
      </c>
      <c r="AI106" s="103">
        <v>1742</v>
      </c>
      <c r="AJ106" s="103">
        <v>2789741</v>
      </c>
      <c r="AK106" s="103">
        <v>7367</v>
      </c>
      <c r="AL106" s="103">
        <v>79979</v>
      </c>
      <c r="AM106" s="103">
        <v>88014</v>
      </c>
      <c r="AN106" s="103">
        <v>38428</v>
      </c>
      <c r="AO106" s="103">
        <v>795</v>
      </c>
      <c r="AP106" s="103">
        <v>6126</v>
      </c>
      <c r="AQ106" s="103">
        <v>28264</v>
      </c>
      <c r="AR106" s="103">
        <v>6653</v>
      </c>
      <c r="AS106" s="103">
        <v>601</v>
      </c>
      <c r="AT106" s="103">
        <v>207</v>
      </c>
      <c r="AU106" s="103">
        <v>0</v>
      </c>
      <c r="AV106" s="103">
        <v>4201</v>
      </c>
      <c r="AW106" s="103">
        <v>2105</v>
      </c>
      <c r="AX106" s="103">
        <v>0</v>
      </c>
      <c r="AY106" s="103">
        <v>36827</v>
      </c>
      <c r="AZ106" s="103">
        <v>0</v>
      </c>
      <c r="BA106" s="103">
        <v>892</v>
      </c>
      <c r="BB106" s="103">
        <v>131936</v>
      </c>
      <c r="BC106" s="103">
        <v>288</v>
      </c>
      <c r="BD106" s="103">
        <v>28558</v>
      </c>
      <c r="BE106" s="103">
        <v>20380</v>
      </c>
      <c r="BF106" s="103">
        <v>10419</v>
      </c>
      <c r="BG106" s="103">
        <v>0</v>
      </c>
      <c r="BH106" s="103">
        <v>2242</v>
      </c>
      <c r="BI106" s="103">
        <v>0</v>
      </c>
      <c r="BJ106" s="103">
        <v>25056</v>
      </c>
      <c r="BK106" s="103">
        <v>684</v>
      </c>
      <c r="BL106" s="103">
        <v>0</v>
      </c>
      <c r="BM106" s="103">
        <v>0</v>
      </c>
      <c r="BN106" s="103">
        <v>4109</v>
      </c>
      <c r="BO106" s="103">
        <v>4570</v>
      </c>
      <c r="BP106" s="103">
        <v>17921</v>
      </c>
      <c r="BQ106" s="103">
        <v>17251</v>
      </c>
      <c r="BR106" s="103">
        <v>47975</v>
      </c>
      <c r="BS106" s="103">
        <v>10608</v>
      </c>
      <c r="BT106" s="103">
        <v>253</v>
      </c>
      <c r="BU106" s="103">
        <v>512</v>
      </c>
      <c r="BV106" s="103">
        <v>95</v>
      </c>
      <c r="BW106" s="103">
        <v>780</v>
      </c>
      <c r="BX106" s="103">
        <v>28954</v>
      </c>
      <c r="BY106" s="103">
        <v>0</v>
      </c>
      <c r="BZ106" s="103">
        <v>8721</v>
      </c>
      <c r="CA106" s="103">
        <v>0</v>
      </c>
      <c r="CB106" s="104">
        <v>6938577</v>
      </c>
      <c r="CC106" s="265"/>
      <c r="CD106" s="105">
        <v>1780880</v>
      </c>
      <c r="CE106" s="105">
        <v>0</v>
      </c>
      <c r="CF106" s="106">
        <v>468284</v>
      </c>
      <c r="CG106" s="107">
        <v>50000</v>
      </c>
      <c r="CH106" s="108">
        <v>9237741</v>
      </c>
      <c r="CI106" s="51">
        <f t="shared" si="9"/>
        <v>9237741</v>
      </c>
      <c r="CJ106" s="51">
        <f t="shared" si="10"/>
        <v>0</v>
      </c>
    </row>
    <row r="107" spans="1:88" ht="15" customHeight="1" x14ac:dyDescent="0.25">
      <c r="A107" s="13" t="s">
        <v>19</v>
      </c>
      <c r="B107" s="268"/>
      <c r="C107" s="102">
        <v>34538</v>
      </c>
      <c r="D107" s="103">
        <v>5197</v>
      </c>
      <c r="E107" s="103">
        <v>0</v>
      </c>
      <c r="F107" s="103">
        <v>58335</v>
      </c>
      <c r="G107" s="103">
        <v>55142</v>
      </c>
      <c r="H107" s="103">
        <v>104620</v>
      </c>
      <c r="I107" s="103">
        <v>163480</v>
      </c>
      <c r="J107" s="103">
        <v>0</v>
      </c>
      <c r="K107" s="103">
        <v>50285</v>
      </c>
      <c r="L107" s="103">
        <v>10341</v>
      </c>
      <c r="M107" s="103">
        <v>6273</v>
      </c>
      <c r="N107" s="103">
        <v>109624</v>
      </c>
      <c r="O107" s="103">
        <v>31214</v>
      </c>
      <c r="P107" s="103">
        <v>26013</v>
      </c>
      <c r="Q107" s="103">
        <v>45119</v>
      </c>
      <c r="R107" s="103">
        <v>111831</v>
      </c>
      <c r="S107" s="103">
        <v>6308</v>
      </c>
      <c r="T107" s="103">
        <v>373943</v>
      </c>
      <c r="U107" s="103">
        <v>227334</v>
      </c>
      <c r="V107" s="103">
        <v>11603585</v>
      </c>
      <c r="W107" s="103">
        <v>11232669</v>
      </c>
      <c r="X107" s="103">
        <v>826857</v>
      </c>
      <c r="Y107" s="103">
        <v>3318504</v>
      </c>
      <c r="Z107" s="103">
        <v>2282428</v>
      </c>
      <c r="AA107" s="103">
        <v>3649538</v>
      </c>
      <c r="AB107" s="103">
        <v>845458</v>
      </c>
      <c r="AC107" s="103">
        <v>312425</v>
      </c>
      <c r="AD107" s="103">
        <v>349159</v>
      </c>
      <c r="AE107" s="103">
        <v>731354</v>
      </c>
      <c r="AF107" s="103">
        <v>80603</v>
      </c>
      <c r="AG107" s="103">
        <v>7836</v>
      </c>
      <c r="AH107" s="103">
        <v>1497713</v>
      </c>
      <c r="AI107" s="103">
        <v>7609</v>
      </c>
      <c r="AJ107" s="103">
        <v>1736147</v>
      </c>
      <c r="AK107" s="103">
        <v>80665</v>
      </c>
      <c r="AL107" s="103">
        <v>571531</v>
      </c>
      <c r="AM107" s="103">
        <v>132313</v>
      </c>
      <c r="AN107" s="103">
        <v>236260</v>
      </c>
      <c r="AO107" s="103">
        <v>7557</v>
      </c>
      <c r="AP107" s="103">
        <v>13957</v>
      </c>
      <c r="AQ107" s="103">
        <v>0</v>
      </c>
      <c r="AR107" s="103">
        <v>0</v>
      </c>
      <c r="AS107" s="103">
        <v>3991</v>
      </c>
      <c r="AT107" s="103">
        <v>0</v>
      </c>
      <c r="AU107" s="103">
        <v>0</v>
      </c>
      <c r="AV107" s="103">
        <v>23221</v>
      </c>
      <c r="AW107" s="103">
        <v>8191</v>
      </c>
      <c r="AX107" s="103">
        <v>0</v>
      </c>
      <c r="AY107" s="103">
        <v>5926</v>
      </c>
      <c r="AZ107" s="103">
        <v>0</v>
      </c>
      <c r="BA107" s="103">
        <v>0</v>
      </c>
      <c r="BB107" s="103">
        <v>79380</v>
      </c>
      <c r="BC107" s="103">
        <v>0</v>
      </c>
      <c r="BD107" s="103">
        <v>0</v>
      </c>
      <c r="BE107" s="103">
        <v>66324</v>
      </c>
      <c r="BF107" s="103">
        <v>87410</v>
      </c>
      <c r="BG107" s="103">
        <v>43142</v>
      </c>
      <c r="BH107" s="103">
        <v>3805</v>
      </c>
      <c r="BI107" s="103">
        <v>0</v>
      </c>
      <c r="BJ107" s="103">
        <v>84817</v>
      </c>
      <c r="BK107" s="103">
        <v>0</v>
      </c>
      <c r="BL107" s="103">
        <v>0</v>
      </c>
      <c r="BM107" s="103">
        <v>0</v>
      </c>
      <c r="BN107" s="103">
        <v>24632</v>
      </c>
      <c r="BO107" s="103">
        <v>11649</v>
      </c>
      <c r="BP107" s="103">
        <v>64295</v>
      </c>
      <c r="BQ107" s="103">
        <v>9581</v>
      </c>
      <c r="BR107" s="103">
        <v>2430</v>
      </c>
      <c r="BS107" s="103">
        <v>0</v>
      </c>
      <c r="BT107" s="103">
        <v>0</v>
      </c>
      <c r="BU107" s="103">
        <v>0</v>
      </c>
      <c r="BV107" s="103">
        <v>0</v>
      </c>
      <c r="BW107" s="103">
        <v>0</v>
      </c>
      <c r="BX107" s="103">
        <v>29761</v>
      </c>
      <c r="BY107" s="103">
        <v>10431</v>
      </c>
      <c r="BZ107" s="103">
        <v>28310</v>
      </c>
      <c r="CA107" s="103">
        <v>0</v>
      </c>
      <c r="CB107" s="104">
        <v>41531061</v>
      </c>
      <c r="CC107" s="265"/>
      <c r="CD107" s="105">
        <v>246362</v>
      </c>
      <c r="CE107" s="105">
        <v>0</v>
      </c>
      <c r="CF107" s="106">
        <v>564247</v>
      </c>
      <c r="CG107" s="107">
        <v>3577331</v>
      </c>
      <c r="CH107" s="108">
        <v>45919001</v>
      </c>
      <c r="CI107" s="51">
        <f t="shared" si="9"/>
        <v>45919001</v>
      </c>
      <c r="CJ107" s="51">
        <f t="shared" si="10"/>
        <v>0</v>
      </c>
    </row>
    <row r="108" spans="1:88" ht="15" customHeight="1" x14ac:dyDescent="0.25">
      <c r="A108" s="13" t="s">
        <v>20</v>
      </c>
      <c r="B108" s="268"/>
      <c r="C108" s="102">
        <v>267904</v>
      </c>
      <c r="D108" s="103">
        <v>44041</v>
      </c>
      <c r="E108" s="103">
        <v>0</v>
      </c>
      <c r="F108" s="103">
        <v>207095</v>
      </c>
      <c r="G108" s="103">
        <v>67548</v>
      </c>
      <c r="H108" s="103">
        <v>266539</v>
      </c>
      <c r="I108" s="103">
        <v>585922</v>
      </c>
      <c r="J108" s="103">
        <v>3915</v>
      </c>
      <c r="K108" s="103">
        <v>17922</v>
      </c>
      <c r="L108" s="103">
        <v>7670</v>
      </c>
      <c r="M108" s="103">
        <v>12659</v>
      </c>
      <c r="N108" s="103">
        <v>574702</v>
      </c>
      <c r="O108" s="103">
        <v>63963</v>
      </c>
      <c r="P108" s="103">
        <v>11070</v>
      </c>
      <c r="Q108" s="103">
        <v>19622</v>
      </c>
      <c r="R108" s="103">
        <v>146912</v>
      </c>
      <c r="S108" s="103">
        <v>7969</v>
      </c>
      <c r="T108" s="103">
        <v>771714</v>
      </c>
      <c r="U108" s="103">
        <v>212922</v>
      </c>
      <c r="V108" s="103">
        <v>260139</v>
      </c>
      <c r="W108" s="103">
        <v>2302557</v>
      </c>
      <c r="X108" s="103">
        <v>132942</v>
      </c>
      <c r="Y108" s="103">
        <v>1242456</v>
      </c>
      <c r="Z108" s="103">
        <v>1267393</v>
      </c>
      <c r="AA108" s="103">
        <v>3942311</v>
      </c>
      <c r="AB108" s="103">
        <v>558114</v>
      </c>
      <c r="AC108" s="103">
        <v>817246</v>
      </c>
      <c r="AD108" s="103">
        <v>116147</v>
      </c>
      <c r="AE108" s="103">
        <v>1158323</v>
      </c>
      <c r="AF108" s="103">
        <v>219236</v>
      </c>
      <c r="AG108" s="103">
        <v>10336</v>
      </c>
      <c r="AH108" s="103">
        <v>83518</v>
      </c>
      <c r="AI108" s="103">
        <v>17638</v>
      </c>
      <c r="AJ108" s="103">
        <v>4504903</v>
      </c>
      <c r="AK108" s="103">
        <v>165461</v>
      </c>
      <c r="AL108" s="103">
        <v>696483</v>
      </c>
      <c r="AM108" s="103">
        <v>248644</v>
      </c>
      <c r="AN108" s="103">
        <v>115677</v>
      </c>
      <c r="AO108" s="103">
        <v>1481</v>
      </c>
      <c r="AP108" s="103">
        <v>22881</v>
      </c>
      <c r="AQ108" s="103">
        <v>11671</v>
      </c>
      <c r="AR108" s="103">
        <v>9861</v>
      </c>
      <c r="AS108" s="103">
        <v>7087</v>
      </c>
      <c r="AT108" s="103">
        <v>0</v>
      </c>
      <c r="AU108" s="103">
        <v>0</v>
      </c>
      <c r="AV108" s="103">
        <v>5179</v>
      </c>
      <c r="AW108" s="103">
        <v>19150</v>
      </c>
      <c r="AX108" s="103">
        <v>0</v>
      </c>
      <c r="AY108" s="103">
        <v>15522</v>
      </c>
      <c r="AZ108" s="103">
        <v>0</v>
      </c>
      <c r="BA108" s="103">
        <v>0</v>
      </c>
      <c r="BB108" s="103">
        <v>213911</v>
      </c>
      <c r="BC108" s="103">
        <v>0</v>
      </c>
      <c r="BD108" s="103">
        <v>3315</v>
      </c>
      <c r="BE108" s="103">
        <v>242824</v>
      </c>
      <c r="BF108" s="103">
        <v>43271</v>
      </c>
      <c r="BG108" s="103">
        <v>12044</v>
      </c>
      <c r="BH108" s="103">
        <v>6730</v>
      </c>
      <c r="BI108" s="103">
        <v>0</v>
      </c>
      <c r="BJ108" s="103">
        <v>72490</v>
      </c>
      <c r="BK108" s="103">
        <v>3759</v>
      </c>
      <c r="BL108" s="103">
        <v>0</v>
      </c>
      <c r="BM108" s="103">
        <v>3661</v>
      </c>
      <c r="BN108" s="103">
        <v>25366</v>
      </c>
      <c r="BO108" s="103">
        <v>0</v>
      </c>
      <c r="BP108" s="103">
        <v>378870</v>
      </c>
      <c r="BQ108" s="103">
        <v>26816</v>
      </c>
      <c r="BR108" s="103">
        <v>36575</v>
      </c>
      <c r="BS108" s="103">
        <v>0</v>
      </c>
      <c r="BT108" s="103">
        <v>3163</v>
      </c>
      <c r="BU108" s="103">
        <v>0</v>
      </c>
      <c r="BV108" s="103">
        <v>0</v>
      </c>
      <c r="BW108" s="103">
        <v>2992</v>
      </c>
      <c r="BX108" s="103">
        <v>43132</v>
      </c>
      <c r="BY108" s="103">
        <v>0</v>
      </c>
      <c r="BZ108" s="103">
        <v>42798</v>
      </c>
      <c r="CA108" s="103">
        <v>0</v>
      </c>
      <c r="CB108" s="104">
        <v>22404162</v>
      </c>
      <c r="CC108" s="265"/>
      <c r="CD108" s="105">
        <v>1392719</v>
      </c>
      <c r="CE108" s="105">
        <v>0</v>
      </c>
      <c r="CF108" s="106">
        <v>3171387</v>
      </c>
      <c r="CG108" s="107">
        <v>1680000</v>
      </c>
      <c r="CH108" s="108">
        <v>28648268</v>
      </c>
      <c r="CI108" s="51">
        <f t="shared" si="9"/>
        <v>28648268</v>
      </c>
      <c r="CJ108" s="51">
        <f t="shared" si="10"/>
        <v>0</v>
      </c>
    </row>
    <row r="109" spans="1:88" ht="15" customHeight="1" x14ac:dyDescent="0.25">
      <c r="A109" s="13" t="s">
        <v>21</v>
      </c>
      <c r="B109" s="268"/>
      <c r="C109" s="102">
        <v>7115</v>
      </c>
      <c r="D109" s="103">
        <v>13548</v>
      </c>
      <c r="E109" s="103">
        <v>0</v>
      </c>
      <c r="F109" s="103">
        <v>11185</v>
      </c>
      <c r="G109" s="103">
        <v>8157</v>
      </c>
      <c r="H109" s="103">
        <v>29111</v>
      </c>
      <c r="I109" s="103">
        <v>3522</v>
      </c>
      <c r="J109" s="103">
        <v>3147</v>
      </c>
      <c r="K109" s="103">
        <v>4247</v>
      </c>
      <c r="L109" s="103">
        <v>4175</v>
      </c>
      <c r="M109" s="103">
        <v>1683</v>
      </c>
      <c r="N109" s="103">
        <v>13513</v>
      </c>
      <c r="O109" s="103">
        <v>15954</v>
      </c>
      <c r="P109" s="103">
        <v>46580</v>
      </c>
      <c r="Q109" s="103">
        <v>20883</v>
      </c>
      <c r="R109" s="103">
        <v>34219</v>
      </c>
      <c r="S109" s="103">
        <v>11611</v>
      </c>
      <c r="T109" s="103">
        <v>51648</v>
      </c>
      <c r="U109" s="103">
        <v>30278</v>
      </c>
      <c r="V109" s="103">
        <v>24539</v>
      </c>
      <c r="W109" s="103">
        <v>236381</v>
      </c>
      <c r="X109" s="103">
        <v>10086062</v>
      </c>
      <c r="Y109" s="103">
        <v>1156517</v>
      </c>
      <c r="Z109" s="103">
        <v>378817</v>
      </c>
      <c r="AA109" s="103">
        <v>598563</v>
      </c>
      <c r="AB109" s="103">
        <v>50331</v>
      </c>
      <c r="AC109" s="103">
        <v>41648</v>
      </c>
      <c r="AD109" s="103">
        <v>19973</v>
      </c>
      <c r="AE109" s="103">
        <v>623267</v>
      </c>
      <c r="AF109" s="103">
        <v>407215</v>
      </c>
      <c r="AG109" s="103">
        <v>9223</v>
      </c>
      <c r="AH109" s="103">
        <v>12119</v>
      </c>
      <c r="AI109" s="103">
        <v>6408</v>
      </c>
      <c r="AJ109" s="103">
        <v>647049</v>
      </c>
      <c r="AK109" s="103">
        <v>65302</v>
      </c>
      <c r="AL109" s="103">
        <v>304476</v>
      </c>
      <c r="AM109" s="103">
        <v>233234</v>
      </c>
      <c r="AN109" s="103">
        <v>173196</v>
      </c>
      <c r="AO109" s="103">
        <v>19528</v>
      </c>
      <c r="AP109" s="103">
        <v>62503</v>
      </c>
      <c r="AQ109" s="103">
        <v>4854</v>
      </c>
      <c r="AR109" s="103">
        <v>6054</v>
      </c>
      <c r="AS109" s="103">
        <v>4255</v>
      </c>
      <c r="AT109" s="103">
        <v>17316</v>
      </c>
      <c r="AU109" s="103">
        <v>10528</v>
      </c>
      <c r="AV109" s="103">
        <v>3959097</v>
      </c>
      <c r="AW109" s="103">
        <v>984051</v>
      </c>
      <c r="AX109" s="103">
        <v>97423</v>
      </c>
      <c r="AY109" s="103">
        <v>51580</v>
      </c>
      <c r="AZ109" s="103">
        <v>121003</v>
      </c>
      <c r="BA109" s="103">
        <v>21513</v>
      </c>
      <c r="BB109" s="103">
        <v>61459</v>
      </c>
      <c r="BC109" s="103">
        <v>67836</v>
      </c>
      <c r="BD109" s="103">
        <v>32065</v>
      </c>
      <c r="BE109" s="103">
        <v>161985</v>
      </c>
      <c r="BF109" s="103">
        <v>185949</v>
      </c>
      <c r="BG109" s="103">
        <v>30913</v>
      </c>
      <c r="BH109" s="103">
        <v>25237</v>
      </c>
      <c r="BI109" s="103">
        <v>0</v>
      </c>
      <c r="BJ109" s="103">
        <v>40408</v>
      </c>
      <c r="BK109" s="103">
        <v>7005</v>
      </c>
      <c r="BL109" s="103">
        <v>2707</v>
      </c>
      <c r="BM109" s="103">
        <v>117377</v>
      </c>
      <c r="BN109" s="103">
        <v>3048</v>
      </c>
      <c r="BO109" s="103">
        <v>3707</v>
      </c>
      <c r="BP109" s="103">
        <v>351486</v>
      </c>
      <c r="BQ109" s="103">
        <v>125842</v>
      </c>
      <c r="BR109" s="103">
        <v>407563</v>
      </c>
      <c r="BS109" s="103">
        <v>2567</v>
      </c>
      <c r="BT109" s="103">
        <v>35047</v>
      </c>
      <c r="BU109" s="103">
        <v>1412</v>
      </c>
      <c r="BV109" s="103">
        <v>8787</v>
      </c>
      <c r="BW109" s="103">
        <v>8044</v>
      </c>
      <c r="BX109" s="103">
        <v>61181</v>
      </c>
      <c r="BY109" s="103">
        <v>384138</v>
      </c>
      <c r="BZ109" s="103">
        <v>15572</v>
      </c>
      <c r="CA109" s="103">
        <v>0</v>
      </c>
      <c r="CB109" s="104">
        <v>22885936</v>
      </c>
      <c r="CC109" s="265"/>
      <c r="CD109" s="105">
        <v>12852623</v>
      </c>
      <c r="CE109" s="105">
        <v>182828</v>
      </c>
      <c r="CF109" s="106">
        <v>15469745</v>
      </c>
      <c r="CG109" s="107">
        <v>31896590</v>
      </c>
      <c r="CH109" s="108">
        <v>83287722</v>
      </c>
      <c r="CI109" s="51">
        <f t="shared" si="9"/>
        <v>83287722</v>
      </c>
      <c r="CJ109" s="51">
        <f t="shared" si="10"/>
        <v>0</v>
      </c>
    </row>
    <row r="110" spans="1:88" ht="15" customHeight="1" x14ac:dyDescent="0.25">
      <c r="A110" s="13" t="s">
        <v>22</v>
      </c>
      <c r="B110" s="268"/>
      <c r="C110" s="102">
        <v>123301</v>
      </c>
      <c r="D110" s="103">
        <v>3591</v>
      </c>
      <c r="E110" s="103">
        <v>672</v>
      </c>
      <c r="F110" s="103">
        <v>98052</v>
      </c>
      <c r="G110" s="103">
        <v>21878</v>
      </c>
      <c r="H110" s="103">
        <v>52316</v>
      </c>
      <c r="I110" s="103">
        <v>10468</v>
      </c>
      <c r="J110" s="103">
        <v>4301</v>
      </c>
      <c r="K110" s="103">
        <v>10763</v>
      </c>
      <c r="L110" s="103">
        <v>9220</v>
      </c>
      <c r="M110" s="103">
        <v>4490</v>
      </c>
      <c r="N110" s="103">
        <v>32043</v>
      </c>
      <c r="O110" s="103">
        <v>27889</v>
      </c>
      <c r="P110" s="103">
        <v>5828</v>
      </c>
      <c r="Q110" s="103">
        <v>36507</v>
      </c>
      <c r="R110" s="103">
        <v>43306</v>
      </c>
      <c r="S110" s="103">
        <v>8059</v>
      </c>
      <c r="T110" s="103">
        <v>135790</v>
      </c>
      <c r="U110" s="103">
        <v>118886</v>
      </c>
      <c r="V110" s="103">
        <v>607944</v>
      </c>
      <c r="W110" s="103">
        <v>280200</v>
      </c>
      <c r="X110" s="103">
        <v>2849031</v>
      </c>
      <c r="Y110" s="103">
        <v>7060192</v>
      </c>
      <c r="Z110" s="103">
        <v>1261594</v>
      </c>
      <c r="AA110" s="103">
        <v>1672206</v>
      </c>
      <c r="AB110" s="103">
        <v>230173</v>
      </c>
      <c r="AC110" s="103">
        <v>59344</v>
      </c>
      <c r="AD110" s="103">
        <v>4341</v>
      </c>
      <c r="AE110" s="103">
        <v>607620</v>
      </c>
      <c r="AF110" s="103">
        <v>1238501</v>
      </c>
      <c r="AG110" s="103">
        <v>13062</v>
      </c>
      <c r="AH110" s="103">
        <v>57000</v>
      </c>
      <c r="AI110" s="103">
        <v>7584</v>
      </c>
      <c r="AJ110" s="103">
        <v>3890633</v>
      </c>
      <c r="AK110" s="103">
        <v>68890</v>
      </c>
      <c r="AL110" s="103">
        <v>538463</v>
      </c>
      <c r="AM110" s="103">
        <v>324411</v>
      </c>
      <c r="AN110" s="103">
        <v>872994</v>
      </c>
      <c r="AO110" s="103">
        <v>23566</v>
      </c>
      <c r="AP110" s="103">
        <v>41483</v>
      </c>
      <c r="AQ110" s="103">
        <v>14254</v>
      </c>
      <c r="AR110" s="103">
        <v>9649</v>
      </c>
      <c r="AS110" s="103">
        <v>3242</v>
      </c>
      <c r="AT110" s="103">
        <v>93</v>
      </c>
      <c r="AU110" s="103">
        <v>714</v>
      </c>
      <c r="AV110" s="103">
        <v>228980</v>
      </c>
      <c r="AW110" s="103">
        <v>95797</v>
      </c>
      <c r="AX110" s="103">
        <v>0</v>
      </c>
      <c r="AY110" s="103">
        <v>39897</v>
      </c>
      <c r="AZ110" s="103">
        <v>17425</v>
      </c>
      <c r="BA110" s="103">
        <v>723</v>
      </c>
      <c r="BB110" s="103">
        <v>234091</v>
      </c>
      <c r="BC110" s="103">
        <v>2883</v>
      </c>
      <c r="BD110" s="103">
        <v>34927</v>
      </c>
      <c r="BE110" s="103">
        <v>80733</v>
      </c>
      <c r="BF110" s="103">
        <v>107639</v>
      </c>
      <c r="BG110" s="103">
        <v>4607</v>
      </c>
      <c r="BH110" s="103">
        <v>1913</v>
      </c>
      <c r="BI110" s="103">
        <v>0</v>
      </c>
      <c r="BJ110" s="103">
        <v>123751</v>
      </c>
      <c r="BK110" s="103">
        <v>0</v>
      </c>
      <c r="BL110" s="103">
        <v>0</v>
      </c>
      <c r="BM110" s="103">
        <v>16317</v>
      </c>
      <c r="BN110" s="103">
        <v>3300</v>
      </c>
      <c r="BO110" s="103">
        <v>7323</v>
      </c>
      <c r="BP110" s="103">
        <v>383086</v>
      </c>
      <c r="BQ110" s="103">
        <v>181530</v>
      </c>
      <c r="BR110" s="103">
        <v>272119</v>
      </c>
      <c r="BS110" s="103">
        <v>12394</v>
      </c>
      <c r="BT110" s="103">
        <v>7309</v>
      </c>
      <c r="BU110" s="103">
        <v>2263</v>
      </c>
      <c r="BV110" s="103">
        <v>571</v>
      </c>
      <c r="BW110" s="103">
        <v>9155</v>
      </c>
      <c r="BX110" s="103">
        <v>35988</v>
      </c>
      <c r="BY110" s="103">
        <v>553048</v>
      </c>
      <c r="BZ110" s="103">
        <v>35705</v>
      </c>
      <c r="CA110" s="103">
        <v>0</v>
      </c>
      <c r="CB110" s="104">
        <v>24978018</v>
      </c>
      <c r="CC110" s="265"/>
      <c r="CD110" s="105">
        <v>6121013</v>
      </c>
      <c r="CE110" s="105">
        <v>96946</v>
      </c>
      <c r="CF110" s="106">
        <v>6391886</v>
      </c>
      <c r="CG110" s="107">
        <v>5854340</v>
      </c>
      <c r="CH110" s="108">
        <v>43442203</v>
      </c>
      <c r="CI110" s="51">
        <f t="shared" si="9"/>
        <v>43442203</v>
      </c>
      <c r="CJ110" s="51">
        <f t="shared" si="10"/>
        <v>0</v>
      </c>
    </row>
    <row r="111" spans="1:88" ht="15" customHeight="1" x14ac:dyDescent="0.25">
      <c r="A111" s="13" t="s">
        <v>23</v>
      </c>
      <c r="B111" s="268"/>
      <c r="C111" s="102">
        <v>1177996</v>
      </c>
      <c r="D111" s="103">
        <v>22597</v>
      </c>
      <c r="E111" s="103">
        <v>0</v>
      </c>
      <c r="F111" s="103">
        <v>354267</v>
      </c>
      <c r="G111" s="103">
        <v>215042</v>
      </c>
      <c r="H111" s="103">
        <v>324893</v>
      </c>
      <c r="I111" s="103">
        <v>108848</v>
      </c>
      <c r="J111" s="103">
        <v>21242</v>
      </c>
      <c r="K111" s="103">
        <v>206041</v>
      </c>
      <c r="L111" s="103">
        <v>100791</v>
      </c>
      <c r="M111" s="103">
        <v>17166</v>
      </c>
      <c r="N111" s="103">
        <v>147356</v>
      </c>
      <c r="O111" s="103">
        <v>289960</v>
      </c>
      <c r="P111" s="103">
        <v>53373</v>
      </c>
      <c r="Q111" s="103">
        <v>300927</v>
      </c>
      <c r="R111" s="103">
        <v>297872</v>
      </c>
      <c r="S111" s="103">
        <v>30869</v>
      </c>
      <c r="T111" s="103">
        <v>117653</v>
      </c>
      <c r="U111" s="103">
        <v>129519</v>
      </c>
      <c r="V111" s="103">
        <v>241787</v>
      </c>
      <c r="W111" s="103">
        <v>1202317</v>
      </c>
      <c r="X111" s="103">
        <v>234763</v>
      </c>
      <c r="Y111" s="103">
        <v>1243184</v>
      </c>
      <c r="Z111" s="103">
        <v>3458763</v>
      </c>
      <c r="AA111" s="103">
        <v>3916683</v>
      </c>
      <c r="AB111" s="103">
        <v>928725</v>
      </c>
      <c r="AC111" s="103">
        <v>113795</v>
      </c>
      <c r="AD111" s="103">
        <v>177363</v>
      </c>
      <c r="AE111" s="103">
        <v>3494715</v>
      </c>
      <c r="AF111" s="103">
        <v>712813</v>
      </c>
      <c r="AG111" s="103">
        <v>51442</v>
      </c>
      <c r="AH111" s="103">
        <v>106913</v>
      </c>
      <c r="AI111" s="103">
        <v>101511</v>
      </c>
      <c r="AJ111" s="103">
        <v>1924065</v>
      </c>
      <c r="AK111" s="103">
        <v>271699</v>
      </c>
      <c r="AL111" s="103">
        <v>557480</v>
      </c>
      <c r="AM111" s="103">
        <v>572658</v>
      </c>
      <c r="AN111" s="103">
        <v>262163</v>
      </c>
      <c r="AO111" s="103">
        <v>5034</v>
      </c>
      <c r="AP111" s="103">
        <v>111027</v>
      </c>
      <c r="AQ111" s="103">
        <v>13010</v>
      </c>
      <c r="AR111" s="103">
        <v>53325</v>
      </c>
      <c r="AS111" s="103">
        <v>39642</v>
      </c>
      <c r="AT111" s="103">
        <v>26474</v>
      </c>
      <c r="AU111" s="103">
        <v>2873</v>
      </c>
      <c r="AV111" s="103">
        <v>55904</v>
      </c>
      <c r="AW111" s="103">
        <v>85959</v>
      </c>
      <c r="AX111" s="103">
        <v>6344</v>
      </c>
      <c r="AY111" s="103">
        <v>54216</v>
      </c>
      <c r="AZ111" s="103">
        <v>74446</v>
      </c>
      <c r="BA111" s="103">
        <v>318</v>
      </c>
      <c r="BB111" s="103">
        <v>293219</v>
      </c>
      <c r="BC111" s="103">
        <v>9573</v>
      </c>
      <c r="BD111" s="103">
        <v>49181</v>
      </c>
      <c r="BE111" s="103">
        <v>80027</v>
      </c>
      <c r="BF111" s="103">
        <v>192759</v>
      </c>
      <c r="BG111" s="103">
        <v>13738</v>
      </c>
      <c r="BH111" s="103">
        <v>50516</v>
      </c>
      <c r="BI111" s="103">
        <v>0</v>
      </c>
      <c r="BJ111" s="103">
        <v>403989</v>
      </c>
      <c r="BK111" s="103">
        <v>8365</v>
      </c>
      <c r="BL111" s="103">
        <v>2985</v>
      </c>
      <c r="BM111" s="103">
        <v>18622</v>
      </c>
      <c r="BN111" s="103">
        <v>57556</v>
      </c>
      <c r="BO111" s="103">
        <v>16917</v>
      </c>
      <c r="BP111" s="103">
        <v>94018</v>
      </c>
      <c r="BQ111" s="103">
        <v>47025</v>
      </c>
      <c r="BR111" s="103">
        <v>51735</v>
      </c>
      <c r="BS111" s="103">
        <v>3302</v>
      </c>
      <c r="BT111" s="103">
        <v>4822</v>
      </c>
      <c r="BU111" s="103">
        <v>1178</v>
      </c>
      <c r="BV111" s="103">
        <v>13183</v>
      </c>
      <c r="BW111" s="103">
        <v>9434</v>
      </c>
      <c r="BX111" s="103">
        <v>20389</v>
      </c>
      <c r="BY111" s="103">
        <v>2977</v>
      </c>
      <c r="BZ111" s="103">
        <v>19958</v>
      </c>
      <c r="CA111" s="103">
        <v>0</v>
      </c>
      <c r="CB111" s="104">
        <v>25483291</v>
      </c>
      <c r="CC111" s="265"/>
      <c r="CD111" s="105">
        <v>1484563</v>
      </c>
      <c r="CE111" s="105">
        <v>16983</v>
      </c>
      <c r="CF111" s="106">
        <v>31990462</v>
      </c>
      <c r="CG111" s="107">
        <v>9858916</v>
      </c>
      <c r="CH111" s="108">
        <v>68834215</v>
      </c>
      <c r="CI111" s="51">
        <f t="shared" si="9"/>
        <v>68834215</v>
      </c>
      <c r="CJ111" s="51">
        <f t="shared" si="10"/>
        <v>0</v>
      </c>
    </row>
    <row r="112" spans="1:88" ht="15" customHeight="1" x14ac:dyDescent="0.25">
      <c r="A112" s="13" t="s">
        <v>24</v>
      </c>
      <c r="B112" s="268"/>
      <c r="C112" s="102">
        <v>54035</v>
      </c>
      <c r="D112" s="103">
        <v>70011</v>
      </c>
      <c r="E112" s="103">
        <v>0</v>
      </c>
      <c r="F112" s="103">
        <v>4178</v>
      </c>
      <c r="G112" s="103">
        <v>21012</v>
      </c>
      <c r="H112" s="103">
        <v>137488</v>
      </c>
      <c r="I112" s="103">
        <v>11988</v>
      </c>
      <c r="J112" s="103">
        <v>0</v>
      </c>
      <c r="K112" s="103">
        <v>3255</v>
      </c>
      <c r="L112" s="103">
        <v>5025</v>
      </c>
      <c r="M112" s="103">
        <v>1722</v>
      </c>
      <c r="N112" s="103">
        <v>42237</v>
      </c>
      <c r="O112" s="103">
        <v>9570</v>
      </c>
      <c r="P112" s="103">
        <v>5903</v>
      </c>
      <c r="Q112" s="103">
        <v>3976</v>
      </c>
      <c r="R112" s="103">
        <v>13108</v>
      </c>
      <c r="S112" s="103">
        <v>4780</v>
      </c>
      <c r="T112" s="103">
        <v>155114</v>
      </c>
      <c r="U112" s="103">
        <v>52842</v>
      </c>
      <c r="V112" s="103">
        <v>4610</v>
      </c>
      <c r="W112" s="103">
        <v>173521</v>
      </c>
      <c r="X112" s="103">
        <v>1333</v>
      </c>
      <c r="Y112" s="103">
        <v>54286</v>
      </c>
      <c r="Z112" s="103">
        <v>248212</v>
      </c>
      <c r="AA112" s="103">
        <v>19540665</v>
      </c>
      <c r="AB112" s="103">
        <v>123627</v>
      </c>
      <c r="AC112" s="103">
        <v>104082</v>
      </c>
      <c r="AD112" s="103">
        <v>2976</v>
      </c>
      <c r="AE112" s="103">
        <v>1400721</v>
      </c>
      <c r="AF112" s="103">
        <v>18964</v>
      </c>
      <c r="AG112" s="103">
        <v>13919</v>
      </c>
      <c r="AH112" s="103">
        <v>65665</v>
      </c>
      <c r="AI112" s="103">
        <v>28435</v>
      </c>
      <c r="AJ112" s="103">
        <v>216141</v>
      </c>
      <c r="AK112" s="103">
        <v>422856</v>
      </c>
      <c r="AL112" s="103">
        <v>106261</v>
      </c>
      <c r="AM112" s="103">
        <v>44019</v>
      </c>
      <c r="AN112" s="103">
        <v>3612019</v>
      </c>
      <c r="AO112" s="103">
        <v>0</v>
      </c>
      <c r="AP112" s="103">
        <v>136692</v>
      </c>
      <c r="AQ112" s="103">
        <v>10547</v>
      </c>
      <c r="AR112" s="103">
        <v>12246</v>
      </c>
      <c r="AS112" s="103">
        <v>6436</v>
      </c>
      <c r="AT112" s="103">
        <v>3497</v>
      </c>
      <c r="AU112" s="103">
        <v>0</v>
      </c>
      <c r="AV112" s="103">
        <v>29376</v>
      </c>
      <c r="AW112" s="103">
        <v>21441</v>
      </c>
      <c r="AX112" s="103">
        <v>3162</v>
      </c>
      <c r="AY112" s="103">
        <v>175384</v>
      </c>
      <c r="AZ112" s="103">
        <v>0</v>
      </c>
      <c r="BA112" s="103">
        <v>2641</v>
      </c>
      <c r="BB112" s="103">
        <v>24574</v>
      </c>
      <c r="BC112" s="103">
        <v>7909</v>
      </c>
      <c r="BD112" s="103">
        <v>13901</v>
      </c>
      <c r="BE112" s="103">
        <v>22067</v>
      </c>
      <c r="BF112" s="103">
        <v>7870</v>
      </c>
      <c r="BG112" s="103">
        <v>10525</v>
      </c>
      <c r="BH112" s="103">
        <v>9797</v>
      </c>
      <c r="BI112" s="103">
        <v>2577</v>
      </c>
      <c r="BJ112" s="103">
        <v>62995</v>
      </c>
      <c r="BK112" s="103">
        <v>8588</v>
      </c>
      <c r="BL112" s="103">
        <v>16690</v>
      </c>
      <c r="BM112" s="103">
        <v>17648</v>
      </c>
      <c r="BN112" s="103">
        <v>34169</v>
      </c>
      <c r="BO112" s="103">
        <v>3415</v>
      </c>
      <c r="BP112" s="103">
        <v>115829</v>
      </c>
      <c r="BQ112" s="103">
        <v>25920</v>
      </c>
      <c r="BR112" s="103">
        <v>11091</v>
      </c>
      <c r="BS112" s="103">
        <v>4593</v>
      </c>
      <c r="BT112" s="103">
        <v>1501</v>
      </c>
      <c r="BU112" s="103">
        <v>0</v>
      </c>
      <c r="BV112" s="103">
        <v>1089</v>
      </c>
      <c r="BW112" s="103">
        <v>4100</v>
      </c>
      <c r="BX112" s="103">
        <v>20145</v>
      </c>
      <c r="BY112" s="103">
        <v>0</v>
      </c>
      <c r="BZ112" s="103">
        <v>14258</v>
      </c>
      <c r="CA112" s="103">
        <v>0</v>
      </c>
      <c r="CB112" s="104">
        <v>27621229</v>
      </c>
      <c r="CC112" s="265"/>
      <c r="CD112" s="105">
        <v>28753659</v>
      </c>
      <c r="CE112" s="105">
        <v>39397</v>
      </c>
      <c r="CF112" s="106">
        <v>18620656</v>
      </c>
      <c r="CG112" s="107">
        <v>2740000</v>
      </c>
      <c r="CH112" s="108">
        <v>77774941</v>
      </c>
      <c r="CI112" s="51">
        <f t="shared" si="9"/>
        <v>77774941</v>
      </c>
      <c r="CJ112" s="51">
        <f t="shared" si="10"/>
        <v>0</v>
      </c>
    </row>
    <row r="113" spans="1:88" ht="15" customHeight="1" x14ac:dyDescent="0.25">
      <c r="A113" s="13" t="s">
        <v>25</v>
      </c>
      <c r="B113" s="268"/>
      <c r="C113" s="102">
        <v>19348</v>
      </c>
      <c r="D113" s="103">
        <v>11716</v>
      </c>
      <c r="E113" s="103">
        <v>949</v>
      </c>
      <c r="F113" s="103">
        <v>41817</v>
      </c>
      <c r="G113" s="103">
        <v>22379</v>
      </c>
      <c r="H113" s="103">
        <v>982</v>
      </c>
      <c r="I113" s="103">
        <v>300</v>
      </c>
      <c r="J113" s="103">
        <v>0</v>
      </c>
      <c r="K113" s="103">
        <v>0</v>
      </c>
      <c r="L113" s="103">
        <v>0</v>
      </c>
      <c r="M113" s="103">
        <v>0</v>
      </c>
      <c r="N113" s="103">
        <v>235</v>
      </c>
      <c r="O113" s="103">
        <v>327</v>
      </c>
      <c r="P113" s="103">
        <v>124</v>
      </c>
      <c r="Q113" s="103">
        <v>441</v>
      </c>
      <c r="R113" s="103">
        <v>207</v>
      </c>
      <c r="S113" s="103">
        <v>303</v>
      </c>
      <c r="T113" s="103">
        <v>9295</v>
      </c>
      <c r="U113" s="103">
        <v>253</v>
      </c>
      <c r="V113" s="103">
        <v>3196</v>
      </c>
      <c r="W113" s="103">
        <v>13522</v>
      </c>
      <c r="X113" s="103">
        <v>2262</v>
      </c>
      <c r="Y113" s="103">
        <v>5231</v>
      </c>
      <c r="Z113" s="103">
        <v>3602</v>
      </c>
      <c r="AA113" s="103">
        <v>44604</v>
      </c>
      <c r="AB113" s="103">
        <v>2245888</v>
      </c>
      <c r="AC113" s="103">
        <v>751</v>
      </c>
      <c r="AD113" s="103">
        <v>250</v>
      </c>
      <c r="AE113" s="103">
        <v>343618</v>
      </c>
      <c r="AF113" s="103">
        <v>5930</v>
      </c>
      <c r="AG113" s="103">
        <v>52</v>
      </c>
      <c r="AH113" s="103">
        <v>1698</v>
      </c>
      <c r="AI113" s="103">
        <v>9128</v>
      </c>
      <c r="AJ113" s="103">
        <v>10659</v>
      </c>
      <c r="AK113" s="103">
        <v>2012</v>
      </c>
      <c r="AL113" s="103">
        <v>389</v>
      </c>
      <c r="AM113" s="103">
        <v>5133</v>
      </c>
      <c r="AN113" s="103">
        <v>763812</v>
      </c>
      <c r="AO113" s="103">
        <v>165708</v>
      </c>
      <c r="AP113" s="103">
        <v>26467</v>
      </c>
      <c r="AQ113" s="103">
        <v>10831</v>
      </c>
      <c r="AR113" s="103">
        <v>0</v>
      </c>
      <c r="AS113" s="103">
        <v>0</v>
      </c>
      <c r="AT113" s="103">
        <v>307</v>
      </c>
      <c r="AU113" s="103">
        <v>0</v>
      </c>
      <c r="AV113" s="103">
        <v>483</v>
      </c>
      <c r="AW113" s="103">
        <v>1423</v>
      </c>
      <c r="AX113" s="103">
        <v>0</v>
      </c>
      <c r="AY113" s="103">
        <v>0</v>
      </c>
      <c r="AZ113" s="103">
        <v>0</v>
      </c>
      <c r="BA113" s="103">
        <v>0</v>
      </c>
      <c r="BB113" s="103">
        <v>224</v>
      </c>
      <c r="BC113" s="103">
        <v>0</v>
      </c>
      <c r="BD113" s="103">
        <v>438</v>
      </c>
      <c r="BE113" s="103">
        <v>399</v>
      </c>
      <c r="BF113" s="103">
        <v>0</v>
      </c>
      <c r="BG113" s="103">
        <v>0</v>
      </c>
      <c r="BH113" s="103">
        <v>0</v>
      </c>
      <c r="BI113" s="103">
        <v>0</v>
      </c>
      <c r="BJ113" s="103">
        <v>2621</v>
      </c>
      <c r="BK113" s="103">
        <v>0</v>
      </c>
      <c r="BL113" s="103">
        <v>786</v>
      </c>
      <c r="BM113" s="103">
        <v>0</v>
      </c>
      <c r="BN113" s="103">
        <v>0</v>
      </c>
      <c r="BO113" s="103">
        <v>0</v>
      </c>
      <c r="BP113" s="103">
        <v>217181</v>
      </c>
      <c r="BQ113" s="103">
        <v>1606</v>
      </c>
      <c r="BR113" s="103">
        <v>970</v>
      </c>
      <c r="BS113" s="103">
        <v>0</v>
      </c>
      <c r="BT113" s="103">
        <v>128</v>
      </c>
      <c r="BU113" s="103">
        <v>0</v>
      </c>
      <c r="BV113" s="103">
        <v>0</v>
      </c>
      <c r="BW113" s="103">
        <v>938</v>
      </c>
      <c r="BX113" s="103">
        <v>0</v>
      </c>
      <c r="BY113" s="103">
        <v>0</v>
      </c>
      <c r="BZ113" s="103">
        <v>0</v>
      </c>
      <c r="CA113" s="103">
        <v>0</v>
      </c>
      <c r="CB113" s="104">
        <v>4000923</v>
      </c>
      <c r="CC113" s="265"/>
      <c r="CD113" s="105">
        <v>710123</v>
      </c>
      <c r="CE113" s="105">
        <v>21650</v>
      </c>
      <c r="CF113" s="106">
        <v>3088158</v>
      </c>
      <c r="CG113" s="107">
        <v>636000</v>
      </c>
      <c r="CH113" s="108">
        <v>8456854</v>
      </c>
      <c r="CI113" s="51">
        <f t="shared" si="9"/>
        <v>8456854</v>
      </c>
      <c r="CJ113" s="51">
        <f t="shared" si="10"/>
        <v>0</v>
      </c>
    </row>
    <row r="114" spans="1:88" ht="15" customHeight="1" x14ac:dyDescent="0.25">
      <c r="A114" s="13" t="s">
        <v>26</v>
      </c>
      <c r="B114" s="268"/>
      <c r="C114" s="102">
        <v>1048</v>
      </c>
      <c r="D114" s="103">
        <v>1269</v>
      </c>
      <c r="E114" s="103">
        <v>0</v>
      </c>
      <c r="F114" s="103">
        <v>931</v>
      </c>
      <c r="G114" s="103">
        <v>811</v>
      </c>
      <c r="H114" s="103">
        <v>5068</v>
      </c>
      <c r="I114" s="103">
        <v>212</v>
      </c>
      <c r="J114" s="103">
        <v>755</v>
      </c>
      <c r="K114" s="103">
        <v>986</v>
      </c>
      <c r="L114" s="103">
        <v>1191</v>
      </c>
      <c r="M114" s="103">
        <v>726</v>
      </c>
      <c r="N114" s="103">
        <v>20963</v>
      </c>
      <c r="O114" s="103">
        <v>2887</v>
      </c>
      <c r="P114" s="103">
        <v>637</v>
      </c>
      <c r="Q114" s="103">
        <v>2151</v>
      </c>
      <c r="R114" s="103">
        <v>4278</v>
      </c>
      <c r="S114" s="103">
        <v>2383</v>
      </c>
      <c r="T114" s="103">
        <v>29376</v>
      </c>
      <c r="U114" s="103">
        <v>11830</v>
      </c>
      <c r="V114" s="103">
        <v>2350</v>
      </c>
      <c r="W114" s="103">
        <v>31860</v>
      </c>
      <c r="X114" s="103">
        <v>303</v>
      </c>
      <c r="Y114" s="103">
        <v>25611</v>
      </c>
      <c r="Z114" s="103">
        <v>1765</v>
      </c>
      <c r="AA114" s="103">
        <v>3946</v>
      </c>
      <c r="AB114" s="103">
        <v>9868</v>
      </c>
      <c r="AC114" s="103">
        <v>738526</v>
      </c>
      <c r="AD114" s="103">
        <v>1539</v>
      </c>
      <c r="AE114" s="103">
        <v>2142</v>
      </c>
      <c r="AF114" s="103">
        <v>10993</v>
      </c>
      <c r="AG114" s="103">
        <v>530</v>
      </c>
      <c r="AH114" s="103">
        <v>2056</v>
      </c>
      <c r="AI114" s="103">
        <v>1338</v>
      </c>
      <c r="AJ114" s="103">
        <v>35403</v>
      </c>
      <c r="AK114" s="103">
        <v>5331</v>
      </c>
      <c r="AL114" s="103">
        <v>7152</v>
      </c>
      <c r="AM114" s="103">
        <v>13098</v>
      </c>
      <c r="AN114" s="103">
        <v>13900</v>
      </c>
      <c r="AO114" s="103">
        <v>344</v>
      </c>
      <c r="AP114" s="103">
        <v>7226</v>
      </c>
      <c r="AQ114" s="103">
        <v>5311</v>
      </c>
      <c r="AR114" s="103">
        <v>8238</v>
      </c>
      <c r="AS114" s="103">
        <v>869</v>
      </c>
      <c r="AT114" s="103">
        <v>611</v>
      </c>
      <c r="AU114" s="103">
        <v>35</v>
      </c>
      <c r="AV114" s="103">
        <v>1137</v>
      </c>
      <c r="AW114" s="103">
        <v>2868</v>
      </c>
      <c r="AX114" s="103">
        <v>655</v>
      </c>
      <c r="AY114" s="103">
        <v>2017</v>
      </c>
      <c r="AZ114" s="103">
        <v>12923</v>
      </c>
      <c r="BA114" s="103">
        <v>5103</v>
      </c>
      <c r="BB114" s="103">
        <v>27813</v>
      </c>
      <c r="BC114" s="103">
        <v>1316</v>
      </c>
      <c r="BD114" s="103">
        <v>2414</v>
      </c>
      <c r="BE114" s="103">
        <v>1263</v>
      </c>
      <c r="BF114" s="103">
        <v>2239</v>
      </c>
      <c r="BG114" s="103">
        <v>2967</v>
      </c>
      <c r="BH114" s="103">
        <v>12141</v>
      </c>
      <c r="BI114" s="103">
        <v>90</v>
      </c>
      <c r="BJ114" s="103">
        <v>1214</v>
      </c>
      <c r="BK114" s="103">
        <v>466</v>
      </c>
      <c r="BL114" s="103">
        <v>181</v>
      </c>
      <c r="BM114" s="103">
        <v>1774</v>
      </c>
      <c r="BN114" s="103">
        <v>1226</v>
      </c>
      <c r="BO114" s="103">
        <v>348</v>
      </c>
      <c r="BP114" s="103">
        <v>6348</v>
      </c>
      <c r="BQ114" s="103">
        <v>10629</v>
      </c>
      <c r="BR114" s="103">
        <v>67827</v>
      </c>
      <c r="BS114" s="103">
        <v>11302</v>
      </c>
      <c r="BT114" s="103">
        <v>6512</v>
      </c>
      <c r="BU114" s="103">
        <v>959</v>
      </c>
      <c r="BV114" s="103">
        <v>146</v>
      </c>
      <c r="BW114" s="103">
        <v>2277</v>
      </c>
      <c r="BX114" s="103">
        <v>15</v>
      </c>
      <c r="BY114" s="103">
        <v>14709</v>
      </c>
      <c r="BZ114" s="103">
        <v>2923</v>
      </c>
      <c r="CA114" s="103">
        <v>0</v>
      </c>
      <c r="CB114" s="104">
        <v>1221649</v>
      </c>
      <c r="CC114" s="265"/>
      <c r="CD114" s="105">
        <v>2077902</v>
      </c>
      <c r="CE114" s="105">
        <v>561</v>
      </c>
      <c r="CF114" s="106">
        <v>830845</v>
      </c>
      <c r="CG114" s="107">
        <v>2250000</v>
      </c>
      <c r="CH114" s="108">
        <v>6380957</v>
      </c>
      <c r="CI114" s="51">
        <f t="shared" si="9"/>
        <v>6380957</v>
      </c>
      <c r="CJ114" s="51">
        <f t="shared" si="10"/>
        <v>0</v>
      </c>
    </row>
    <row r="115" spans="1:88" ht="15" customHeight="1" x14ac:dyDescent="0.25">
      <c r="A115" s="13" t="s">
        <v>27</v>
      </c>
      <c r="B115" s="268"/>
      <c r="C115" s="102">
        <v>4002</v>
      </c>
      <c r="D115" s="103">
        <v>3452</v>
      </c>
      <c r="E115" s="103">
        <v>547</v>
      </c>
      <c r="F115" s="103">
        <v>873</v>
      </c>
      <c r="G115" s="103">
        <v>2078</v>
      </c>
      <c r="H115" s="103">
        <v>36743</v>
      </c>
      <c r="I115" s="103">
        <v>35345</v>
      </c>
      <c r="J115" s="103">
        <v>2385</v>
      </c>
      <c r="K115" s="103">
        <v>3786</v>
      </c>
      <c r="L115" s="103">
        <v>2462</v>
      </c>
      <c r="M115" s="103">
        <v>4295</v>
      </c>
      <c r="N115" s="103">
        <v>6513</v>
      </c>
      <c r="O115" s="103">
        <v>5626</v>
      </c>
      <c r="P115" s="103">
        <v>1483</v>
      </c>
      <c r="Q115" s="103">
        <v>3205</v>
      </c>
      <c r="R115" s="103">
        <v>5026</v>
      </c>
      <c r="S115" s="103">
        <v>40163</v>
      </c>
      <c r="T115" s="103">
        <v>7450</v>
      </c>
      <c r="U115" s="103">
        <v>5536</v>
      </c>
      <c r="V115" s="103">
        <v>3073</v>
      </c>
      <c r="W115" s="103">
        <v>6353</v>
      </c>
      <c r="X115" s="103">
        <v>13393</v>
      </c>
      <c r="Y115" s="103">
        <v>13504</v>
      </c>
      <c r="Z115" s="103">
        <v>6440</v>
      </c>
      <c r="AA115" s="103">
        <v>9895</v>
      </c>
      <c r="AB115" s="103">
        <v>2216</v>
      </c>
      <c r="AC115" s="103">
        <v>3012</v>
      </c>
      <c r="AD115" s="103">
        <v>547666</v>
      </c>
      <c r="AE115" s="103">
        <v>5175</v>
      </c>
      <c r="AF115" s="103">
        <v>1423</v>
      </c>
      <c r="AG115" s="103">
        <v>522</v>
      </c>
      <c r="AH115" s="103">
        <v>12855</v>
      </c>
      <c r="AI115" s="103">
        <v>10436</v>
      </c>
      <c r="AJ115" s="103">
        <v>63235</v>
      </c>
      <c r="AK115" s="103">
        <v>7973</v>
      </c>
      <c r="AL115" s="103">
        <v>15668</v>
      </c>
      <c r="AM115" s="103">
        <v>53163</v>
      </c>
      <c r="AN115" s="103">
        <v>21438</v>
      </c>
      <c r="AO115" s="103">
        <v>1250</v>
      </c>
      <c r="AP115" s="103">
        <v>27734</v>
      </c>
      <c r="AQ115" s="103">
        <v>25112</v>
      </c>
      <c r="AR115" s="103">
        <v>19409</v>
      </c>
      <c r="AS115" s="103">
        <v>5653</v>
      </c>
      <c r="AT115" s="103">
        <v>8397</v>
      </c>
      <c r="AU115" s="103">
        <v>1376</v>
      </c>
      <c r="AV115" s="103">
        <v>34159</v>
      </c>
      <c r="AW115" s="103">
        <v>20736</v>
      </c>
      <c r="AX115" s="103">
        <v>3912</v>
      </c>
      <c r="AY115" s="103">
        <v>5962</v>
      </c>
      <c r="AZ115" s="103">
        <v>8434</v>
      </c>
      <c r="BA115" s="103">
        <v>3612</v>
      </c>
      <c r="BB115" s="103">
        <v>31006</v>
      </c>
      <c r="BC115" s="103">
        <v>6984</v>
      </c>
      <c r="BD115" s="103">
        <v>7227</v>
      </c>
      <c r="BE115" s="103">
        <v>3691</v>
      </c>
      <c r="BF115" s="103">
        <v>61338</v>
      </c>
      <c r="BG115" s="103">
        <v>5412</v>
      </c>
      <c r="BH115" s="103">
        <v>2904</v>
      </c>
      <c r="BI115" s="103">
        <v>3229</v>
      </c>
      <c r="BJ115" s="103">
        <v>12186</v>
      </c>
      <c r="BK115" s="103">
        <v>3612</v>
      </c>
      <c r="BL115" s="103">
        <v>6357</v>
      </c>
      <c r="BM115" s="103">
        <v>4912</v>
      </c>
      <c r="BN115" s="103">
        <v>28041</v>
      </c>
      <c r="BO115" s="103">
        <v>6076</v>
      </c>
      <c r="BP115" s="103">
        <v>96605</v>
      </c>
      <c r="BQ115" s="103">
        <v>345498</v>
      </c>
      <c r="BR115" s="103">
        <v>1572587</v>
      </c>
      <c r="BS115" s="103">
        <v>111074</v>
      </c>
      <c r="BT115" s="103">
        <v>143444</v>
      </c>
      <c r="BU115" s="103">
        <v>3120</v>
      </c>
      <c r="BV115" s="103">
        <v>1232</v>
      </c>
      <c r="BW115" s="103">
        <v>88656</v>
      </c>
      <c r="BX115" s="103">
        <v>103459</v>
      </c>
      <c r="BY115" s="103">
        <v>11178</v>
      </c>
      <c r="BZ115" s="103">
        <v>10279</v>
      </c>
      <c r="CA115" s="103">
        <v>0</v>
      </c>
      <c r="CB115" s="104">
        <v>3804263</v>
      </c>
      <c r="CC115" s="265"/>
      <c r="CD115" s="105">
        <v>5756711</v>
      </c>
      <c r="CE115" s="105">
        <v>32142</v>
      </c>
      <c r="CF115" s="106">
        <v>2212041</v>
      </c>
      <c r="CG115" s="107">
        <v>1721000</v>
      </c>
      <c r="CH115" s="108">
        <v>13526157</v>
      </c>
      <c r="CI115" s="51">
        <f t="shared" si="9"/>
        <v>13526157</v>
      </c>
      <c r="CJ115" s="51">
        <f t="shared" si="10"/>
        <v>0</v>
      </c>
    </row>
    <row r="116" spans="1:88" ht="15" customHeight="1" x14ac:dyDescent="0.25">
      <c r="A116" s="13" t="s">
        <v>28</v>
      </c>
      <c r="B116" s="268"/>
      <c r="C116" s="102">
        <v>42849</v>
      </c>
      <c r="D116" s="103">
        <v>3281</v>
      </c>
      <c r="E116" s="103">
        <v>1290</v>
      </c>
      <c r="F116" s="103">
        <v>20295</v>
      </c>
      <c r="G116" s="103">
        <v>11230</v>
      </c>
      <c r="H116" s="103">
        <v>52479</v>
      </c>
      <c r="I116" s="103">
        <v>3336</v>
      </c>
      <c r="J116" s="103">
        <v>2181</v>
      </c>
      <c r="K116" s="103">
        <v>4511</v>
      </c>
      <c r="L116" s="103">
        <v>3144</v>
      </c>
      <c r="M116" s="103">
        <v>2480</v>
      </c>
      <c r="N116" s="103">
        <v>27133</v>
      </c>
      <c r="O116" s="103">
        <v>68887</v>
      </c>
      <c r="P116" s="103">
        <v>4848</v>
      </c>
      <c r="Q116" s="103">
        <v>17633</v>
      </c>
      <c r="R116" s="103">
        <v>32361</v>
      </c>
      <c r="S116" s="103">
        <v>3398</v>
      </c>
      <c r="T116" s="103">
        <v>83288</v>
      </c>
      <c r="U116" s="103">
        <v>51809</v>
      </c>
      <c r="V116" s="103">
        <v>18711</v>
      </c>
      <c r="W116" s="103">
        <v>107459</v>
      </c>
      <c r="X116" s="103">
        <v>1371</v>
      </c>
      <c r="Y116" s="103">
        <v>25704</v>
      </c>
      <c r="Z116" s="103">
        <v>55763</v>
      </c>
      <c r="AA116" s="103">
        <v>66911</v>
      </c>
      <c r="AB116" s="103">
        <v>30707</v>
      </c>
      <c r="AC116" s="103">
        <v>7479</v>
      </c>
      <c r="AD116" s="103">
        <v>15839</v>
      </c>
      <c r="AE116" s="103">
        <v>76599</v>
      </c>
      <c r="AF116" s="103">
        <v>157838</v>
      </c>
      <c r="AG116" s="103">
        <v>797</v>
      </c>
      <c r="AH116" s="103">
        <v>421</v>
      </c>
      <c r="AI116" s="103">
        <v>5194</v>
      </c>
      <c r="AJ116" s="103">
        <v>149078</v>
      </c>
      <c r="AK116" s="103">
        <v>1749</v>
      </c>
      <c r="AL116" s="103">
        <v>35850</v>
      </c>
      <c r="AM116" s="103">
        <v>5676</v>
      </c>
      <c r="AN116" s="103">
        <v>214474</v>
      </c>
      <c r="AO116" s="103">
        <v>124074</v>
      </c>
      <c r="AP116" s="103">
        <v>15077</v>
      </c>
      <c r="AQ116" s="103">
        <v>3704</v>
      </c>
      <c r="AR116" s="103">
        <v>1694</v>
      </c>
      <c r="AS116" s="103">
        <v>545</v>
      </c>
      <c r="AT116" s="103">
        <v>372</v>
      </c>
      <c r="AU116" s="103">
        <v>433</v>
      </c>
      <c r="AV116" s="103">
        <v>2566</v>
      </c>
      <c r="AW116" s="103">
        <v>3598</v>
      </c>
      <c r="AX116" s="103">
        <v>852</v>
      </c>
      <c r="AY116" s="103">
        <v>937</v>
      </c>
      <c r="AZ116" s="103">
        <v>707</v>
      </c>
      <c r="BA116" s="103">
        <v>46</v>
      </c>
      <c r="BB116" s="103">
        <v>5567</v>
      </c>
      <c r="BC116" s="103">
        <v>1120</v>
      </c>
      <c r="BD116" s="103">
        <v>668</v>
      </c>
      <c r="BE116" s="103">
        <v>2562</v>
      </c>
      <c r="BF116" s="103">
        <v>10960</v>
      </c>
      <c r="BG116" s="103">
        <v>357</v>
      </c>
      <c r="BH116" s="103">
        <v>641</v>
      </c>
      <c r="BI116" s="103">
        <v>0</v>
      </c>
      <c r="BJ116" s="103">
        <v>6004</v>
      </c>
      <c r="BK116" s="103">
        <v>98</v>
      </c>
      <c r="BL116" s="103">
        <v>6943</v>
      </c>
      <c r="BM116" s="103">
        <v>602</v>
      </c>
      <c r="BN116" s="103">
        <v>715</v>
      </c>
      <c r="BO116" s="103">
        <v>226</v>
      </c>
      <c r="BP116" s="103">
        <v>93514</v>
      </c>
      <c r="BQ116" s="103">
        <v>3683</v>
      </c>
      <c r="BR116" s="103">
        <v>5401</v>
      </c>
      <c r="BS116" s="103">
        <v>1872</v>
      </c>
      <c r="BT116" s="103">
        <v>345</v>
      </c>
      <c r="BU116" s="103">
        <v>344</v>
      </c>
      <c r="BV116" s="103">
        <v>280</v>
      </c>
      <c r="BW116" s="103">
        <v>11442</v>
      </c>
      <c r="BX116" s="103">
        <v>1</v>
      </c>
      <c r="BY116" s="103">
        <v>445</v>
      </c>
      <c r="BZ116" s="103">
        <v>390</v>
      </c>
      <c r="CA116" s="103">
        <v>0</v>
      </c>
      <c r="CB116" s="104">
        <v>1722838</v>
      </c>
      <c r="CC116" s="265"/>
      <c r="CD116" s="105">
        <v>0</v>
      </c>
      <c r="CE116" s="105">
        <v>0</v>
      </c>
      <c r="CF116" s="106">
        <v>5516</v>
      </c>
      <c r="CG116" s="107">
        <v>103072</v>
      </c>
      <c r="CH116" s="108">
        <v>1831426</v>
      </c>
      <c r="CI116" s="51">
        <f t="shared" si="9"/>
        <v>1831426</v>
      </c>
      <c r="CJ116" s="51">
        <f t="shared" si="10"/>
        <v>0</v>
      </c>
    </row>
    <row r="117" spans="1:88" ht="15" customHeight="1" x14ac:dyDescent="0.25">
      <c r="A117" s="12" t="s">
        <v>29</v>
      </c>
      <c r="B117" s="268"/>
      <c r="C117" s="102">
        <v>65613</v>
      </c>
      <c r="D117" s="103">
        <v>1269</v>
      </c>
      <c r="E117" s="103">
        <v>528</v>
      </c>
      <c r="F117" s="103">
        <v>29964</v>
      </c>
      <c r="G117" s="103">
        <v>7011</v>
      </c>
      <c r="H117" s="103">
        <v>63397</v>
      </c>
      <c r="I117" s="103">
        <v>10564</v>
      </c>
      <c r="J117" s="103">
        <v>1768</v>
      </c>
      <c r="K117" s="103">
        <v>5947</v>
      </c>
      <c r="L117" s="103">
        <v>5254</v>
      </c>
      <c r="M117" s="103">
        <v>1208</v>
      </c>
      <c r="N117" s="103">
        <v>25244</v>
      </c>
      <c r="O117" s="103">
        <v>23823</v>
      </c>
      <c r="P117" s="103">
        <v>5542</v>
      </c>
      <c r="Q117" s="103">
        <v>6121</v>
      </c>
      <c r="R117" s="103">
        <v>40796</v>
      </c>
      <c r="S117" s="103">
        <v>3002</v>
      </c>
      <c r="T117" s="103">
        <v>49035</v>
      </c>
      <c r="U117" s="103">
        <v>41176</v>
      </c>
      <c r="V117" s="103">
        <v>76826</v>
      </c>
      <c r="W117" s="103">
        <v>33874</v>
      </c>
      <c r="X117" s="103">
        <v>3945</v>
      </c>
      <c r="Y117" s="103">
        <v>16198</v>
      </c>
      <c r="Z117" s="103">
        <v>17022</v>
      </c>
      <c r="AA117" s="103">
        <v>26556</v>
      </c>
      <c r="AB117" s="103">
        <v>5755</v>
      </c>
      <c r="AC117" s="103">
        <v>15661</v>
      </c>
      <c r="AD117" s="103">
        <v>3591</v>
      </c>
      <c r="AE117" s="103">
        <v>6064</v>
      </c>
      <c r="AF117" s="103">
        <v>34770</v>
      </c>
      <c r="AG117" s="103">
        <v>12753</v>
      </c>
      <c r="AH117" s="103">
        <v>6420</v>
      </c>
      <c r="AI117" s="103">
        <v>16318</v>
      </c>
      <c r="AJ117" s="103">
        <v>55135</v>
      </c>
      <c r="AK117" s="103">
        <v>7165</v>
      </c>
      <c r="AL117" s="103">
        <v>35594</v>
      </c>
      <c r="AM117" s="103">
        <v>90291</v>
      </c>
      <c r="AN117" s="103">
        <v>76992</v>
      </c>
      <c r="AO117" s="103">
        <v>460</v>
      </c>
      <c r="AP117" s="103">
        <v>48608</v>
      </c>
      <c r="AQ117" s="103">
        <v>12629</v>
      </c>
      <c r="AR117" s="103">
        <v>16058</v>
      </c>
      <c r="AS117" s="103">
        <v>2178</v>
      </c>
      <c r="AT117" s="103">
        <v>1537</v>
      </c>
      <c r="AU117" s="103">
        <v>1745</v>
      </c>
      <c r="AV117" s="103">
        <v>14303</v>
      </c>
      <c r="AW117" s="103">
        <v>3227</v>
      </c>
      <c r="AX117" s="103">
        <v>1687</v>
      </c>
      <c r="AY117" s="103">
        <v>5536</v>
      </c>
      <c r="AZ117" s="103">
        <v>354</v>
      </c>
      <c r="BA117" s="103">
        <v>1087</v>
      </c>
      <c r="BB117" s="103">
        <v>307519</v>
      </c>
      <c r="BC117" s="103">
        <v>2290</v>
      </c>
      <c r="BD117" s="103">
        <v>5223</v>
      </c>
      <c r="BE117" s="103">
        <v>3422</v>
      </c>
      <c r="BF117" s="103">
        <v>10879</v>
      </c>
      <c r="BG117" s="103">
        <v>6088</v>
      </c>
      <c r="BH117" s="103">
        <v>887</v>
      </c>
      <c r="BI117" s="103">
        <v>914</v>
      </c>
      <c r="BJ117" s="103">
        <v>8547</v>
      </c>
      <c r="BK117" s="103">
        <v>329</v>
      </c>
      <c r="BL117" s="103">
        <v>412</v>
      </c>
      <c r="BM117" s="103">
        <v>867</v>
      </c>
      <c r="BN117" s="103">
        <v>3123</v>
      </c>
      <c r="BO117" s="103">
        <v>6358</v>
      </c>
      <c r="BP117" s="103">
        <v>46581</v>
      </c>
      <c r="BQ117" s="103">
        <v>68478</v>
      </c>
      <c r="BR117" s="103">
        <v>19959</v>
      </c>
      <c r="BS117" s="103">
        <v>12121</v>
      </c>
      <c r="BT117" s="103">
        <v>6948</v>
      </c>
      <c r="BU117" s="103">
        <v>1341</v>
      </c>
      <c r="BV117" s="103">
        <v>665</v>
      </c>
      <c r="BW117" s="103">
        <v>15830</v>
      </c>
      <c r="BX117" s="103">
        <v>486</v>
      </c>
      <c r="BY117" s="103">
        <v>999</v>
      </c>
      <c r="BZ117" s="103">
        <v>5138</v>
      </c>
      <c r="CA117" s="103">
        <v>0</v>
      </c>
      <c r="CB117" s="104">
        <v>1573005</v>
      </c>
      <c r="CC117" s="265"/>
      <c r="CD117" s="105">
        <v>800874</v>
      </c>
      <c r="CE117" s="105">
        <v>0</v>
      </c>
      <c r="CF117" s="106">
        <v>10091</v>
      </c>
      <c r="CG117" s="107">
        <v>0</v>
      </c>
      <c r="CH117" s="108">
        <v>2383970</v>
      </c>
      <c r="CI117" s="51">
        <f t="shared" si="9"/>
        <v>2383970</v>
      </c>
      <c r="CJ117" s="51">
        <f t="shared" si="10"/>
        <v>0</v>
      </c>
    </row>
    <row r="118" spans="1:88" ht="15" customHeight="1" x14ac:dyDescent="0.25">
      <c r="A118" s="13" t="s">
        <v>30</v>
      </c>
      <c r="B118" s="268"/>
      <c r="C118" s="102">
        <v>0</v>
      </c>
      <c r="D118" s="103">
        <v>0</v>
      </c>
      <c r="E118" s="103">
        <v>0</v>
      </c>
      <c r="F118" s="103">
        <v>0</v>
      </c>
      <c r="G118" s="103">
        <v>0</v>
      </c>
      <c r="H118" s="103">
        <v>0</v>
      </c>
      <c r="I118" s="103">
        <v>0</v>
      </c>
      <c r="J118" s="103">
        <v>0</v>
      </c>
      <c r="K118" s="103">
        <v>0</v>
      </c>
      <c r="L118" s="103">
        <v>0</v>
      </c>
      <c r="M118" s="103">
        <v>0</v>
      </c>
      <c r="N118" s="103">
        <v>0</v>
      </c>
      <c r="O118" s="103">
        <v>0</v>
      </c>
      <c r="P118" s="103">
        <v>0</v>
      </c>
      <c r="Q118" s="103">
        <v>0</v>
      </c>
      <c r="R118" s="103">
        <v>0</v>
      </c>
      <c r="S118" s="103">
        <v>0</v>
      </c>
      <c r="T118" s="103">
        <v>0</v>
      </c>
      <c r="U118" s="103">
        <v>0</v>
      </c>
      <c r="V118" s="103">
        <v>0</v>
      </c>
      <c r="W118" s="103">
        <v>0</v>
      </c>
      <c r="X118" s="103">
        <v>0</v>
      </c>
      <c r="Y118" s="103">
        <v>0</v>
      </c>
      <c r="Z118" s="103">
        <v>0</v>
      </c>
      <c r="AA118" s="103">
        <v>0</v>
      </c>
      <c r="AB118" s="103">
        <v>0</v>
      </c>
      <c r="AC118" s="103">
        <v>0</v>
      </c>
      <c r="AD118" s="103">
        <v>0</v>
      </c>
      <c r="AE118" s="103">
        <v>0</v>
      </c>
      <c r="AF118" s="103">
        <v>0</v>
      </c>
      <c r="AG118" s="103">
        <v>0</v>
      </c>
      <c r="AH118" s="103">
        <v>0</v>
      </c>
      <c r="AI118" s="103">
        <v>0</v>
      </c>
      <c r="AJ118" s="103">
        <v>0</v>
      </c>
      <c r="AK118" s="103">
        <v>0</v>
      </c>
      <c r="AL118" s="103">
        <v>0</v>
      </c>
      <c r="AM118" s="103">
        <v>0</v>
      </c>
      <c r="AN118" s="103">
        <v>0</v>
      </c>
      <c r="AO118" s="103">
        <v>0</v>
      </c>
      <c r="AP118" s="103">
        <v>0</v>
      </c>
      <c r="AQ118" s="103">
        <v>0</v>
      </c>
      <c r="AR118" s="103">
        <v>0</v>
      </c>
      <c r="AS118" s="103">
        <v>0</v>
      </c>
      <c r="AT118" s="103">
        <v>0</v>
      </c>
      <c r="AU118" s="103">
        <v>0</v>
      </c>
      <c r="AV118" s="103">
        <v>0</v>
      </c>
      <c r="AW118" s="103">
        <v>0</v>
      </c>
      <c r="AX118" s="103">
        <v>0</v>
      </c>
      <c r="AY118" s="103">
        <v>0</v>
      </c>
      <c r="AZ118" s="103">
        <v>0</v>
      </c>
      <c r="BA118" s="103">
        <v>0</v>
      </c>
      <c r="BB118" s="103">
        <v>0</v>
      </c>
      <c r="BC118" s="103">
        <v>0</v>
      </c>
      <c r="BD118" s="103">
        <v>0</v>
      </c>
      <c r="BE118" s="103">
        <v>0</v>
      </c>
      <c r="BF118" s="103">
        <v>0</v>
      </c>
      <c r="BG118" s="103">
        <v>0</v>
      </c>
      <c r="BH118" s="103">
        <v>0</v>
      </c>
      <c r="BI118" s="103">
        <v>0</v>
      </c>
      <c r="BJ118" s="103">
        <v>0</v>
      </c>
      <c r="BK118" s="103">
        <v>0</v>
      </c>
      <c r="BL118" s="103">
        <v>0</v>
      </c>
      <c r="BM118" s="103">
        <v>0</v>
      </c>
      <c r="BN118" s="103">
        <v>0</v>
      </c>
      <c r="BO118" s="103">
        <v>0</v>
      </c>
      <c r="BP118" s="103">
        <v>0</v>
      </c>
      <c r="BQ118" s="103">
        <v>0</v>
      </c>
      <c r="BR118" s="103">
        <v>0</v>
      </c>
      <c r="BS118" s="103">
        <v>0</v>
      </c>
      <c r="BT118" s="103">
        <v>0</v>
      </c>
      <c r="BU118" s="103">
        <v>0</v>
      </c>
      <c r="BV118" s="103">
        <v>0</v>
      </c>
      <c r="BW118" s="103">
        <v>0</v>
      </c>
      <c r="BX118" s="103">
        <v>0</v>
      </c>
      <c r="BY118" s="103">
        <v>0</v>
      </c>
      <c r="BZ118" s="103">
        <v>0</v>
      </c>
      <c r="CA118" s="103">
        <v>0</v>
      </c>
      <c r="CB118" s="104">
        <v>0</v>
      </c>
      <c r="CC118" s="265"/>
      <c r="CD118" s="105">
        <v>0</v>
      </c>
      <c r="CE118" s="105">
        <v>0</v>
      </c>
      <c r="CF118" s="106">
        <v>0</v>
      </c>
      <c r="CG118" s="107">
        <v>0</v>
      </c>
      <c r="CH118" s="108">
        <v>0</v>
      </c>
      <c r="CI118" s="51">
        <f t="shared" si="9"/>
        <v>0</v>
      </c>
      <c r="CJ118" s="51">
        <f t="shared" si="10"/>
        <v>0</v>
      </c>
    </row>
    <row r="119" spans="1:88" ht="15" customHeight="1" x14ac:dyDescent="0.25">
      <c r="A119" s="13" t="s">
        <v>31</v>
      </c>
      <c r="B119" s="268"/>
      <c r="C119" s="102">
        <v>0</v>
      </c>
      <c r="D119" s="103">
        <v>0</v>
      </c>
      <c r="E119" s="103">
        <v>0</v>
      </c>
      <c r="F119" s="103">
        <v>0</v>
      </c>
      <c r="G119" s="103">
        <v>3975</v>
      </c>
      <c r="H119" s="103">
        <v>0</v>
      </c>
      <c r="I119" s="103">
        <v>0</v>
      </c>
      <c r="J119" s="103">
        <v>0</v>
      </c>
      <c r="K119" s="103">
        <v>63229</v>
      </c>
      <c r="L119" s="103">
        <v>5980</v>
      </c>
      <c r="M119" s="103">
        <v>0</v>
      </c>
      <c r="N119" s="103">
        <v>0</v>
      </c>
      <c r="O119" s="103">
        <v>212148</v>
      </c>
      <c r="P119" s="103">
        <v>0</v>
      </c>
      <c r="Q119" s="103">
        <v>0</v>
      </c>
      <c r="R119" s="103">
        <v>0</v>
      </c>
      <c r="S119" s="103">
        <v>0</v>
      </c>
      <c r="T119" s="103">
        <v>73906</v>
      </c>
      <c r="U119" s="103">
        <v>509189</v>
      </c>
      <c r="V119" s="103">
        <v>985118</v>
      </c>
      <c r="W119" s="103">
        <v>0</v>
      </c>
      <c r="X119" s="103">
        <v>9652</v>
      </c>
      <c r="Y119" s="103">
        <v>81850</v>
      </c>
      <c r="Z119" s="103">
        <v>0</v>
      </c>
      <c r="AA119" s="103">
        <v>45873</v>
      </c>
      <c r="AB119" s="103">
        <v>0</v>
      </c>
      <c r="AC119" s="103">
        <v>0</v>
      </c>
      <c r="AD119" s="103">
        <v>11808</v>
      </c>
      <c r="AE119" s="103">
        <v>0</v>
      </c>
      <c r="AF119" s="103">
        <v>0</v>
      </c>
      <c r="AG119" s="103">
        <v>0</v>
      </c>
      <c r="AH119" s="103">
        <v>2049997</v>
      </c>
      <c r="AI119" s="103">
        <v>0</v>
      </c>
      <c r="AJ119" s="103">
        <v>0</v>
      </c>
      <c r="AK119" s="103">
        <v>0</v>
      </c>
      <c r="AL119" s="103">
        <v>452305</v>
      </c>
      <c r="AM119" s="103">
        <v>0</v>
      </c>
      <c r="AN119" s="103">
        <v>0</v>
      </c>
      <c r="AO119" s="103">
        <v>0</v>
      </c>
      <c r="AP119" s="103">
        <v>0</v>
      </c>
      <c r="AQ119" s="103">
        <v>0</v>
      </c>
      <c r="AR119" s="103">
        <v>0</v>
      </c>
      <c r="AS119" s="103">
        <v>0</v>
      </c>
      <c r="AT119" s="103">
        <v>0</v>
      </c>
      <c r="AU119" s="103">
        <v>0</v>
      </c>
      <c r="AV119" s="103">
        <v>0</v>
      </c>
      <c r="AW119" s="103">
        <v>6666</v>
      </c>
      <c r="AX119" s="103">
        <v>0</v>
      </c>
      <c r="AY119" s="103">
        <v>0</v>
      </c>
      <c r="AZ119" s="103">
        <v>0</v>
      </c>
      <c r="BA119" s="103">
        <v>0</v>
      </c>
      <c r="BB119" s="103">
        <v>0</v>
      </c>
      <c r="BC119" s="103">
        <v>0</v>
      </c>
      <c r="BD119" s="103">
        <v>0</v>
      </c>
      <c r="BE119" s="103">
        <v>0</v>
      </c>
      <c r="BF119" s="103">
        <v>36186</v>
      </c>
      <c r="BG119" s="103">
        <v>0</v>
      </c>
      <c r="BH119" s="103">
        <v>0</v>
      </c>
      <c r="BI119" s="103">
        <v>0</v>
      </c>
      <c r="BJ119" s="103">
        <v>0</v>
      </c>
      <c r="BK119" s="103">
        <v>0</v>
      </c>
      <c r="BL119" s="103">
        <v>0</v>
      </c>
      <c r="BM119" s="103">
        <v>0</v>
      </c>
      <c r="BN119" s="103">
        <v>0</v>
      </c>
      <c r="BO119" s="103">
        <v>0</v>
      </c>
      <c r="BP119" s="103">
        <v>0</v>
      </c>
      <c r="BQ119" s="103">
        <v>0</v>
      </c>
      <c r="BR119" s="103">
        <v>0</v>
      </c>
      <c r="BS119" s="103">
        <v>0</v>
      </c>
      <c r="BT119" s="103">
        <v>0</v>
      </c>
      <c r="BU119" s="103">
        <v>0</v>
      </c>
      <c r="BV119" s="103">
        <v>0</v>
      </c>
      <c r="BW119" s="103">
        <v>0</v>
      </c>
      <c r="BX119" s="103">
        <v>0</v>
      </c>
      <c r="BY119" s="103">
        <v>3835</v>
      </c>
      <c r="BZ119" s="103">
        <v>0</v>
      </c>
      <c r="CA119" s="103">
        <v>0</v>
      </c>
      <c r="CB119" s="104">
        <v>4551717</v>
      </c>
      <c r="CC119" s="265"/>
      <c r="CD119" s="105">
        <v>0</v>
      </c>
      <c r="CE119" s="105">
        <v>0</v>
      </c>
      <c r="CF119" s="106">
        <v>1057</v>
      </c>
      <c r="CG119" s="107">
        <v>0</v>
      </c>
      <c r="CH119" s="108">
        <v>4552774</v>
      </c>
      <c r="CI119" s="51">
        <f t="shared" si="9"/>
        <v>4552774</v>
      </c>
      <c r="CJ119" s="51">
        <f t="shared" si="10"/>
        <v>0</v>
      </c>
    </row>
    <row r="120" spans="1:88" ht="28.2" customHeight="1" x14ac:dyDescent="0.25">
      <c r="A120" s="13" t="s">
        <v>32</v>
      </c>
      <c r="B120" s="268"/>
      <c r="C120" s="102">
        <v>846</v>
      </c>
      <c r="D120" s="103">
        <v>201</v>
      </c>
      <c r="E120" s="103">
        <v>0</v>
      </c>
      <c r="F120" s="103">
        <v>8727</v>
      </c>
      <c r="G120" s="103">
        <v>5047</v>
      </c>
      <c r="H120" s="103">
        <v>5130</v>
      </c>
      <c r="I120" s="103">
        <v>714</v>
      </c>
      <c r="J120" s="103">
        <v>184</v>
      </c>
      <c r="K120" s="103">
        <v>226</v>
      </c>
      <c r="L120" s="103">
        <v>232</v>
      </c>
      <c r="M120" s="103">
        <v>190</v>
      </c>
      <c r="N120" s="103">
        <v>796</v>
      </c>
      <c r="O120" s="103">
        <v>808</v>
      </c>
      <c r="P120" s="103">
        <v>193</v>
      </c>
      <c r="Q120" s="103">
        <v>2139</v>
      </c>
      <c r="R120" s="103">
        <v>1703</v>
      </c>
      <c r="S120" s="103">
        <v>563</v>
      </c>
      <c r="T120" s="103">
        <v>3037</v>
      </c>
      <c r="U120" s="103">
        <v>3728</v>
      </c>
      <c r="V120" s="103">
        <v>10265</v>
      </c>
      <c r="W120" s="103">
        <v>1155</v>
      </c>
      <c r="X120" s="103">
        <v>913</v>
      </c>
      <c r="Y120" s="103">
        <v>1238</v>
      </c>
      <c r="Z120" s="103">
        <v>4164</v>
      </c>
      <c r="AA120" s="103">
        <v>855</v>
      </c>
      <c r="AB120" s="103">
        <v>1263</v>
      </c>
      <c r="AC120" s="103">
        <v>1673</v>
      </c>
      <c r="AD120" s="103">
        <v>141</v>
      </c>
      <c r="AE120" s="103">
        <v>2161</v>
      </c>
      <c r="AF120" s="103">
        <v>10086</v>
      </c>
      <c r="AG120" s="103">
        <v>5101</v>
      </c>
      <c r="AH120" s="103">
        <v>16087</v>
      </c>
      <c r="AI120" s="103">
        <v>7637</v>
      </c>
      <c r="AJ120" s="103">
        <v>18476</v>
      </c>
      <c r="AK120" s="103">
        <v>751</v>
      </c>
      <c r="AL120" s="103">
        <v>2222</v>
      </c>
      <c r="AM120" s="103">
        <v>2167</v>
      </c>
      <c r="AN120" s="103">
        <v>1745</v>
      </c>
      <c r="AO120" s="103">
        <v>228</v>
      </c>
      <c r="AP120" s="103">
        <v>1561</v>
      </c>
      <c r="AQ120" s="103">
        <v>255</v>
      </c>
      <c r="AR120" s="103">
        <v>306</v>
      </c>
      <c r="AS120" s="103">
        <v>119</v>
      </c>
      <c r="AT120" s="103">
        <v>91</v>
      </c>
      <c r="AU120" s="103">
        <v>134</v>
      </c>
      <c r="AV120" s="103">
        <v>93</v>
      </c>
      <c r="AW120" s="103">
        <v>291</v>
      </c>
      <c r="AX120" s="103">
        <v>109</v>
      </c>
      <c r="AY120" s="103">
        <v>90</v>
      </c>
      <c r="AZ120" s="103">
        <v>0</v>
      </c>
      <c r="BA120" s="103">
        <v>31</v>
      </c>
      <c r="BB120" s="103">
        <v>11781</v>
      </c>
      <c r="BC120" s="103">
        <v>279</v>
      </c>
      <c r="BD120" s="103">
        <v>37</v>
      </c>
      <c r="BE120" s="103">
        <v>1432</v>
      </c>
      <c r="BF120" s="103">
        <v>703</v>
      </c>
      <c r="BG120" s="103">
        <v>56</v>
      </c>
      <c r="BH120" s="103">
        <v>167</v>
      </c>
      <c r="BI120" s="103">
        <v>50</v>
      </c>
      <c r="BJ120" s="103">
        <v>662</v>
      </c>
      <c r="BK120" s="103">
        <v>88</v>
      </c>
      <c r="BL120" s="103">
        <v>201</v>
      </c>
      <c r="BM120" s="103">
        <v>106</v>
      </c>
      <c r="BN120" s="103">
        <v>532</v>
      </c>
      <c r="BO120" s="103">
        <v>187</v>
      </c>
      <c r="BP120" s="103">
        <v>876</v>
      </c>
      <c r="BQ120" s="103">
        <v>549</v>
      </c>
      <c r="BR120" s="103">
        <v>2702</v>
      </c>
      <c r="BS120" s="103">
        <v>191</v>
      </c>
      <c r="BT120" s="103">
        <v>86</v>
      </c>
      <c r="BU120" s="103">
        <v>100</v>
      </c>
      <c r="BV120" s="103">
        <v>0</v>
      </c>
      <c r="BW120" s="103">
        <v>51</v>
      </c>
      <c r="BX120" s="103">
        <v>39</v>
      </c>
      <c r="BY120" s="103">
        <v>161</v>
      </c>
      <c r="BZ120" s="103">
        <v>696</v>
      </c>
      <c r="CA120" s="103">
        <v>0</v>
      </c>
      <c r="CB120" s="104">
        <v>147604</v>
      </c>
      <c r="CC120" s="265"/>
      <c r="CD120" s="105">
        <v>0</v>
      </c>
      <c r="CE120" s="105">
        <v>0</v>
      </c>
      <c r="CF120" s="106">
        <v>177</v>
      </c>
      <c r="CG120" s="107">
        <v>0</v>
      </c>
      <c r="CH120" s="108">
        <v>147781</v>
      </c>
      <c r="CI120" s="51">
        <f t="shared" si="9"/>
        <v>147781</v>
      </c>
      <c r="CJ120" s="51">
        <f t="shared" si="10"/>
        <v>0</v>
      </c>
    </row>
    <row r="121" spans="1:88" ht="15" customHeight="1" x14ac:dyDescent="0.25">
      <c r="A121" s="13" t="s">
        <v>33</v>
      </c>
      <c r="B121" s="268"/>
      <c r="C121" s="102">
        <v>1527</v>
      </c>
      <c r="D121" s="103">
        <v>358</v>
      </c>
      <c r="E121" s="103">
        <v>0</v>
      </c>
      <c r="F121" s="103">
        <v>389</v>
      </c>
      <c r="G121" s="103">
        <v>614</v>
      </c>
      <c r="H121" s="103">
        <v>610</v>
      </c>
      <c r="I121" s="103">
        <v>120</v>
      </c>
      <c r="J121" s="103">
        <v>112</v>
      </c>
      <c r="K121" s="103">
        <v>166</v>
      </c>
      <c r="L121" s="103">
        <v>114</v>
      </c>
      <c r="M121" s="103">
        <v>35</v>
      </c>
      <c r="N121" s="103">
        <v>838</v>
      </c>
      <c r="O121" s="103">
        <v>1013</v>
      </c>
      <c r="P121" s="103">
        <v>63</v>
      </c>
      <c r="Q121" s="103">
        <v>283</v>
      </c>
      <c r="R121" s="103">
        <v>702</v>
      </c>
      <c r="S121" s="103">
        <v>84</v>
      </c>
      <c r="T121" s="103">
        <v>892</v>
      </c>
      <c r="U121" s="103">
        <v>711</v>
      </c>
      <c r="V121" s="103">
        <v>374</v>
      </c>
      <c r="W121" s="103">
        <v>2488</v>
      </c>
      <c r="X121" s="103">
        <v>82</v>
      </c>
      <c r="Y121" s="103">
        <v>890</v>
      </c>
      <c r="Z121" s="103">
        <v>656</v>
      </c>
      <c r="AA121" s="103">
        <v>823</v>
      </c>
      <c r="AB121" s="103">
        <v>544</v>
      </c>
      <c r="AC121" s="103">
        <v>302</v>
      </c>
      <c r="AD121" s="103">
        <v>69</v>
      </c>
      <c r="AE121" s="103">
        <v>1844</v>
      </c>
      <c r="AF121" s="103">
        <v>21327</v>
      </c>
      <c r="AG121" s="103">
        <v>309</v>
      </c>
      <c r="AH121" s="103">
        <v>975</v>
      </c>
      <c r="AI121" s="103">
        <v>323</v>
      </c>
      <c r="AJ121" s="103">
        <v>196462</v>
      </c>
      <c r="AK121" s="103">
        <v>388</v>
      </c>
      <c r="AL121" s="103">
        <v>13088</v>
      </c>
      <c r="AM121" s="103">
        <v>6394</v>
      </c>
      <c r="AN121" s="103">
        <v>1818</v>
      </c>
      <c r="AO121" s="103">
        <v>0</v>
      </c>
      <c r="AP121" s="103">
        <v>9008</v>
      </c>
      <c r="AQ121" s="103">
        <v>22947</v>
      </c>
      <c r="AR121" s="103">
        <v>1119</v>
      </c>
      <c r="AS121" s="103">
        <v>9</v>
      </c>
      <c r="AT121" s="103">
        <v>3</v>
      </c>
      <c r="AU121" s="103">
        <v>5</v>
      </c>
      <c r="AV121" s="103">
        <v>763</v>
      </c>
      <c r="AW121" s="103">
        <v>111</v>
      </c>
      <c r="AX121" s="103">
        <v>95</v>
      </c>
      <c r="AY121" s="103">
        <v>22</v>
      </c>
      <c r="AZ121" s="103">
        <v>121</v>
      </c>
      <c r="BA121" s="103">
        <v>78</v>
      </c>
      <c r="BB121" s="103">
        <v>415642</v>
      </c>
      <c r="BC121" s="103">
        <v>183</v>
      </c>
      <c r="BD121" s="103">
        <v>1160</v>
      </c>
      <c r="BE121" s="103">
        <v>26108</v>
      </c>
      <c r="BF121" s="103">
        <v>27</v>
      </c>
      <c r="BG121" s="103">
        <v>113</v>
      </c>
      <c r="BH121" s="103">
        <v>768</v>
      </c>
      <c r="BI121" s="103">
        <v>0</v>
      </c>
      <c r="BJ121" s="103">
        <v>2187</v>
      </c>
      <c r="BK121" s="103">
        <v>23</v>
      </c>
      <c r="BL121" s="103">
        <v>431</v>
      </c>
      <c r="BM121" s="103">
        <v>227</v>
      </c>
      <c r="BN121" s="103">
        <v>783</v>
      </c>
      <c r="BO121" s="103">
        <v>281</v>
      </c>
      <c r="BP121" s="103">
        <v>18109</v>
      </c>
      <c r="BQ121" s="103">
        <v>5750</v>
      </c>
      <c r="BR121" s="103">
        <v>804</v>
      </c>
      <c r="BS121" s="103">
        <v>819</v>
      </c>
      <c r="BT121" s="103">
        <v>518</v>
      </c>
      <c r="BU121" s="103">
        <v>763</v>
      </c>
      <c r="BV121" s="103">
        <v>5</v>
      </c>
      <c r="BW121" s="103">
        <v>202</v>
      </c>
      <c r="BX121" s="103">
        <v>13</v>
      </c>
      <c r="BY121" s="103">
        <v>3</v>
      </c>
      <c r="BZ121" s="103">
        <v>893</v>
      </c>
      <c r="CA121" s="103">
        <v>0</v>
      </c>
      <c r="CB121" s="104">
        <v>767880</v>
      </c>
      <c r="CC121" s="265"/>
      <c r="CD121" s="105">
        <v>57140</v>
      </c>
      <c r="CE121" s="105">
        <v>0</v>
      </c>
      <c r="CF121" s="106">
        <v>3403316</v>
      </c>
      <c r="CG121" s="107">
        <v>0</v>
      </c>
      <c r="CH121" s="108">
        <v>4228336</v>
      </c>
      <c r="CI121" s="51">
        <f t="shared" si="9"/>
        <v>4228336</v>
      </c>
      <c r="CJ121" s="51">
        <f t="shared" si="10"/>
        <v>0</v>
      </c>
    </row>
    <row r="122" spans="1:88" ht="15" customHeight="1" x14ac:dyDescent="0.25">
      <c r="A122" s="13" t="s">
        <v>34</v>
      </c>
      <c r="B122" s="268"/>
      <c r="C122" s="102">
        <v>3218</v>
      </c>
      <c r="D122" s="103">
        <v>1207</v>
      </c>
      <c r="E122" s="103">
        <v>58</v>
      </c>
      <c r="F122" s="103">
        <v>1306</v>
      </c>
      <c r="G122" s="103">
        <v>2653</v>
      </c>
      <c r="H122" s="103">
        <v>9032</v>
      </c>
      <c r="I122" s="103">
        <v>1512</v>
      </c>
      <c r="J122" s="103">
        <v>942</v>
      </c>
      <c r="K122" s="103">
        <v>1429</v>
      </c>
      <c r="L122" s="103">
        <v>979</v>
      </c>
      <c r="M122" s="103">
        <v>417</v>
      </c>
      <c r="N122" s="103">
        <v>950</v>
      </c>
      <c r="O122" s="103">
        <v>1541</v>
      </c>
      <c r="P122" s="103">
        <v>1014</v>
      </c>
      <c r="Q122" s="103">
        <v>1121</v>
      </c>
      <c r="R122" s="103">
        <v>3077</v>
      </c>
      <c r="S122" s="103">
        <v>1006</v>
      </c>
      <c r="T122" s="103">
        <v>3785</v>
      </c>
      <c r="U122" s="103">
        <v>3948</v>
      </c>
      <c r="V122" s="103">
        <v>1093</v>
      </c>
      <c r="W122" s="103">
        <v>5797</v>
      </c>
      <c r="X122" s="103">
        <v>634</v>
      </c>
      <c r="Y122" s="103">
        <v>5479</v>
      </c>
      <c r="Z122" s="103">
        <v>2934</v>
      </c>
      <c r="AA122" s="103">
        <v>8486</v>
      </c>
      <c r="AB122" s="103">
        <v>954</v>
      </c>
      <c r="AC122" s="103">
        <v>2762</v>
      </c>
      <c r="AD122" s="103">
        <v>799</v>
      </c>
      <c r="AE122" s="103">
        <v>1495</v>
      </c>
      <c r="AF122" s="103">
        <v>2926</v>
      </c>
      <c r="AG122" s="103">
        <v>717</v>
      </c>
      <c r="AH122" s="103">
        <v>3600</v>
      </c>
      <c r="AI122" s="103">
        <v>2815</v>
      </c>
      <c r="AJ122" s="103">
        <v>26762</v>
      </c>
      <c r="AK122" s="103">
        <v>102451</v>
      </c>
      <c r="AL122" s="103">
        <v>32414</v>
      </c>
      <c r="AM122" s="103">
        <v>11971</v>
      </c>
      <c r="AN122" s="103">
        <v>133890</v>
      </c>
      <c r="AO122" s="103">
        <v>983</v>
      </c>
      <c r="AP122" s="103">
        <v>7119</v>
      </c>
      <c r="AQ122" s="103">
        <v>511</v>
      </c>
      <c r="AR122" s="103">
        <v>1247</v>
      </c>
      <c r="AS122" s="103">
        <v>1278</v>
      </c>
      <c r="AT122" s="103">
        <v>270</v>
      </c>
      <c r="AU122" s="103">
        <v>28</v>
      </c>
      <c r="AV122" s="103">
        <v>1163</v>
      </c>
      <c r="AW122" s="103">
        <v>4235</v>
      </c>
      <c r="AX122" s="103">
        <v>987</v>
      </c>
      <c r="AY122" s="103">
        <v>5856</v>
      </c>
      <c r="AZ122" s="103">
        <v>3637</v>
      </c>
      <c r="BA122" s="103">
        <v>1684</v>
      </c>
      <c r="BB122" s="103">
        <v>4771</v>
      </c>
      <c r="BC122" s="103">
        <v>1196</v>
      </c>
      <c r="BD122" s="103">
        <v>2919</v>
      </c>
      <c r="BE122" s="103">
        <v>504</v>
      </c>
      <c r="BF122" s="103">
        <v>1183</v>
      </c>
      <c r="BG122" s="103">
        <v>1811</v>
      </c>
      <c r="BH122" s="103">
        <v>939</v>
      </c>
      <c r="BI122" s="103">
        <v>174</v>
      </c>
      <c r="BJ122" s="103">
        <v>45212</v>
      </c>
      <c r="BK122" s="103">
        <v>1819</v>
      </c>
      <c r="BL122" s="103">
        <v>1251</v>
      </c>
      <c r="BM122" s="103">
        <v>1978</v>
      </c>
      <c r="BN122" s="103">
        <v>4387</v>
      </c>
      <c r="BO122" s="103">
        <v>2574</v>
      </c>
      <c r="BP122" s="103">
        <v>34236</v>
      </c>
      <c r="BQ122" s="103">
        <v>2567</v>
      </c>
      <c r="BR122" s="103">
        <v>4012</v>
      </c>
      <c r="BS122" s="103">
        <v>739</v>
      </c>
      <c r="BT122" s="103">
        <v>200</v>
      </c>
      <c r="BU122" s="103">
        <v>0</v>
      </c>
      <c r="BV122" s="103">
        <v>37</v>
      </c>
      <c r="BW122" s="103">
        <v>189</v>
      </c>
      <c r="BX122" s="103">
        <v>158</v>
      </c>
      <c r="BY122" s="103">
        <v>271</v>
      </c>
      <c r="BZ122" s="103">
        <v>2169</v>
      </c>
      <c r="CA122" s="103">
        <v>0</v>
      </c>
      <c r="CB122" s="104">
        <v>531468</v>
      </c>
      <c r="CC122" s="265"/>
      <c r="CD122" s="105">
        <v>0</v>
      </c>
      <c r="CE122" s="105">
        <v>0</v>
      </c>
      <c r="CF122" s="106">
        <v>768</v>
      </c>
      <c r="CG122" s="107">
        <v>0</v>
      </c>
      <c r="CH122" s="108">
        <v>532236</v>
      </c>
      <c r="CI122" s="51">
        <f t="shared" si="9"/>
        <v>532236</v>
      </c>
      <c r="CJ122" s="51">
        <f t="shared" si="10"/>
        <v>0</v>
      </c>
    </row>
    <row r="123" spans="1:88" ht="15" customHeight="1" x14ac:dyDescent="0.25">
      <c r="A123" s="13" t="s">
        <v>35</v>
      </c>
      <c r="B123" s="268"/>
      <c r="C123" s="102">
        <v>0</v>
      </c>
      <c r="D123" s="103">
        <v>0</v>
      </c>
      <c r="E123" s="103">
        <v>0</v>
      </c>
      <c r="F123" s="103">
        <v>0</v>
      </c>
      <c r="G123" s="103">
        <v>0</v>
      </c>
      <c r="H123" s="103">
        <v>0</v>
      </c>
      <c r="I123" s="103">
        <v>0</v>
      </c>
      <c r="J123" s="103">
        <v>0</v>
      </c>
      <c r="K123" s="103">
        <v>0</v>
      </c>
      <c r="L123" s="103">
        <v>0</v>
      </c>
      <c r="M123" s="103">
        <v>0</v>
      </c>
      <c r="N123" s="103">
        <v>0</v>
      </c>
      <c r="O123" s="103">
        <v>0</v>
      </c>
      <c r="P123" s="103">
        <v>0</v>
      </c>
      <c r="Q123" s="103">
        <v>0</v>
      </c>
      <c r="R123" s="103">
        <v>0</v>
      </c>
      <c r="S123" s="103">
        <v>0</v>
      </c>
      <c r="T123" s="103">
        <v>0</v>
      </c>
      <c r="U123" s="103">
        <v>0</v>
      </c>
      <c r="V123" s="103">
        <v>0</v>
      </c>
      <c r="W123" s="103">
        <v>0</v>
      </c>
      <c r="X123" s="103">
        <v>0</v>
      </c>
      <c r="Y123" s="103">
        <v>0</v>
      </c>
      <c r="Z123" s="103">
        <v>0</v>
      </c>
      <c r="AA123" s="103">
        <v>0</v>
      </c>
      <c r="AB123" s="103">
        <v>0</v>
      </c>
      <c r="AC123" s="103">
        <v>0</v>
      </c>
      <c r="AD123" s="103">
        <v>0</v>
      </c>
      <c r="AE123" s="103">
        <v>0</v>
      </c>
      <c r="AF123" s="103">
        <v>0</v>
      </c>
      <c r="AG123" s="103">
        <v>0</v>
      </c>
      <c r="AH123" s="103">
        <v>0</v>
      </c>
      <c r="AI123" s="103">
        <v>0</v>
      </c>
      <c r="AJ123" s="103">
        <v>0</v>
      </c>
      <c r="AK123" s="103">
        <v>0</v>
      </c>
      <c r="AL123" s="103">
        <v>2092504</v>
      </c>
      <c r="AM123" s="103">
        <v>0</v>
      </c>
      <c r="AN123" s="103">
        <v>0</v>
      </c>
      <c r="AO123" s="103">
        <v>0</v>
      </c>
      <c r="AP123" s="103">
        <v>0</v>
      </c>
      <c r="AQ123" s="103">
        <v>0</v>
      </c>
      <c r="AR123" s="103">
        <v>0</v>
      </c>
      <c r="AS123" s="103">
        <v>0</v>
      </c>
      <c r="AT123" s="103">
        <v>0</v>
      </c>
      <c r="AU123" s="103">
        <v>0</v>
      </c>
      <c r="AV123" s="103">
        <v>0</v>
      </c>
      <c r="AW123" s="103">
        <v>0</v>
      </c>
      <c r="AX123" s="103">
        <v>0</v>
      </c>
      <c r="AY123" s="103">
        <v>0</v>
      </c>
      <c r="AZ123" s="103">
        <v>0</v>
      </c>
      <c r="BA123" s="103">
        <v>0</v>
      </c>
      <c r="BB123" s="103">
        <v>0</v>
      </c>
      <c r="BC123" s="103">
        <v>0</v>
      </c>
      <c r="BD123" s="103">
        <v>0</v>
      </c>
      <c r="BE123" s="103">
        <v>0</v>
      </c>
      <c r="BF123" s="103">
        <v>0</v>
      </c>
      <c r="BG123" s="103">
        <v>0</v>
      </c>
      <c r="BH123" s="103">
        <v>0</v>
      </c>
      <c r="BI123" s="103">
        <v>0</v>
      </c>
      <c r="BJ123" s="103">
        <v>0</v>
      </c>
      <c r="BK123" s="103">
        <v>0</v>
      </c>
      <c r="BL123" s="103">
        <v>0</v>
      </c>
      <c r="BM123" s="103">
        <v>0</v>
      </c>
      <c r="BN123" s="103">
        <v>0</v>
      </c>
      <c r="BO123" s="103">
        <v>0</v>
      </c>
      <c r="BP123" s="103">
        <v>0</v>
      </c>
      <c r="BQ123" s="103">
        <v>0</v>
      </c>
      <c r="BR123" s="103">
        <v>0</v>
      </c>
      <c r="BS123" s="103">
        <v>0</v>
      </c>
      <c r="BT123" s="103">
        <v>0</v>
      </c>
      <c r="BU123" s="103">
        <v>0</v>
      </c>
      <c r="BV123" s="103">
        <v>0</v>
      </c>
      <c r="BW123" s="103">
        <v>0</v>
      </c>
      <c r="BX123" s="103">
        <v>0</v>
      </c>
      <c r="BY123" s="103">
        <v>0</v>
      </c>
      <c r="BZ123" s="103">
        <v>0</v>
      </c>
      <c r="CA123" s="103">
        <v>0</v>
      </c>
      <c r="CB123" s="104">
        <v>2092504</v>
      </c>
      <c r="CC123" s="265"/>
      <c r="CD123" s="105">
        <v>0</v>
      </c>
      <c r="CE123" s="105">
        <v>0</v>
      </c>
      <c r="CF123" s="106">
        <v>0</v>
      </c>
      <c r="CG123" s="107">
        <v>0</v>
      </c>
      <c r="CH123" s="108">
        <v>2092504</v>
      </c>
      <c r="CI123" s="51">
        <f t="shared" si="9"/>
        <v>2092504</v>
      </c>
      <c r="CJ123" s="51">
        <f t="shared" si="10"/>
        <v>0</v>
      </c>
    </row>
    <row r="124" spans="1:88" ht="15" customHeight="1" x14ac:dyDescent="0.25">
      <c r="A124" s="13" t="s">
        <v>36</v>
      </c>
      <c r="B124" s="268"/>
      <c r="C124" s="102">
        <v>0</v>
      </c>
      <c r="D124" s="103">
        <v>0</v>
      </c>
      <c r="E124" s="103">
        <v>0</v>
      </c>
      <c r="F124" s="103">
        <v>0</v>
      </c>
      <c r="G124" s="103">
        <v>0</v>
      </c>
      <c r="H124" s="103">
        <v>0</v>
      </c>
      <c r="I124" s="103">
        <v>0</v>
      </c>
      <c r="J124" s="103">
        <v>0</v>
      </c>
      <c r="K124" s="103">
        <v>0</v>
      </c>
      <c r="L124" s="103">
        <v>0</v>
      </c>
      <c r="M124" s="103">
        <v>0</v>
      </c>
      <c r="N124" s="103">
        <v>0</v>
      </c>
      <c r="O124" s="103">
        <v>0</v>
      </c>
      <c r="P124" s="103">
        <v>0</v>
      </c>
      <c r="Q124" s="103">
        <v>0</v>
      </c>
      <c r="R124" s="103">
        <v>0</v>
      </c>
      <c r="S124" s="103">
        <v>0</v>
      </c>
      <c r="T124" s="103">
        <v>0</v>
      </c>
      <c r="U124" s="103">
        <v>0</v>
      </c>
      <c r="V124" s="103">
        <v>0</v>
      </c>
      <c r="W124" s="103">
        <v>0</v>
      </c>
      <c r="X124" s="103">
        <v>0</v>
      </c>
      <c r="Y124" s="103">
        <v>0</v>
      </c>
      <c r="Z124" s="103">
        <v>0</v>
      </c>
      <c r="AA124" s="103">
        <v>0</v>
      </c>
      <c r="AB124" s="103">
        <v>0</v>
      </c>
      <c r="AC124" s="103">
        <v>0</v>
      </c>
      <c r="AD124" s="103">
        <v>0</v>
      </c>
      <c r="AE124" s="103">
        <v>0</v>
      </c>
      <c r="AF124" s="103">
        <v>0</v>
      </c>
      <c r="AG124" s="103">
        <v>0</v>
      </c>
      <c r="AH124" s="103">
        <v>0</v>
      </c>
      <c r="AI124" s="103">
        <v>0</v>
      </c>
      <c r="AJ124" s="103">
        <v>0</v>
      </c>
      <c r="AK124" s="103">
        <v>0</v>
      </c>
      <c r="AL124" s="103">
        <v>0</v>
      </c>
      <c r="AM124" s="103">
        <v>1395002</v>
      </c>
      <c r="AN124" s="103">
        <v>0</v>
      </c>
      <c r="AO124" s="103">
        <v>0</v>
      </c>
      <c r="AP124" s="103">
        <v>0</v>
      </c>
      <c r="AQ124" s="103">
        <v>0</v>
      </c>
      <c r="AR124" s="103">
        <v>0</v>
      </c>
      <c r="AS124" s="103">
        <v>0</v>
      </c>
      <c r="AT124" s="103">
        <v>0</v>
      </c>
      <c r="AU124" s="103">
        <v>0</v>
      </c>
      <c r="AV124" s="103">
        <v>0</v>
      </c>
      <c r="AW124" s="103">
        <v>0</v>
      </c>
      <c r="AX124" s="103">
        <v>0</v>
      </c>
      <c r="AY124" s="103">
        <v>0</v>
      </c>
      <c r="AZ124" s="103">
        <v>0</v>
      </c>
      <c r="BA124" s="103">
        <v>0</v>
      </c>
      <c r="BB124" s="103">
        <v>0</v>
      </c>
      <c r="BC124" s="103">
        <v>0</v>
      </c>
      <c r="BD124" s="103">
        <v>0</v>
      </c>
      <c r="BE124" s="103">
        <v>0</v>
      </c>
      <c r="BF124" s="103">
        <v>0</v>
      </c>
      <c r="BG124" s="103">
        <v>0</v>
      </c>
      <c r="BH124" s="103">
        <v>0</v>
      </c>
      <c r="BI124" s="103">
        <v>0</v>
      </c>
      <c r="BJ124" s="103">
        <v>0</v>
      </c>
      <c r="BK124" s="103">
        <v>0</v>
      </c>
      <c r="BL124" s="103">
        <v>0</v>
      </c>
      <c r="BM124" s="103">
        <v>0</v>
      </c>
      <c r="BN124" s="103">
        <v>0</v>
      </c>
      <c r="BO124" s="103">
        <v>0</v>
      </c>
      <c r="BP124" s="103">
        <v>0</v>
      </c>
      <c r="BQ124" s="103">
        <v>0</v>
      </c>
      <c r="BR124" s="103">
        <v>0</v>
      </c>
      <c r="BS124" s="103">
        <v>0</v>
      </c>
      <c r="BT124" s="103">
        <v>0</v>
      </c>
      <c r="BU124" s="103">
        <v>0</v>
      </c>
      <c r="BV124" s="103">
        <v>0</v>
      </c>
      <c r="BW124" s="103">
        <v>0</v>
      </c>
      <c r="BX124" s="103">
        <v>0</v>
      </c>
      <c r="BY124" s="103">
        <v>0</v>
      </c>
      <c r="BZ124" s="103">
        <v>0</v>
      </c>
      <c r="CA124" s="103">
        <v>0</v>
      </c>
      <c r="CB124" s="104">
        <v>1395002</v>
      </c>
      <c r="CC124" s="265"/>
      <c r="CD124" s="105">
        <v>0</v>
      </c>
      <c r="CE124" s="105">
        <v>0</v>
      </c>
      <c r="CF124" s="106">
        <v>0</v>
      </c>
      <c r="CG124" s="107">
        <v>0</v>
      </c>
      <c r="CH124" s="108">
        <v>1395002</v>
      </c>
      <c r="CI124" s="51">
        <f t="shared" si="9"/>
        <v>1395002</v>
      </c>
      <c r="CJ124" s="51">
        <f t="shared" si="10"/>
        <v>0</v>
      </c>
    </row>
    <row r="125" spans="1:88" ht="15" customHeight="1" x14ac:dyDescent="0.25">
      <c r="A125" s="13" t="s">
        <v>37</v>
      </c>
      <c r="B125" s="268"/>
      <c r="C125" s="102">
        <v>130370</v>
      </c>
      <c r="D125" s="103">
        <v>24047</v>
      </c>
      <c r="E125" s="103">
        <v>334</v>
      </c>
      <c r="F125" s="103">
        <v>35729</v>
      </c>
      <c r="G125" s="103">
        <v>67742</v>
      </c>
      <c r="H125" s="103">
        <v>254326</v>
      </c>
      <c r="I125" s="103">
        <v>92851</v>
      </c>
      <c r="J125" s="103">
        <v>11072</v>
      </c>
      <c r="K125" s="103">
        <v>16353</v>
      </c>
      <c r="L125" s="103">
        <v>6512</v>
      </c>
      <c r="M125" s="103">
        <v>7553</v>
      </c>
      <c r="N125" s="103">
        <v>164034</v>
      </c>
      <c r="O125" s="103">
        <v>157575</v>
      </c>
      <c r="P125" s="103">
        <v>21802</v>
      </c>
      <c r="Q125" s="103">
        <v>154166</v>
      </c>
      <c r="R125" s="103">
        <v>244770</v>
      </c>
      <c r="S125" s="103">
        <v>10764</v>
      </c>
      <c r="T125" s="103">
        <v>158580</v>
      </c>
      <c r="U125" s="103">
        <v>253241</v>
      </c>
      <c r="V125" s="103">
        <v>263313</v>
      </c>
      <c r="W125" s="103">
        <v>116578</v>
      </c>
      <c r="X125" s="103">
        <v>30390</v>
      </c>
      <c r="Y125" s="103">
        <v>107470</v>
      </c>
      <c r="Z125" s="103">
        <v>69077</v>
      </c>
      <c r="AA125" s="103">
        <v>81211</v>
      </c>
      <c r="AB125" s="103">
        <v>24744</v>
      </c>
      <c r="AC125" s="103">
        <v>62439</v>
      </c>
      <c r="AD125" s="103">
        <v>45430</v>
      </c>
      <c r="AE125" s="103">
        <v>47861</v>
      </c>
      <c r="AF125" s="103">
        <v>269348</v>
      </c>
      <c r="AG125" s="103">
        <v>3542</v>
      </c>
      <c r="AH125" s="103">
        <v>117260</v>
      </c>
      <c r="AI125" s="103">
        <v>11604</v>
      </c>
      <c r="AJ125" s="103">
        <v>375815</v>
      </c>
      <c r="AK125" s="103">
        <v>176823</v>
      </c>
      <c r="AL125" s="103">
        <v>1107497</v>
      </c>
      <c r="AM125" s="103">
        <v>402668</v>
      </c>
      <c r="AN125" s="103">
        <v>1465303</v>
      </c>
      <c r="AO125" s="103">
        <v>8591</v>
      </c>
      <c r="AP125" s="103">
        <v>1007102</v>
      </c>
      <c r="AQ125" s="103">
        <v>3296</v>
      </c>
      <c r="AR125" s="103">
        <v>17197</v>
      </c>
      <c r="AS125" s="103">
        <v>12374</v>
      </c>
      <c r="AT125" s="103">
        <v>2908</v>
      </c>
      <c r="AU125" s="103">
        <v>159</v>
      </c>
      <c r="AV125" s="103">
        <v>14596</v>
      </c>
      <c r="AW125" s="103">
        <v>9542</v>
      </c>
      <c r="AX125" s="103">
        <v>4465</v>
      </c>
      <c r="AY125" s="103">
        <v>4573</v>
      </c>
      <c r="AZ125" s="103">
        <v>11617</v>
      </c>
      <c r="BA125" s="103">
        <v>5988</v>
      </c>
      <c r="BB125" s="103">
        <v>83376</v>
      </c>
      <c r="BC125" s="103">
        <v>4949</v>
      </c>
      <c r="BD125" s="103">
        <v>4973</v>
      </c>
      <c r="BE125" s="103">
        <v>24006</v>
      </c>
      <c r="BF125" s="103">
        <v>15946</v>
      </c>
      <c r="BG125" s="103">
        <v>6107</v>
      </c>
      <c r="BH125" s="103">
        <v>36021</v>
      </c>
      <c r="BI125" s="103">
        <v>0</v>
      </c>
      <c r="BJ125" s="103">
        <v>106679</v>
      </c>
      <c r="BK125" s="103">
        <v>3954</v>
      </c>
      <c r="BL125" s="103">
        <v>52819</v>
      </c>
      <c r="BM125" s="103">
        <v>2790</v>
      </c>
      <c r="BN125" s="103">
        <v>20911</v>
      </c>
      <c r="BO125" s="103">
        <v>31196</v>
      </c>
      <c r="BP125" s="103">
        <v>22851</v>
      </c>
      <c r="BQ125" s="103">
        <v>14856</v>
      </c>
      <c r="BR125" s="103">
        <v>12380</v>
      </c>
      <c r="BS125" s="103">
        <v>4705</v>
      </c>
      <c r="BT125" s="103">
        <v>2720</v>
      </c>
      <c r="BU125" s="103">
        <v>1107</v>
      </c>
      <c r="BV125" s="103">
        <v>0</v>
      </c>
      <c r="BW125" s="103">
        <v>1881</v>
      </c>
      <c r="BX125" s="103">
        <v>714</v>
      </c>
      <c r="BY125" s="103">
        <v>23020</v>
      </c>
      <c r="BZ125" s="103">
        <v>26991</v>
      </c>
      <c r="CA125" s="103">
        <v>0</v>
      </c>
      <c r="CB125" s="104">
        <v>8197554</v>
      </c>
      <c r="CC125" s="265"/>
      <c r="CD125" s="105">
        <v>385685</v>
      </c>
      <c r="CE125" s="105">
        <v>0</v>
      </c>
      <c r="CF125" s="106">
        <v>757</v>
      </c>
      <c r="CG125" s="107">
        <v>0</v>
      </c>
      <c r="CH125" s="108">
        <v>8583996</v>
      </c>
      <c r="CI125" s="51">
        <f t="shared" si="9"/>
        <v>8583996</v>
      </c>
      <c r="CJ125" s="51">
        <f t="shared" si="10"/>
        <v>0</v>
      </c>
    </row>
    <row r="126" spans="1:88" ht="15" customHeight="1" x14ac:dyDescent="0.25">
      <c r="A126" s="13" t="s">
        <v>38</v>
      </c>
      <c r="B126" s="268"/>
      <c r="C126" s="102">
        <v>13640</v>
      </c>
      <c r="D126" s="103">
        <v>15450</v>
      </c>
      <c r="E126" s="103">
        <v>8402</v>
      </c>
      <c r="F126" s="103">
        <v>1256</v>
      </c>
      <c r="G126" s="103">
        <v>64582</v>
      </c>
      <c r="H126" s="103">
        <v>69268</v>
      </c>
      <c r="I126" s="103">
        <v>11219</v>
      </c>
      <c r="J126" s="103">
        <v>2702</v>
      </c>
      <c r="K126" s="103">
        <v>22501</v>
      </c>
      <c r="L126" s="103">
        <v>5417</v>
      </c>
      <c r="M126" s="103">
        <v>2439</v>
      </c>
      <c r="N126" s="103">
        <v>30378</v>
      </c>
      <c r="O126" s="103">
        <v>39736</v>
      </c>
      <c r="P126" s="103">
        <v>14252</v>
      </c>
      <c r="Q126" s="103">
        <v>78066</v>
      </c>
      <c r="R126" s="103">
        <v>117834</v>
      </c>
      <c r="S126" s="103">
        <v>12551</v>
      </c>
      <c r="T126" s="103">
        <v>36250</v>
      </c>
      <c r="U126" s="103">
        <v>50034</v>
      </c>
      <c r="V126" s="103">
        <v>20611</v>
      </c>
      <c r="W126" s="103">
        <v>52019</v>
      </c>
      <c r="X126" s="103">
        <v>30929</v>
      </c>
      <c r="Y126" s="103">
        <v>64983</v>
      </c>
      <c r="Z126" s="103">
        <v>41268</v>
      </c>
      <c r="AA126" s="103">
        <v>106910</v>
      </c>
      <c r="AB126" s="103">
        <v>49103</v>
      </c>
      <c r="AC126" s="103">
        <v>53400</v>
      </c>
      <c r="AD126" s="103">
        <v>6473</v>
      </c>
      <c r="AE126" s="103">
        <v>29664</v>
      </c>
      <c r="AF126" s="103">
        <v>20801</v>
      </c>
      <c r="AG126" s="103">
        <v>1563</v>
      </c>
      <c r="AH126" s="103">
        <v>6638</v>
      </c>
      <c r="AI126" s="103">
        <v>1620</v>
      </c>
      <c r="AJ126" s="103">
        <v>67840</v>
      </c>
      <c r="AK126" s="103">
        <v>49344</v>
      </c>
      <c r="AL126" s="103">
        <v>377955</v>
      </c>
      <c r="AM126" s="103">
        <v>59068</v>
      </c>
      <c r="AN126" s="103">
        <v>281266</v>
      </c>
      <c r="AO126" s="103">
        <v>168527</v>
      </c>
      <c r="AP126" s="103">
        <v>1339556</v>
      </c>
      <c r="AQ126" s="103">
        <v>5505</v>
      </c>
      <c r="AR126" s="103">
        <v>3903</v>
      </c>
      <c r="AS126" s="103">
        <v>9836</v>
      </c>
      <c r="AT126" s="103">
        <v>13650</v>
      </c>
      <c r="AU126" s="103">
        <v>104</v>
      </c>
      <c r="AV126" s="103">
        <v>3958</v>
      </c>
      <c r="AW126" s="103">
        <v>59087</v>
      </c>
      <c r="AX126" s="103">
        <v>4296</v>
      </c>
      <c r="AY126" s="103">
        <v>51447</v>
      </c>
      <c r="AZ126" s="103">
        <v>8352</v>
      </c>
      <c r="BA126" s="103">
        <v>11247</v>
      </c>
      <c r="BB126" s="103">
        <v>30455</v>
      </c>
      <c r="BC126" s="103">
        <v>17606</v>
      </c>
      <c r="BD126" s="103">
        <v>28766</v>
      </c>
      <c r="BE126" s="103">
        <v>9009</v>
      </c>
      <c r="BF126" s="103">
        <v>57566</v>
      </c>
      <c r="BG126" s="103">
        <v>14386</v>
      </c>
      <c r="BH126" s="103">
        <v>3598</v>
      </c>
      <c r="BI126" s="103">
        <v>0</v>
      </c>
      <c r="BJ126" s="103">
        <v>42432</v>
      </c>
      <c r="BK126" s="103">
        <v>8733</v>
      </c>
      <c r="BL126" s="103">
        <v>1217220</v>
      </c>
      <c r="BM126" s="103">
        <v>8213</v>
      </c>
      <c r="BN126" s="103">
        <v>342</v>
      </c>
      <c r="BO126" s="103">
        <v>4187</v>
      </c>
      <c r="BP126" s="103">
        <v>19918</v>
      </c>
      <c r="BQ126" s="103">
        <v>9607</v>
      </c>
      <c r="BR126" s="103">
        <v>7247</v>
      </c>
      <c r="BS126" s="103">
        <v>0</v>
      </c>
      <c r="BT126" s="103">
        <v>31577</v>
      </c>
      <c r="BU126" s="103">
        <v>592</v>
      </c>
      <c r="BV126" s="103">
        <v>0</v>
      </c>
      <c r="BW126" s="103">
        <v>6427</v>
      </c>
      <c r="BX126" s="103">
        <v>464</v>
      </c>
      <c r="BY126" s="103">
        <v>24632</v>
      </c>
      <c r="BZ126" s="103">
        <v>4489</v>
      </c>
      <c r="CA126" s="103">
        <v>0</v>
      </c>
      <c r="CB126" s="104">
        <v>5144366</v>
      </c>
      <c r="CC126" s="265"/>
      <c r="CD126" s="105">
        <v>1377581</v>
      </c>
      <c r="CE126" s="105">
        <v>0</v>
      </c>
      <c r="CF126" s="106">
        <v>2</v>
      </c>
      <c r="CG126" s="107">
        <v>0</v>
      </c>
      <c r="CH126" s="108">
        <v>6521949</v>
      </c>
      <c r="CI126" s="51">
        <f t="shared" si="9"/>
        <v>6521949</v>
      </c>
      <c r="CJ126" s="51">
        <f t="shared" si="10"/>
        <v>0</v>
      </c>
    </row>
    <row r="127" spans="1:88" ht="15" customHeight="1" x14ac:dyDescent="0.25">
      <c r="A127" s="13" t="s">
        <v>39</v>
      </c>
      <c r="B127" s="268"/>
      <c r="C127" s="102">
        <v>16625</v>
      </c>
      <c r="D127" s="103">
        <v>355</v>
      </c>
      <c r="E127" s="103">
        <v>770</v>
      </c>
      <c r="F127" s="103">
        <v>4231</v>
      </c>
      <c r="G127" s="103">
        <v>19009</v>
      </c>
      <c r="H127" s="103">
        <v>65532</v>
      </c>
      <c r="I127" s="103">
        <v>42761</v>
      </c>
      <c r="J127" s="103">
        <v>5006</v>
      </c>
      <c r="K127" s="103">
        <v>3204</v>
      </c>
      <c r="L127" s="103">
        <v>5968</v>
      </c>
      <c r="M127" s="103">
        <v>697</v>
      </c>
      <c r="N127" s="103">
        <v>4438</v>
      </c>
      <c r="O127" s="103">
        <v>11876</v>
      </c>
      <c r="P127" s="103">
        <v>4869</v>
      </c>
      <c r="Q127" s="103">
        <v>53430</v>
      </c>
      <c r="R127" s="103">
        <v>30557</v>
      </c>
      <c r="S127" s="103">
        <v>6232</v>
      </c>
      <c r="T127" s="103">
        <v>14658</v>
      </c>
      <c r="U127" s="103">
        <v>28087</v>
      </c>
      <c r="V127" s="103">
        <v>14144</v>
      </c>
      <c r="W127" s="103">
        <v>7975</v>
      </c>
      <c r="X127" s="103">
        <v>4032</v>
      </c>
      <c r="Y127" s="103">
        <v>22861</v>
      </c>
      <c r="Z127" s="103">
        <v>11211</v>
      </c>
      <c r="AA127" s="103">
        <v>36116</v>
      </c>
      <c r="AB127" s="103">
        <v>3508</v>
      </c>
      <c r="AC127" s="103">
        <v>8644</v>
      </c>
      <c r="AD127" s="103">
        <v>1968</v>
      </c>
      <c r="AE127" s="103">
        <v>7130</v>
      </c>
      <c r="AF127" s="103">
        <v>33823</v>
      </c>
      <c r="AG127" s="103">
        <v>326</v>
      </c>
      <c r="AH127" s="103">
        <v>1963</v>
      </c>
      <c r="AI127" s="103">
        <v>345</v>
      </c>
      <c r="AJ127" s="103">
        <v>62265</v>
      </c>
      <c r="AK127" s="103">
        <v>29801</v>
      </c>
      <c r="AL127" s="103">
        <v>475368</v>
      </c>
      <c r="AM127" s="103">
        <v>509420</v>
      </c>
      <c r="AN127" s="103">
        <v>673893</v>
      </c>
      <c r="AO127" s="103">
        <v>219765</v>
      </c>
      <c r="AP127" s="103">
        <v>904316</v>
      </c>
      <c r="AQ127" s="103">
        <v>1110</v>
      </c>
      <c r="AR127" s="103">
        <v>1121</v>
      </c>
      <c r="AS127" s="103">
        <v>9736</v>
      </c>
      <c r="AT127" s="103">
        <v>650</v>
      </c>
      <c r="AU127" s="103">
        <v>72</v>
      </c>
      <c r="AV127" s="103">
        <v>16342</v>
      </c>
      <c r="AW127" s="103">
        <v>4392</v>
      </c>
      <c r="AX127" s="103">
        <v>1514</v>
      </c>
      <c r="AY127" s="103">
        <v>3703</v>
      </c>
      <c r="AZ127" s="103">
        <v>650</v>
      </c>
      <c r="BA127" s="103">
        <v>1324</v>
      </c>
      <c r="BB127" s="103">
        <v>11526</v>
      </c>
      <c r="BC127" s="103">
        <v>4470</v>
      </c>
      <c r="BD127" s="103">
        <v>62401</v>
      </c>
      <c r="BE127" s="103">
        <v>1584</v>
      </c>
      <c r="BF127" s="103">
        <v>1831</v>
      </c>
      <c r="BG127" s="103">
        <v>10067</v>
      </c>
      <c r="BH127" s="103">
        <v>7286</v>
      </c>
      <c r="BI127" s="103">
        <v>11</v>
      </c>
      <c r="BJ127" s="103">
        <v>31748</v>
      </c>
      <c r="BK127" s="103">
        <v>4916</v>
      </c>
      <c r="BL127" s="103">
        <v>2040</v>
      </c>
      <c r="BM127" s="103">
        <v>1312</v>
      </c>
      <c r="BN127" s="103">
        <v>3957</v>
      </c>
      <c r="BO127" s="103">
        <v>12383</v>
      </c>
      <c r="BP127" s="103">
        <v>5534</v>
      </c>
      <c r="BQ127" s="103">
        <v>1244</v>
      </c>
      <c r="BR127" s="103">
        <v>7056</v>
      </c>
      <c r="BS127" s="103">
        <v>223</v>
      </c>
      <c r="BT127" s="103">
        <v>1536</v>
      </c>
      <c r="BU127" s="103">
        <v>288</v>
      </c>
      <c r="BV127" s="103">
        <v>18</v>
      </c>
      <c r="BW127" s="103">
        <v>255</v>
      </c>
      <c r="BX127" s="103">
        <v>603</v>
      </c>
      <c r="BY127" s="103">
        <v>792</v>
      </c>
      <c r="BZ127" s="103">
        <v>10227</v>
      </c>
      <c r="CA127" s="103">
        <v>0</v>
      </c>
      <c r="CB127" s="104">
        <v>3571101</v>
      </c>
      <c r="CC127" s="265"/>
      <c r="CD127" s="105">
        <v>280204</v>
      </c>
      <c r="CE127" s="105">
        <v>0</v>
      </c>
      <c r="CF127" s="106">
        <v>668</v>
      </c>
      <c r="CG127" s="107">
        <v>0</v>
      </c>
      <c r="CH127" s="108">
        <v>3851973</v>
      </c>
      <c r="CI127" s="51">
        <f t="shared" si="9"/>
        <v>3851973</v>
      </c>
      <c r="CJ127" s="51">
        <f t="shared" si="10"/>
        <v>0</v>
      </c>
    </row>
    <row r="128" spans="1:88" ht="15" customHeight="1" x14ac:dyDescent="0.25">
      <c r="A128" s="13" t="s">
        <v>40</v>
      </c>
      <c r="B128" s="268"/>
      <c r="C128" s="102">
        <v>0</v>
      </c>
      <c r="D128" s="103">
        <v>0</v>
      </c>
      <c r="E128" s="103">
        <v>0</v>
      </c>
      <c r="F128" s="103">
        <v>0</v>
      </c>
      <c r="G128" s="103">
        <v>0</v>
      </c>
      <c r="H128" s="103">
        <v>0</v>
      </c>
      <c r="I128" s="103">
        <v>0</v>
      </c>
      <c r="J128" s="103">
        <v>0</v>
      </c>
      <c r="K128" s="103">
        <v>0</v>
      </c>
      <c r="L128" s="103">
        <v>0</v>
      </c>
      <c r="M128" s="103">
        <v>0</v>
      </c>
      <c r="N128" s="103">
        <v>0</v>
      </c>
      <c r="O128" s="103">
        <v>0</v>
      </c>
      <c r="P128" s="103">
        <v>0</v>
      </c>
      <c r="Q128" s="103">
        <v>0</v>
      </c>
      <c r="R128" s="103">
        <v>0</v>
      </c>
      <c r="S128" s="103">
        <v>0</v>
      </c>
      <c r="T128" s="103">
        <v>0</v>
      </c>
      <c r="U128" s="103">
        <v>0</v>
      </c>
      <c r="V128" s="103">
        <v>0</v>
      </c>
      <c r="W128" s="103">
        <v>0</v>
      </c>
      <c r="X128" s="103">
        <v>0</v>
      </c>
      <c r="Y128" s="103">
        <v>0</v>
      </c>
      <c r="Z128" s="103">
        <v>0</v>
      </c>
      <c r="AA128" s="103">
        <v>0</v>
      </c>
      <c r="AB128" s="103">
        <v>0</v>
      </c>
      <c r="AC128" s="103">
        <v>0</v>
      </c>
      <c r="AD128" s="103">
        <v>0</v>
      </c>
      <c r="AE128" s="103">
        <v>0</v>
      </c>
      <c r="AF128" s="103">
        <v>0</v>
      </c>
      <c r="AG128" s="103">
        <v>0</v>
      </c>
      <c r="AH128" s="103">
        <v>0</v>
      </c>
      <c r="AI128" s="103">
        <v>0</v>
      </c>
      <c r="AJ128" s="103">
        <v>0</v>
      </c>
      <c r="AK128" s="103">
        <v>0</v>
      </c>
      <c r="AL128" s="103">
        <v>0</v>
      </c>
      <c r="AM128" s="103">
        <v>0</v>
      </c>
      <c r="AN128" s="103">
        <v>0</v>
      </c>
      <c r="AO128" s="103">
        <v>0</v>
      </c>
      <c r="AP128" s="103">
        <v>0</v>
      </c>
      <c r="AQ128" s="103">
        <v>0</v>
      </c>
      <c r="AR128" s="103">
        <v>0</v>
      </c>
      <c r="AS128" s="103">
        <v>0</v>
      </c>
      <c r="AT128" s="103">
        <v>0</v>
      </c>
      <c r="AU128" s="103">
        <v>0</v>
      </c>
      <c r="AV128" s="103">
        <v>0</v>
      </c>
      <c r="AW128" s="103">
        <v>0</v>
      </c>
      <c r="AX128" s="103">
        <v>0</v>
      </c>
      <c r="AY128" s="103">
        <v>0</v>
      </c>
      <c r="AZ128" s="103">
        <v>0</v>
      </c>
      <c r="BA128" s="103">
        <v>0</v>
      </c>
      <c r="BB128" s="103">
        <v>0</v>
      </c>
      <c r="BC128" s="103">
        <v>0</v>
      </c>
      <c r="BD128" s="103">
        <v>0</v>
      </c>
      <c r="BE128" s="103">
        <v>0</v>
      </c>
      <c r="BF128" s="103">
        <v>0</v>
      </c>
      <c r="BG128" s="103">
        <v>0</v>
      </c>
      <c r="BH128" s="103">
        <v>0</v>
      </c>
      <c r="BI128" s="103">
        <v>0</v>
      </c>
      <c r="BJ128" s="103">
        <v>0</v>
      </c>
      <c r="BK128" s="103">
        <v>0</v>
      </c>
      <c r="BL128" s="103">
        <v>0</v>
      </c>
      <c r="BM128" s="103">
        <v>0</v>
      </c>
      <c r="BN128" s="103">
        <v>0</v>
      </c>
      <c r="BO128" s="103">
        <v>0</v>
      </c>
      <c r="BP128" s="103">
        <v>0</v>
      </c>
      <c r="BQ128" s="103">
        <v>0</v>
      </c>
      <c r="BR128" s="103">
        <v>0</v>
      </c>
      <c r="BS128" s="103">
        <v>0</v>
      </c>
      <c r="BT128" s="103">
        <v>0</v>
      </c>
      <c r="BU128" s="103">
        <v>0</v>
      </c>
      <c r="BV128" s="103">
        <v>0</v>
      </c>
      <c r="BW128" s="103">
        <v>0</v>
      </c>
      <c r="BX128" s="103">
        <v>0</v>
      </c>
      <c r="BY128" s="103">
        <v>0</v>
      </c>
      <c r="BZ128" s="103">
        <v>0</v>
      </c>
      <c r="CA128" s="103">
        <v>0</v>
      </c>
      <c r="CB128" s="104">
        <v>0</v>
      </c>
      <c r="CC128" s="265"/>
      <c r="CD128" s="105">
        <v>1249660</v>
      </c>
      <c r="CE128" s="105">
        <v>0</v>
      </c>
      <c r="CF128" s="106">
        <v>0</v>
      </c>
      <c r="CG128" s="107">
        <v>0</v>
      </c>
      <c r="CH128" s="108">
        <v>1249660</v>
      </c>
      <c r="CI128" s="51">
        <f t="shared" si="9"/>
        <v>1249660</v>
      </c>
      <c r="CJ128" s="51">
        <f t="shared" si="10"/>
        <v>0</v>
      </c>
    </row>
    <row r="129" spans="1:88" ht="15" customHeight="1" x14ac:dyDescent="0.25">
      <c r="A129" s="13" t="s">
        <v>41</v>
      </c>
      <c r="B129" s="268"/>
      <c r="C129" s="102">
        <v>0</v>
      </c>
      <c r="D129" s="103">
        <v>6352</v>
      </c>
      <c r="E129" s="103">
        <v>0</v>
      </c>
      <c r="F129" s="103">
        <v>8426</v>
      </c>
      <c r="G129" s="103">
        <v>8599</v>
      </c>
      <c r="H129" s="103">
        <v>67038</v>
      </c>
      <c r="I129" s="103">
        <v>16581</v>
      </c>
      <c r="J129" s="103">
        <v>3991</v>
      </c>
      <c r="K129" s="103">
        <v>9832</v>
      </c>
      <c r="L129" s="103">
        <v>7723</v>
      </c>
      <c r="M129" s="103">
        <v>0</v>
      </c>
      <c r="N129" s="103">
        <v>8349</v>
      </c>
      <c r="O129" s="103">
        <v>15320</v>
      </c>
      <c r="P129" s="103">
        <v>7162</v>
      </c>
      <c r="Q129" s="103">
        <v>8792</v>
      </c>
      <c r="R129" s="103">
        <v>13713</v>
      </c>
      <c r="S129" s="103">
        <v>4424</v>
      </c>
      <c r="T129" s="103">
        <v>15806</v>
      </c>
      <c r="U129" s="103">
        <v>17951</v>
      </c>
      <c r="V129" s="103">
        <v>3240</v>
      </c>
      <c r="W129" s="103">
        <v>24912</v>
      </c>
      <c r="X129" s="103">
        <v>3976</v>
      </c>
      <c r="Y129" s="103">
        <v>43601</v>
      </c>
      <c r="Z129" s="103">
        <v>27207</v>
      </c>
      <c r="AA129" s="103">
        <v>13116</v>
      </c>
      <c r="AB129" s="103">
        <v>6909</v>
      </c>
      <c r="AC129" s="103">
        <v>5382</v>
      </c>
      <c r="AD129" s="103">
        <v>0</v>
      </c>
      <c r="AE129" s="103">
        <v>22356</v>
      </c>
      <c r="AF129" s="103">
        <v>12332</v>
      </c>
      <c r="AG129" s="103">
        <v>0</v>
      </c>
      <c r="AH129" s="103">
        <v>16664</v>
      </c>
      <c r="AI129" s="103">
        <v>0</v>
      </c>
      <c r="AJ129" s="103">
        <v>96646</v>
      </c>
      <c r="AK129" s="103">
        <v>30468</v>
      </c>
      <c r="AL129" s="103">
        <v>281464</v>
      </c>
      <c r="AM129" s="103">
        <v>110514</v>
      </c>
      <c r="AN129" s="103">
        <v>19577</v>
      </c>
      <c r="AO129" s="103">
        <v>0</v>
      </c>
      <c r="AP129" s="103">
        <v>15611</v>
      </c>
      <c r="AQ129" s="103">
        <v>6366</v>
      </c>
      <c r="AR129" s="103">
        <v>17096</v>
      </c>
      <c r="AS129" s="103">
        <v>11528</v>
      </c>
      <c r="AT129" s="103">
        <v>33247</v>
      </c>
      <c r="AU129" s="103">
        <v>0</v>
      </c>
      <c r="AV129" s="103">
        <v>15219</v>
      </c>
      <c r="AW129" s="103">
        <v>30250</v>
      </c>
      <c r="AX129" s="103">
        <v>21574</v>
      </c>
      <c r="AY129" s="103">
        <v>7463</v>
      </c>
      <c r="AZ129" s="103">
        <v>51673</v>
      </c>
      <c r="BA129" s="103">
        <v>1415</v>
      </c>
      <c r="BB129" s="103">
        <v>1346</v>
      </c>
      <c r="BC129" s="103">
        <v>43616</v>
      </c>
      <c r="BD129" s="103">
        <v>60719</v>
      </c>
      <c r="BE129" s="103">
        <v>24722</v>
      </c>
      <c r="BF129" s="103">
        <v>34914</v>
      </c>
      <c r="BG129" s="103">
        <v>56385</v>
      </c>
      <c r="BH129" s="103">
        <v>0</v>
      </c>
      <c r="BI129" s="103">
        <v>0</v>
      </c>
      <c r="BJ129" s="103">
        <v>25625</v>
      </c>
      <c r="BK129" s="103">
        <v>14412</v>
      </c>
      <c r="BL129" s="103">
        <v>13953</v>
      </c>
      <c r="BM129" s="103">
        <v>0</v>
      </c>
      <c r="BN129" s="103">
        <v>37391</v>
      </c>
      <c r="BO129" s="103">
        <v>22476</v>
      </c>
      <c r="BP129" s="103">
        <v>116949</v>
      </c>
      <c r="BQ129" s="103">
        <v>46943</v>
      </c>
      <c r="BR129" s="103">
        <v>6780</v>
      </c>
      <c r="BS129" s="103">
        <v>0</v>
      </c>
      <c r="BT129" s="103">
        <v>54020</v>
      </c>
      <c r="BU129" s="103">
        <v>2647</v>
      </c>
      <c r="BV129" s="103">
        <v>0</v>
      </c>
      <c r="BW129" s="103">
        <v>27563</v>
      </c>
      <c r="BX129" s="103">
        <v>739</v>
      </c>
      <c r="BY129" s="103">
        <v>0</v>
      </c>
      <c r="BZ129" s="103">
        <v>13949</v>
      </c>
      <c r="CA129" s="103">
        <v>0</v>
      </c>
      <c r="CB129" s="104">
        <v>1755014</v>
      </c>
      <c r="CC129" s="265"/>
      <c r="CD129" s="105">
        <v>0</v>
      </c>
      <c r="CE129" s="105">
        <v>0</v>
      </c>
      <c r="CF129" s="106">
        <v>809</v>
      </c>
      <c r="CG129" s="107">
        <v>0</v>
      </c>
      <c r="CH129" s="108">
        <v>1755823</v>
      </c>
      <c r="CI129" s="51">
        <f t="shared" si="9"/>
        <v>1755823</v>
      </c>
      <c r="CJ129" s="51">
        <f t="shared" si="10"/>
        <v>0</v>
      </c>
    </row>
    <row r="130" spans="1:88" ht="15" customHeight="1" x14ac:dyDescent="0.25">
      <c r="A130" s="13" t="s">
        <v>42</v>
      </c>
      <c r="B130" s="268"/>
      <c r="C130" s="102">
        <v>5631</v>
      </c>
      <c r="D130" s="103">
        <v>9237</v>
      </c>
      <c r="E130" s="103">
        <v>64</v>
      </c>
      <c r="F130" s="103">
        <v>7327</v>
      </c>
      <c r="G130" s="103">
        <v>5823</v>
      </c>
      <c r="H130" s="103">
        <v>5158</v>
      </c>
      <c r="I130" s="103">
        <v>1990</v>
      </c>
      <c r="J130" s="103">
        <v>3727</v>
      </c>
      <c r="K130" s="103">
        <v>4149</v>
      </c>
      <c r="L130" s="103">
        <v>4015</v>
      </c>
      <c r="M130" s="103">
        <v>1271</v>
      </c>
      <c r="N130" s="103">
        <v>3633</v>
      </c>
      <c r="O130" s="103">
        <v>8358</v>
      </c>
      <c r="P130" s="103">
        <v>17343</v>
      </c>
      <c r="Q130" s="103">
        <v>5247</v>
      </c>
      <c r="R130" s="103">
        <v>9259</v>
      </c>
      <c r="S130" s="103">
        <v>4497</v>
      </c>
      <c r="T130" s="103">
        <v>13604</v>
      </c>
      <c r="U130" s="103">
        <v>17977</v>
      </c>
      <c r="V130" s="103">
        <v>5944</v>
      </c>
      <c r="W130" s="103">
        <v>15963</v>
      </c>
      <c r="X130" s="103">
        <v>0</v>
      </c>
      <c r="Y130" s="103">
        <v>15493</v>
      </c>
      <c r="Z130" s="103">
        <v>13727</v>
      </c>
      <c r="AA130" s="103">
        <v>12948</v>
      </c>
      <c r="AB130" s="103">
        <v>7735</v>
      </c>
      <c r="AC130" s="103">
        <v>11851</v>
      </c>
      <c r="AD130" s="103">
        <v>2837</v>
      </c>
      <c r="AE130" s="103">
        <v>265</v>
      </c>
      <c r="AF130" s="103">
        <v>12526</v>
      </c>
      <c r="AG130" s="103">
        <v>4591</v>
      </c>
      <c r="AH130" s="103">
        <v>10779</v>
      </c>
      <c r="AI130" s="103">
        <v>230</v>
      </c>
      <c r="AJ130" s="103">
        <v>20898</v>
      </c>
      <c r="AK130" s="103">
        <v>3395</v>
      </c>
      <c r="AL130" s="103">
        <v>82417</v>
      </c>
      <c r="AM130" s="103">
        <v>78981</v>
      </c>
      <c r="AN130" s="103">
        <v>25930</v>
      </c>
      <c r="AO130" s="103">
        <v>5899</v>
      </c>
      <c r="AP130" s="103">
        <v>2156</v>
      </c>
      <c r="AQ130" s="103">
        <v>683</v>
      </c>
      <c r="AR130" s="103">
        <v>9623</v>
      </c>
      <c r="AS130" s="103">
        <v>98249</v>
      </c>
      <c r="AT130" s="103">
        <v>1208</v>
      </c>
      <c r="AU130" s="103">
        <v>192</v>
      </c>
      <c r="AV130" s="103">
        <v>46113</v>
      </c>
      <c r="AW130" s="103">
        <v>76644</v>
      </c>
      <c r="AX130" s="103">
        <v>13488</v>
      </c>
      <c r="AY130" s="103">
        <v>42835</v>
      </c>
      <c r="AZ130" s="103">
        <v>64698</v>
      </c>
      <c r="BA130" s="103">
        <v>19349</v>
      </c>
      <c r="BB130" s="103">
        <v>13802</v>
      </c>
      <c r="BC130" s="103">
        <v>6032</v>
      </c>
      <c r="BD130" s="103">
        <v>10827</v>
      </c>
      <c r="BE130" s="103">
        <v>34836</v>
      </c>
      <c r="BF130" s="103">
        <v>27943</v>
      </c>
      <c r="BG130" s="103">
        <v>78937</v>
      </c>
      <c r="BH130" s="103">
        <v>6209</v>
      </c>
      <c r="BI130" s="103">
        <v>0</v>
      </c>
      <c r="BJ130" s="103">
        <v>27559</v>
      </c>
      <c r="BK130" s="103">
        <v>2743</v>
      </c>
      <c r="BL130" s="103">
        <v>5503</v>
      </c>
      <c r="BM130" s="103">
        <v>509</v>
      </c>
      <c r="BN130" s="103">
        <v>729</v>
      </c>
      <c r="BO130" s="103">
        <v>1355</v>
      </c>
      <c r="BP130" s="103">
        <v>32699</v>
      </c>
      <c r="BQ130" s="103">
        <v>105996</v>
      </c>
      <c r="BR130" s="103">
        <v>66919</v>
      </c>
      <c r="BS130" s="103">
        <v>0</v>
      </c>
      <c r="BT130" s="103">
        <v>8290</v>
      </c>
      <c r="BU130" s="103">
        <v>6332</v>
      </c>
      <c r="BV130" s="103">
        <v>0</v>
      </c>
      <c r="BW130" s="103">
        <v>3226</v>
      </c>
      <c r="BX130" s="103">
        <v>17220</v>
      </c>
      <c r="BY130" s="103">
        <v>0</v>
      </c>
      <c r="BZ130" s="103">
        <v>9904</v>
      </c>
      <c r="CA130" s="103">
        <v>0</v>
      </c>
      <c r="CB130" s="104">
        <v>1303527</v>
      </c>
      <c r="CC130" s="265"/>
      <c r="CD130" s="105">
        <v>1811967</v>
      </c>
      <c r="CE130" s="105">
        <v>0</v>
      </c>
      <c r="CF130" s="106">
        <v>62722</v>
      </c>
      <c r="CG130" s="107">
        <v>1444673</v>
      </c>
      <c r="CH130" s="108">
        <v>4622889</v>
      </c>
      <c r="CI130" s="51">
        <f t="shared" si="9"/>
        <v>4622889</v>
      </c>
      <c r="CJ130" s="51">
        <f t="shared" si="10"/>
        <v>0</v>
      </c>
    </row>
    <row r="131" spans="1:88" ht="15" customHeight="1" x14ac:dyDescent="0.25">
      <c r="A131" s="13" t="s">
        <v>43</v>
      </c>
      <c r="B131" s="268"/>
      <c r="C131" s="102">
        <v>0</v>
      </c>
      <c r="D131" s="103">
        <v>48</v>
      </c>
      <c r="E131" s="103">
        <v>0</v>
      </c>
      <c r="F131" s="103">
        <v>0</v>
      </c>
      <c r="G131" s="103">
        <v>0</v>
      </c>
      <c r="H131" s="103">
        <v>41556</v>
      </c>
      <c r="I131" s="103">
        <v>12182</v>
      </c>
      <c r="J131" s="103">
        <v>0</v>
      </c>
      <c r="K131" s="103">
        <v>0</v>
      </c>
      <c r="L131" s="103">
        <v>0</v>
      </c>
      <c r="M131" s="103">
        <v>0</v>
      </c>
      <c r="N131" s="103">
        <v>235</v>
      </c>
      <c r="O131" s="103">
        <v>408</v>
      </c>
      <c r="P131" s="103">
        <v>14640</v>
      </c>
      <c r="Q131" s="103">
        <v>0</v>
      </c>
      <c r="R131" s="103">
        <v>1697</v>
      </c>
      <c r="S131" s="103">
        <v>11103</v>
      </c>
      <c r="T131" s="103">
        <v>800</v>
      </c>
      <c r="U131" s="103">
        <v>0</v>
      </c>
      <c r="V131" s="103">
        <v>0</v>
      </c>
      <c r="W131" s="103">
        <v>267</v>
      </c>
      <c r="X131" s="103">
        <v>46</v>
      </c>
      <c r="Y131" s="103">
        <v>0</v>
      </c>
      <c r="Z131" s="103">
        <v>42</v>
      </c>
      <c r="AA131" s="103">
        <v>48</v>
      </c>
      <c r="AB131" s="103">
        <v>0</v>
      </c>
      <c r="AC131" s="103">
        <v>577</v>
      </c>
      <c r="AD131" s="103">
        <v>0</v>
      </c>
      <c r="AE131" s="103">
        <v>0</v>
      </c>
      <c r="AF131" s="103">
        <v>0</v>
      </c>
      <c r="AG131" s="103">
        <v>0</v>
      </c>
      <c r="AH131" s="103">
        <v>53</v>
      </c>
      <c r="AI131" s="103">
        <v>0</v>
      </c>
      <c r="AJ131" s="103">
        <v>0</v>
      </c>
      <c r="AK131" s="103">
        <v>5252</v>
      </c>
      <c r="AL131" s="103">
        <v>29309</v>
      </c>
      <c r="AM131" s="103">
        <v>125269</v>
      </c>
      <c r="AN131" s="103">
        <v>103</v>
      </c>
      <c r="AO131" s="103">
        <v>0</v>
      </c>
      <c r="AP131" s="103">
        <v>1652</v>
      </c>
      <c r="AQ131" s="103">
        <v>991</v>
      </c>
      <c r="AR131" s="103">
        <v>2448</v>
      </c>
      <c r="AS131" s="103">
        <v>4457</v>
      </c>
      <c r="AT131" s="103">
        <v>136149</v>
      </c>
      <c r="AU131" s="103">
        <v>317884</v>
      </c>
      <c r="AV131" s="103">
        <v>1104</v>
      </c>
      <c r="AW131" s="103">
        <v>3427</v>
      </c>
      <c r="AX131" s="103">
        <v>3215</v>
      </c>
      <c r="AY131" s="103">
        <v>0</v>
      </c>
      <c r="AZ131" s="103">
        <v>0</v>
      </c>
      <c r="BA131" s="103">
        <v>0</v>
      </c>
      <c r="BB131" s="103">
        <v>7376</v>
      </c>
      <c r="BC131" s="103">
        <v>534</v>
      </c>
      <c r="BD131" s="103">
        <v>52952</v>
      </c>
      <c r="BE131" s="103">
        <v>91</v>
      </c>
      <c r="BF131" s="103">
        <v>84</v>
      </c>
      <c r="BG131" s="103">
        <v>82444</v>
      </c>
      <c r="BH131" s="103">
        <v>3701</v>
      </c>
      <c r="BI131" s="103">
        <v>0</v>
      </c>
      <c r="BJ131" s="103">
        <v>0</v>
      </c>
      <c r="BK131" s="103">
        <v>0</v>
      </c>
      <c r="BL131" s="103">
        <v>0</v>
      </c>
      <c r="BM131" s="103">
        <v>0</v>
      </c>
      <c r="BN131" s="103">
        <v>0</v>
      </c>
      <c r="BO131" s="103">
        <v>187</v>
      </c>
      <c r="BP131" s="103">
        <v>5419</v>
      </c>
      <c r="BQ131" s="103">
        <v>5076</v>
      </c>
      <c r="BR131" s="103">
        <v>5048</v>
      </c>
      <c r="BS131" s="103">
        <v>0</v>
      </c>
      <c r="BT131" s="103">
        <v>39401</v>
      </c>
      <c r="BU131" s="103">
        <v>390</v>
      </c>
      <c r="BV131" s="103">
        <v>1757</v>
      </c>
      <c r="BW131" s="103">
        <v>495</v>
      </c>
      <c r="BX131" s="103">
        <v>45</v>
      </c>
      <c r="BY131" s="103">
        <v>0</v>
      </c>
      <c r="BZ131" s="103">
        <v>2459</v>
      </c>
      <c r="CA131" s="103">
        <v>0</v>
      </c>
      <c r="CB131" s="104">
        <v>922421</v>
      </c>
      <c r="CC131" s="265"/>
      <c r="CD131" s="105">
        <v>1653083</v>
      </c>
      <c r="CE131" s="105">
        <v>0</v>
      </c>
      <c r="CF131" s="106">
        <v>136866</v>
      </c>
      <c r="CG131" s="107">
        <v>272000</v>
      </c>
      <c r="CH131" s="108">
        <v>2984370</v>
      </c>
      <c r="CI131" s="51">
        <f t="shared" si="9"/>
        <v>2984370</v>
      </c>
      <c r="CJ131" s="51">
        <f t="shared" si="10"/>
        <v>0</v>
      </c>
    </row>
    <row r="132" spans="1:88" ht="15" customHeight="1" x14ac:dyDescent="0.25">
      <c r="A132" s="13" t="s">
        <v>44</v>
      </c>
      <c r="B132" s="268"/>
      <c r="C132" s="102">
        <v>0</v>
      </c>
      <c r="D132" s="103">
        <v>0</v>
      </c>
      <c r="E132" s="103">
        <v>0</v>
      </c>
      <c r="F132" s="103">
        <v>0</v>
      </c>
      <c r="G132" s="103">
        <v>0</v>
      </c>
      <c r="H132" s="103">
        <v>0</v>
      </c>
      <c r="I132" s="103">
        <v>0</v>
      </c>
      <c r="J132" s="103">
        <v>0</v>
      </c>
      <c r="K132" s="103">
        <v>0</v>
      </c>
      <c r="L132" s="103">
        <v>0</v>
      </c>
      <c r="M132" s="103">
        <v>0</v>
      </c>
      <c r="N132" s="103">
        <v>0</v>
      </c>
      <c r="O132" s="103">
        <v>0</v>
      </c>
      <c r="P132" s="103">
        <v>0</v>
      </c>
      <c r="Q132" s="103">
        <v>0</v>
      </c>
      <c r="R132" s="103">
        <v>0</v>
      </c>
      <c r="S132" s="103">
        <v>0</v>
      </c>
      <c r="T132" s="103">
        <v>0</v>
      </c>
      <c r="U132" s="103">
        <v>0</v>
      </c>
      <c r="V132" s="103">
        <v>0</v>
      </c>
      <c r="W132" s="103">
        <v>0</v>
      </c>
      <c r="X132" s="103">
        <v>0</v>
      </c>
      <c r="Y132" s="103">
        <v>0</v>
      </c>
      <c r="Z132" s="103">
        <v>0</v>
      </c>
      <c r="AA132" s="103">
        <v>0</v>
      </c>
      <c r="AB132" s="103">
        <v>0</v>
      </c>
      <c r="AC132" s="103">
        <v>0</v>
      </c>
      <c r="AD132" s="103">
        <v>0</v>
      </c>
      <c r="AE132" s="103">
        <v>0</v>
      </c>
      <c r="AF132" s="103">
        <v>0</v>
      </c>
      <c r="AG132" s="103">
        <v>0</v>
      </c>
      <c r="AH132" s="103">
        <v>0</v>
      </c>
      <c r="AI132" s="103">
        <v>0</v>
      </c>
      <c r="AJ132" s="103">
        <v>0</v>
      </c>
      <c r="AK132" s="103">
        <v>0</v>
      </c>
      <c r="AL132" s="103">
        <v>0</v>
      </c>
      <c r="AM132" s="103">
        <v>0</v>
      </c>
      <c r="AN132" s="103">
        <v>0</v>
      </c>
      <c r="AO132" s="103">
        <v>0</v>
      </c>
      <c r="AP132" s="103">
        <v>0</v>
      </c>
      <c r="AQ132" s="103">
        <v>0</v>
      </c>
      <c r="AR132" s="103">
        <v>0</v>
      </c>
      <c r="AS132" s="103">
        <v>0</v>
      </c>
      <c r="AT132" s="103">
        <v>0</v>
      </c>
      <c r="AU132" s="103">
        <v>0</v>
      </c>
      <c r="AV132" s="103">
        <v>0</v>
      </c>
      <c r="AW132" s="103">
        <v>0</v>
      </c>
      <c r="AX132" s="103">
        <v>0</v>
      </c>
      <c r="AY132" s="103">
        <v>0</v>
      </c>
      <c r="AZ132" s="103">
        <v>0</v>
      </c>
      <c r="BA132" s="103">
        <v>0</v>
      </c>
      <c r="BB132" s="103">
        <v>0</v>
      </c>
      <c r="BC132" s="103">
        <v>0</v>
      </c>
      <c r="BD132" s="103">
        <v>0</v>
      </c>
      <c r="BE132" s="103">
        <v>0</v>
      </c>
      <c r="BF132" s="103">
        <v>0</v>
      </c>
      <c r="BG132" s="103">
        <v>0</v>
      </c>
      <c r="BH132" s="103">
        <v>0</v>
      </c>
      <c r="BI132" s="103">
        <v>0</v>
      </c>
      <c r="BJ132" s="103">
        <v>0</v>
      </c>
      <c r="BK132" s="103">
        <v>0</v>
      </c>
      <c r="BL132" s="103">
        <v>0</v>
      </c>
      <c r="BM132" s="103">
        <v>0</v>
      </c>
      <c r="BN132" s="103">
        <v>0</v>
      </c>
      <c r="BO132" s="103">
        <v>0</v>
      </c>
      <c r="BP132" s="103">
        <v>0</v>
      </c>
      <c r="BQ132" s="103">
        <v>0</v>
      </c>
      <c r="BR132" s="103">
        <v>0</v>
      </c>
      <c r="BS132" s="103">
        <v>0</v>
      </c>
      <c r="BT132" s="103">
        <v>0</v>
      </c>
      <c r="BU132" s="103">
        <v>0</v>
      </c>
      <c r="BV132" s="103">
        <v>0</v>
      </c>
      <c r="BW132" s="103">
        <v>0</v>
      </c>
      <c r="BX132" s="103">
        <v>0</v>
      </c>
      <c r="BY132" s="103">
        <v>0</v>
      </c>
      <c r="BZ132" s="103">
        <v>0</v>
      </c>
      <c r="CA132" s="103">
        <v>0</v>
      </c>
      <c r="CB132" s="104">
        <v>0</v>
      </c>
      <c r="CC132" s="265"/>
      <c r="CD132" s="105">
        <v>0</v>
      </c>
      <c r="CE132" s="105">
        <v>0</v>
      </c>
      <c r="CF132" s="106">
        <v>0</v>
      </c>
      <c r="CG132" s="107">
        <v>0</v>
      </c>
      <c r="CH132" s="108">
        <v>0</v>
      </c>
      <c r="CI132" s="51">
        <f t="shared" si="9"/>
        <v>0</v>
      </c>
      <c r="CJ132" s="51">
        <f t="shared" si="10"/>
        <v>0</v>
      </c>
    </row>
    <row r="133" spans="1:88" ht="15" customHeight="1" x14ac:dyDescent="0.25">
      <c r="A133" s="13" t="s">
        <v>45</v>
      </c>
      <c r="B133" s="268"/>
      <c r="C133" s="102">
        <v>4345</v>
      </c>
      <c r="D133" s="103">
        <v>1522</v>
      </c>
      <c r="E133" s="103">
        <v>58</v>
      </c>
      <c r="F133" s="103">
        <v>1026</v>
      </c>
      <c r="G133" s="103">
        <v>1264</v>
      </c>
      <c r="H133" s="103">
        <v>16646</v>
      </c>
      <c r="I133" s="103">
        <v>1477</v>
      </c>
      <c r="J133" s="103">
        <v>189</v>
      </c>
      <c r="K133" s="103">
        <v>2002</v>
      </c>
      <c r="L133" s="103">
        <v>2016</v>
      </c>
      <c r="M133" s="103">
        <v>1021</v>
      </c>
      <c r="N133" s="103">
        <v>5941</v>
      </c>
      <c r="O133" s="103">
        <v>2587</v>
      </c>
      <c r="P133" s="103">
        <v>2138</v>
      </c>
      <c r="Q133" s="103">
        <v>1086</v>
      </c>
      <c r="R133" s="103">
        <v>22169</v>
      </c>
      <c r="S133" s="103">
        <v>1711</v>
      </c>
      <c r="T133" s="103">
        <v>6120</v>
      </c>
      <c r="U133" s="103">
        <v>7748</v>
      </c>
      <c r="V133" s="103">
        <v>949</v>
      </c>
      <c r="W133" s="103">
        <v>21258</v>
      </c>
      <c r="X133" s="103">
        <v>1053</v>
      </c>
      <c r="Y133" s="103">
        <v>5059</v>
      </c>
      <c r="Z133" s="103">
        <v>5340</v>
      </c>
      <c r="AA133" s="103">
        <v>17233</v>
      </c>
      <c r="AB133" s="103">
        <v>2418</v>
      </c>
      <c r="AC133" s="103">
        <v>12931</v>
      </c>
      <c r="AD133" s="103">
        <v>726</v>
      </c>
      <c r="AE133" s="103">
        <v>2409</v>
      </c>
      <c r="AF133" s="103">
        <v>10181</v>
      </c>
      <c r="AG133" s="103">
        <v>1234</v>
      </c>
      <c r="AH133" s="103">
        <v>5356</v>
      </c>
      <c r="AI133" s="103">
        <v>1034</v>
      </c>
      <c r="AJ133" s="103">
        <v>31987</v>
      </c>
      <c r="AK133" s="103">
        <v>41424</v>
      </c>
      <c r="AL133" s="103">
        <v>47379</v>
      </c>
      <c r="AM133" s="103">
        <v>15780</v>
      </c>
      <c r="AN133" s="103">
        <v>75237</v>
      </c>
      <c r="AO133" s="103">
        <v>2881</v>
      </c>
      <c r="AP133" s="103">
        <v>48666</v>
      </c>
      <c r="AQ133" s="103">
        <v>4318</v>
      </c>
      <c r="AR133" s="103">
        <v>2769</v>
      </c>
      <c r="AS133" s="103">
        <v>3131</v>
      </c>
      <c r="AT133" s="103">
        <v>1906</v>
      </c>
      <c r="AU133" s="103">
        <v>9532</v>
      </c>
      <c r="AV133" s="103">
        <v>121257</v>
      </c>
      <c r="AW133" s="103">
        <v>35205</v>
      </c>
      <c r="AX133" s="103">
        <v>4469</v>
      </c>
      <c r="AY133" s="103">
        <v>44795</v>
      </c>
      <c r="AZ133" s="103">
        <v>56181</v>
      </c>
      <c r="BA133" s="103">
        <v>32243</v>
      </c>
      <c r="BB133" s="103">
        <v>27720</v>
      </c>
      <c r="BC133" s="103">
        <v>5041</v>
      </c>
      <c r="BD133" s="103">
        <v>16979</v>
      </c>
      <c r="BE133" s="103">
        <v>4689</v>
      </c>
      <c r="BF133" s="103">
        <v>8396</v>
      </c>
      <c r="BG133" s="103">
        <v>9646</v>
      </c>
      <c r="BH133" s="103">
        <v>5882</v>
      </c>
      <c r="BI133" s="103">
        <v>0</v>
      </c>
      <c r="BJ133" s="103">
        <v>6992</v>
      </c>
      <c r="BK133" s="103">
        <v>3328</v>
      </c>
      <c r="BL133" s="103">
        <v>3463</v>
      </c>
      <c r="BM133" s="103">
        <v>8209</v>
      </c>
      <c r="BN133" s="103">
        <v>3177</v>
      </c>
      <c r="BO133" s="103">
        <v>3112</v>
      </c>
      <c r="BP133" s="103">
        <v>40579</v>
      </c>
      <c r="BQ133" s="103">
        <v>14483</v>
      </c>
      <c r="BR133" s="103">
        <v>35079</v>
      </c>
      <c r="BS133" s="103">
        <v>2748</v>
      </c>
      <c r="BT133" s="103">
        <v>4044</v>
      </c>
      <c r="BU133" s="103">
        <v>731</v>
      </c>
      <c r="BV133" s="103">
        <v>204</v>
      </c>
      <c r="BW133" s="103">
        <v>2558</v>
      </c>
      <c r="BX133" s="103">
        <v>13644</v>
      </c>
      <c r="BY133" s="103">
        <v>786</v>
      </c>
      <c r="BZ133" s="103">
        <v>5922</v>
      </c>
      <c r="CA133" s="103">
        <v>0</v>
      </c>
      <c r="CB133" s="104">
        <v>974819</v>
      </c>
      <c r="CC133" s="265"/>
      <c r="CD133" s="105">
        <v>1708284</v>
      </c>
      <c r="CE133" s="105">
        <v>0</v>
      </c>
      <c r="CF133" s="106">
        <v>581</v>
      </c>
      <c r="CG133" s="107">
        <v>0</v>
      </c>
      <c r="CH133" s="108">
        <v>2683684</v>
      </c>
      <c r="CI133" s="51">
        <f t="shared" si="9"/>
        <v>2683684</v>
      </c>
      <c r="CJ133" s="51">
        <f t="shared" si="10"/>
        <v>0</v>
      </c>
    </row>
    <row r="134" spans="1:88" ht="15" customHeight="1" x14ac:dyDescent="0.25">
      <c r="A134" s="12" t="s">
        <v>46</v>
      </c>
      <c r="B134" s="268"/>
      <c r="C134" s="102">
        <v>2459</v>
      </c>
      <c r="D134" s="103">
        <v>739</v>
      </c>
      <c r="E134" s="103">
        <v>0</v>
      </c>
      <c r="F134" s="103">
        <v>17646</v>
      </c>
      <c r="G134" s="103">
        <v>5871</v>
      </c>
      <c r="H134" s="103">
        <v>108334</v>
      </c>
      <c r="I134" s="103">
        <v>37936</v>
      </c>
      <c r="J134" s="103">
        <v>17049</v>
      </c>
      <c r="K134" s="103">
        <v>7089</v>
      </c>
      <c r="L134" s="103">
        <v>2164</v>
      </c>
      <c r="M134" s="103">
        <v>2372</v>
      </c>
      <c r="N134" s="103">
        <v>17548</v>
      </c>
      <c r="O134" s="103">
        <v>27015</v>
      </c>
      <c r="P134" s="103">
        <v>108752</v>
      </c>
      <c r="Q134" s="103">
        <v>22968</v>
      </c>
      <c r="R134" s="103">
        <v>92067</v>
      </c>
      <c r="S134" s="103">
        <v>27637</v>
      </c>
      <c r="T134" s="103">
        <v>90452</v>
      </c>
      <c r="U134" s="103">
        <v>34436</v>
      </c>
      <c r="V134" s="103">
        <v>53810</v>
      </c>
      <c r="W134" s="103">
        <v>86428</v>
      </c>
      <c r="X134" s="103">
        <v>37944</v>
      </c>
      <c r="Y134" s="103">
        <v>80966</v>
      </c>
      <c r="Z134" s="103">
        <v>27158</v>
      </c>
      <c r="AA134" s="103">
        <v>95061</v>
      </c>
      <c r="AB134" s="103">
        <v>27156</v>
      </c>
      <c r="AC134" s="103">
        <v>20569</v>
      </c>
      <c r="AD134" s="103">
        <v>6761</v>
      </c>
      <c r="AE134" s="103">
        <v>50455</v>
      </c>
      <c r="AF134" s="103">
        <v>237883</v>
      </c>
      <c r="AG134" s="103">
        <v>6246</v>
      </c>
      <c r="AH134" s="103">
        <v>5978</v>
      </c>
      <c r="AI134" s="103">
        <v>2399</v>
      </c>
      <c r="AJ134" s="103">
        <v>156863</v>
      </c>
      <c r="AK134" s="103">
        <v>141479</v>
      </c>
      <c r="AL134" s="103">
        <v>683823</v>
      </c>
      <c r="AM134" s="103">
        <v>427619</v>
      </c>
      <c r="AN134" s="103">
        <v>149570</v>
      </c>
      <c r="AO134" s="103">
        <v>10309</v>
      </c>
      <c r="AP134" s="103">
        <v>188517</v>
      </c>
      <c r="AQ134" s="103">
        <v>30434</v>
      </c>
      <c r="AR134" s="103">
        <v>7073</v>
      </c>
      <c r="AS134" s="103">
        <v>272459</v>
      </c>
      <c r="AT134" s="103">
        <v>18056</v>
      </c>
      <c r="AU134" s="103">
        <v>3244</v>
      </c>
      <c r="AV134" s="103">
        <v>640858</v>
      </c>
      <c r="AW134" s="103">
        <v>2161069</v>
      </c>
      <c r="AX134" s="103">
        <v>271396</v>
      </c>
      <c r="AY134" s="103">
        <v>661524</v>
      </c>
      <c r="AZ134" s="103">
        <v>379058</v>
      </c>
      <c r="BA134" s="103">
        <v>326910</v>
      </c>
      <c r="BB134" s="103">
        <v>128932</v>
      </c>
      <c r="BC134" s="103">
        <v>345562</v>
      </c>
      <c r="BD134" s="103">
        <v>369105</v>
      </c>
      <c r="BE134" s="103">
        <v>64662</v>
      </c>
      <c r="BF134" s="103">
        <v>72672</v>
      </c>
      <c r="BG134" s="103">
        <v>124281</v>
      </c>
      <c r="BH134" s="103">
        <v>11501</v>
      </c>
      <c r="BI134" s="103">
        <v>0</v>
      </c>
      <c r="BJ134" s="103">
        <v>47430</v>
      </c>
      <c r="BK134" s="103">
        <v>19686</v>
      </c>
      <c r="BL134" s="103">
        <v>3836</v>
      </c>
      <c r="BM134" s="103">
        <v>13694</v>
      </c>
      <c r="BN134" s="103">
        <v>9854</v>
      </c>
      <c r="BO134" s="103">
        <v>19112</v>
      </c>
      <c r="BP134" s="103">
        <v>169545</v>
      </c>
      <c r="BQ134" s="103">
        <v>125367</v>
      </c>
      <c r="BR134" s="103">
        <v>83565</v>
      </c>
      <c r="BS134" s="103">
        <v>8524</v>
      </c>
      <c r="BT134" s="103">
        <v>16839</v>
      </c>
      <c r="BU134" s="103">
        <v>4662</v>
      </c>
      <c r="BV134" s="103">
        <v>14412</v>
      </c>
      <c r="BW134" s="103">
        <v>18226</v>
      </c>
      <c r="BX134" s="103">
        <v>28764</v>
      </c>
      <c r="BY134" s="103">
        <v>54272</v>
      </c>
      <c r="BZ134" s="103">
        <v>19335</v>
      </c>
      <c r="CA134" s="103">
        <v>0</v>
      </c>
      <c r="CB134" s="104">
        <v>9665447</v>
      </c>
      <c r="CC134" s="265"/>
      <c r="CD134" s="105">
        <v>0</v>
      </c>
      <c r="CE134" s="105">
        <v>0</v>
      </c>
      <c r="CF134" s="106">
        <v>2387751</v>
      </c>
      <c r="CG134" s="107">
        <v>0</v>
      </c>
      <c r="CH134" s="108">
        <v>12053198</v>
      </c>
      <c r="CI134" s="51">
        <f t="shared" si="9"/>
        <v>12053198</v>
      </c>
      <c r="CJ134" s="51">
        <f t="shared" si="10"/>
        <v>0</v>
      </c>
    </row>
    <row r="135" spans="1:88" ht="15" customHeight="1" x14ac:dyDescent="0.25">
      <c r="A135" s="13" t="s">
        <v>47</v>
      </c>
      <c r="B135" s="268"/>
      <c r="C135" s="102">
        <v>203</v>
      </c>
      <c r="D135" s="103">
        <v>500</v>
      </c>
      <c r="E135" s="103">
        <v>0</v>
      </c>
      <c r="F135" s="103">
        <v>1481</v>
      </c>
      <c r="G135" s="103">
        <v>388</v>
      </c>
      <c r="H135" s="103">
        <v>3697</v>
      </c>
      <c r="I135" s="103">
        <v>1548</v>
      </c>
      <c r="J135" s="103">
        <v>406</v>
      </c>
      <c r="K135" s="103">
        <v>216</v>
      </c>
      <c r="L135" s="103">
        <v>147</v>
      </c>
      <c r="M135" s="103">
        <v>54</v>
      </c>
      <c r="N135" s="103">
        <v>635</v>
      </c>
      <c r="O135" s="103">
        <v>1637</v>
      </c>
      <c r="P135" s="103">
        <v>1317</v>
      </c>
      <c r="Q135" s="103">
        <v>935</v>
      </c>
      <c r="R135" s="103">
        <v>3206</v>
      </c>
      <c r="S135" s="103">
        <v>2306</v>
      </c>
      <c r="T135" s="103">
        <v>1582</v>
      </c>
      <c r="U135" s="103">
        <v>544</v>
      </c>
      <c r="V135" s="103">
        <v>241</v>
      </c>
      <c r="W135" s="103">
        <v>662</v>
      </c>
      <c r="X135" s="103">
        <v>1083</v>
      </c>
      <c r="Y135" s="103">
        <v>151</v>
      </c>
      <c r="Z135" s="103">
        <v>346</v>
      </c>
      <c r="AA135" s="103">
        <v>79</v>
      </c>
      <c r="AB135" s="103">
        <v>334</v>
      </c>
      <c r="AC135" s="103">
        <v>40</v>
      </c>
      <c r="AD135" s="103">
        <v>429</v>
      </c>
      <c r="AE135" s="103">
        <v>338</v>
      </c>
      <c r="AF135" s="103">
        <v>1757</v>
      </c>
      <c r="AG135" s="103">
        <v>377</v>
      </c>
      <c r="AH135" s="103">
        <v>288</v>
      </c>
      <c r="AI135" s="103">
        <v>170</v>
      </c>
      <c r="AJ135" s="103">
        <v>6461</v>
      </c>
      <c r="AK135" s="103">
        <v>4232</v>
      </c>
      <c r="AL135" s="103">
        <v>5326</v>
      </c>
      <c r="AM135" s="103">
        <v>12416</v>
      </c>
      <c r="AN135" s="103">
        <v>4880</v>
      </c>
      <c r="AO135" s="103">
        <v>4559</v>
      </c>
      <c r="AP135" s="103">
        <v>3172</v>
      </c>
      <c r="AQ135" s="103">
        <v>2073</v>
      </c>
      <c r="AR135" s="103">
        <v>1467</v>
      </c>
      <c r="AS135" s="103">
        <v>18703</v>
      </c>
      <c r="AT135" s="103">
        <v>296</v>
      </c>
      <c r="AU135" s="103">
        <v>60627</v>
      </c>
      <c r="AV135" s="103">
        <v>9134</v>
      </c>
      <c r="AW135" s="103">
        <v>14950</v>
      </c>
      <c r="AX135" s="103">
        <v>80555</v>
      </c>
      <c r="AY135" s="103">
        <v>3972</v>
      </c>
      <c r="AZ135" s="103">
        <v>720</v>
      </c>
      <c r="BA135" s="103">
        <v>5048</v>
      </c>
      <c r="BB135" s="103">
        <v>17513</v>
      </c>
      <c r="BC135" s="103">
        <v>3500</v>
      </c>
      <c r="BD135" s="103">
        <v>14208</v>
      </c>
      <c r="BE135" s="103">
        <v>2211</v>
      </c>
      <c r="BF135" s="103">
        <v>394</v>
      </c>
      <c r="BG135" s="103">
        <v>19947</v>
      </c>
      <c r="BH135" s="103">
        <v>159</v>
      </c>
      <c r="BI135" s="103">
        <v>0</v>
      </c>
      <c r="BJ135" s="103">
        <v>258</v>
      </c>
      <c r="BK135" s="103">
        <v>151</v>
      </c>
      <c r="BL135" s="103">
        <v>65</v>
      </c>
      <c r="BM135" s="103">
        <v>1872</v>
      </c>
      <c r="BN135" s="103">
        <v>8</v>
      </c>
      <c r="BO135" s="103">
        <v>1178</v>
      </c>
      <c r="BP135" s="103">
        <v>438</v>
      </c>
      <c r="BQ135" s="103">
        <v>601</v>
      </c>
      <c r="BR135" s="103">
        <v>731</v>
      </c>
      <c r="BS135" s="103">
        <v>17</v>
      </c>
      <c r="BT135" s="103">
        <v>282</v>
      </c>
      <c r="BU135" s="103">
        <v>602</v>
      </c>
      <c r="BV135" s="103">
        <v>52</v>
      </c>
      <c r="BW135" s="103">
        <v>169</v>
      </c>
      <c r="BX135" s="103">
        <v>8</v>
      </c>
      <c r="BY135" s="103">
        <v>0</v>
      </c>
      <c r="BZ135" s="103">
        <v>69</v>
      </c>
      <c r="CA135" s="103">
        <v>0</v>
      </c>
      <c r="CB135" s="104">
        <v>330121</v>
      </c>
      <c r="CC135" s="265"/>
      <c r="CD135" s="105">
        <v>0</v>
      </c>
      <c r="CE135" s="105">
        <v>0</v>
      </c>
      <c r="CF135" s="106">
        <v>0</v>
      </c>
      <c r="CG135" s="107">
        <v>0</v>
      </c>
      <c r="CH135" s="108">
        <v>330121</v>
      </c>
      <c r="CI135" s="51">
        <f t="shared" si="9"/>
        <v>330121</v>
      </c>
      <c r="CJ135" s="51">
        <f t="shared" si="10"/>
        <v>0</v>
      </c>
    </row>
    <row r="136" spans="1:88" ht="15" customHeight="1" x14ac:dyDescent="0.25">
      <c r="A136" s="13" t="s">
        <v>48</v>
      </c>
      <c r="B136" s="268"/>
      <c r="C136" s="102">
        <v>35677</v>
      </c>
      <c r="D136" s="103">
        <v>5593</v>
      </c>
      <c r="E136" s="103">
        <v>247</v>
      </c>
      <c r="F136" s="103">
        <v>4416</v>
      </c>
      <c r="G136" s="103">
        <v>7654</v>
      </c>
      <c r="H136" s="103">
        <v>67707</v>
      </c>
      <c r="I136" s="103">
        <v>10689</v>
      </c>
      <c r="J136" s="103">
        <v>1839</v>
      </c>
      <c r="K136" s="103">
        <v>7100</v>
      </c>
      <c r="L136" s="103">
        <v>3647</v>
      </c>
      <c r="M136" s="103">
        <v>2548</v>
      </c>
      <c r="N136" s="103">
        <v>14060</v>
      </c>
      <c r="O136" s="103">
        <v>9807</v>
      </c>
      <c r="P136" s="103">
        <v>8034</v>
      </c>
      <c r="Q136" s="103">
        <v>26256</v>
      </c>
      <c r="R136" s="103">
        <v>16331</v>
      </c>
      <c r="S136" s="103">
        <v>3327</v>
      </c>
      <c r="T136" s="103">
        <v>22713</v>
      </c>
      <c r="U136" s="103">
        <v>14382</v>
      </c>
      <c r="V136" s="103">
        <v>28456</v>
      </c>
      <c r="W136" s="103">
        <v>37140</v>
      </c>
      <c r="X136" s="103">
        <v>9224</v>
      </c>
      <c r="Y136" s="103">
        <v>14672</v>
      </c>
      <c r="Z136" s="103">
        <v>11966</v>
      </c>
      <c r="AA136" s="103">
        <v>34094</v>
      </c>
      <c r="AB136" s="103">
        <v>10578</v>
      </c>
      <c r="AC136" s="103">
        <v>10357</v>
      </c>
      <c r="AD136" s="103">
        <v>3565</v>
      </c>
      <c r="AE136" s="103">
        <v>15686</v>
      </c>
      <c r="AF136" s="103">
        <v>27658</v>
      </c>
      <c r="AG136" s="103">
        <v>1710</v>
      </c>
      <c r="AH136" s="103">
        <v>10184</v>
      </c>
      <c r="AI136" s="103">
        <v>3852</v>
      </c>
      <c r="AJ136" s="103">
        <v>100061</v>
      </c>
      <c r="AK136" s="103">
        <v>69823</v>
      </c>
      <c r="AL136" s="103">
        <v>89368</v>
      </c>
      <c r="AM136" s="103">
        <v>73716</v>
      </c>
      <c r="AN136" s="103">
        <v>57699</v>
      </c>
      <c r="AO136" s="103">
        <v>4056</v>
      </c>
      <c r="AP136" s="103">
        <v>31454</v>
      </c>
      <c r="AQ136" s="103">
        <v>3345</v>
      </c>
      <c r="AR136" s="103">
        <v>7367</v>
      </c>
      <c r="AS136" s="103">
        <v>7831</v>
      </c>
      <c r="AT136" s="103">
        <v>7929</v>
      </c>
      <c r="AU136" s="103">
        <v>3594</v>
      </c>
      <c r="AV136" s="103">
        <v>23659</v>
      </c>
      <c r="AW136" s="103">
        <v>12897</v>
      </c>
      <c r="AX136" s="103">
        <v>5214</v>
      </c>
      <c r="AY136" s="103">
        <v>465142</v>
      </c>
      <c r="AZ136" s="103">
        <v>26382</v>
      </c>
      <c r="BA136" s="103">
        <v>123861</v>
      </c>
      <c r="BB136" s="103">
        <v>233486</v>
      </c>
      <c r="BC136" s="103">
        <v>9769</v>
      </c>
      <c r="BD136" s="103">
        <v>21974</v>
      </c>
      <c r="BE136" s="103">
        <v>12618</v>
      </c>
      <c r="BF136" s="103">
        <v>14325</v>
      </c>
      <c r="BG136" s="103">
        <v>22772</v>
      </c>
      <c r="BH136" s="103">
        <v>10132</v>
      </c>
      <c r="BI136" s="103">
        <v>2683</v>
      </c>
      <c r="BJ136" s="103">
        <v>8773</v>
      </c>
      <c r="BK136" s="103">
        <v>4855</v>
      </c>
      <c r="BL136" s="103">
        <v>5284</v>
      </c>
      <c r="BM136" s="103">
        <v>5549</v>
      </c>
      <c r="BN136" s="103">
        <v>7990</v>
      </c>
      <c r="BO136" s="103">
        <v>9050</v>
      </c>
      <c r="BP136" s="103">
        <v>47902</v>
      </c>
      <c r="BQ136" s="103">
        <v>52402</v>
      </c>
      <c r="BR136" s="103">
        <v>39565</v>
      </c>
      <c r="BS136" s="103">
        <v>10649</v>
      </c>
      <c r="BT136" s="103">
        <v>10107</v>
      </c>
      <c r="BU136" s="103">
        <v>1693</v>
      </c>
      <c r="BV136" s="103">
        <v>3456</v>
      </c>
      <c r="BW136" s="103">
        <v>4937</v>
      </c>
      <c r="BX136" s="103">
        <v>11489</v>
      </c>
      <c r="BY136" s="103">
        <v>4835</v>
      </c>
      <c r="BZ136" s="103">
        <v>7502</v>
      </c>
      <c r="CA136" s="103">
        <v>0</v>
      </c>
      <c r="CB136" s="104">
        <v>2158364</v>
      </c>
      <c r="CC136" s="265"/>
      <c r="CD136" s="105">
        <v>1474297</v>
      </c>
      <c r="CE136" s="105">
        <v>0</v>
      </c>
      <c r="CF136" s="106">
        <v>5</v>
      </c>
      <c r="CG136" s="107">
        <v>0</v>
      </c>
      <c r="CH136" s="108">
        <v>3632666</v>
      </c>
      <c r="CI136" s="51">
        <f t="shared" si="9"/>
        <v>3632666</v>
      </c>
      <c r="CJ136" s="51">
        <f t="shared" si="10"/>
        <v>0</v>
      </c>
    </row>
    <row r="137" spans="1:88" ht="15" customHeight="1" x14ac:dyDescent="0.25">
      <c r="A137" s="13" t="s">
        <v>49</v>
      </c>
      <c r="B137" s="268"/>
      <c r="C137" s="102">
        <v>174411</v>
      </c>
      <c r="D137" s="103">
        <v>1938</v>
      </c>
      <c r="E137" s="103">
        <v>155</v>
      </c>
      <c r="F137" s="103">
        <v>5611</v>
      </c>
      <c r="G137" s="103">
        <v>2838</v>
      </c>
      <c r="H137" s="103">
        <v>11647</v>
      </c>
      <c r="I137" s="103">
        <v>1482</v>
      </c>
      <c r="J137" s="103">
        <v>273</v>
      </c>
      <c r="K137" s="103">
        <v>983</v>
      </c>
      <c r="L137" s="103">
        <v>1310</v>
      </c>
      <c r="M137" s="103">
        <v>379</v>
      </c>
      <c r="N137" s="103">
        <v>5302</v>
      </c>
      <c r="O137" s="103">
        <v>3332</v>
      </c>
      <c r="P137" s="103">
        <v>1466</v>
      </c>
      <c r="Q137" s="103">
        <v>4949</v>
      </c>
      <c r="R137" s="103">
        <v>7747</v>
      </c>
      <c r="S137" s="103">
        <v>1610</v>
      </c>
      <c r="T137" s="103">
        <v>8810</v>
      </c>
      <c r="U137" s="103">
        <v>5117</v>
      </c>
      <c r="V137" s="103">
        <v>3500</v>
      </c>
      <c r="W137" s="103">
        <v>9723</v>
      </c>
      <c r="X137" s="103">
        <v>1850</v>
      </c>
      <c r="Y137" s="103">
        <v>4606</v>
      </c>
      <c r="Z137" s="103">
        <v>4310</v>
      </c>
      <c r="AA137" s="103">
        <v>7850</v>
      </c>
      <c r="AB137" s="103">
        <v>1994</v>
      </c>
      <c r="AC137" s="103">
        <v>3338</v>
      </c>
      <c r="AD137" s="103">
        <v>1209</v>
      </c>
      <c r="AE137" s="103">
        <v>4515</v>
      </c>
      <c r="AF137" s="103">
        <v>21449</v>
      </c>
      <c r="AG137" s="103">
        <v>1584</v>
      </c>
      <c r="AH137" s="103">
        <v>4750</v>
      </c>
      <c r="AI137" s="103">
        <v>5279</v>
      </c>
      <c r="AJ137" s="103">
        <v>82805</v>
      </c>
      <c r="AK137" s="103">
        <v>15512</v>
      </c>
      <c r="AL137" s="103">
        <v>53189</v>
      </c>
      <c r="AM137" s="103">
        <v>25462</v>
      </c>
      <c r="AN137" s="103">
        <v>64485</v>
      </c>
      <c r="AO137" s="103">
        <v>2581</v>
      </c>
      <c r="AP137" s="103">
        <v>25231</v>
      </c>
      <c r="AQ137" s="103">
        <v>2785</v>
      </c>
      <c r="AR137" s="103">
        <v>4109</v>
      </c>
      <c r="AS137" s="103">
        <v>734</v>
      </c>
      <c r="AT137" s="103">
        <v>413</v>
      </c>
      <c r="AU137" s="103">
        <v>436</v>
      </c>
      <c r="AV137" s="103">
        <v>1849</v>
      </c>
      <c r="AW137" s="103">
        <v>1771</v>
      </c>
      <c r="AX137" s="103">
        <v>286</v>
      </c>
      <c r="AY137" s="103">
        <v>80298</v>
      </c>
      <c r="AZ137" s="103">
        <v>249583</v>
      </c>
      <c r="BA137" s="103">
        <v>109060</v>
      </c>
      <c r="BB137" s="103">
        <v>40198</v>
      </c>
      <c r="BC137" s="103">
        <v>1303</v>
      </c>
      <c r="BD137" s="103">
        <v>1491</v>
      </c>
      <c r="BE137" s="103">
        <v>3925</v>
      </c>
      <c r="BF137" s="103">
        <v>3978</v>
      </c>
      <c r="BG137" s="103">
        <v>7093</v>
      </c>
      <c r="BH137" s="103">
        <v>215</v>
      </c>
      <c r="BI137" s="103">
        <v>0</v>
      </c>
      <c r="BJ137" s="103">
        <v>12590</v>
      </c>
      <c r="BK137" s="103">
        <v>1418</v>
      </c>
      <c r="BL137" s="103">
        <v>2727</v>
      </c>
      <c r="BM137" s="103">
        <v>2549</v>
      </c>
      <c r="BN137" s="103">
        <v>3114</v>
      </c>
      <c r="BO137" s="103">
        <v>8956</v>
      </c>
      <c r="BP137" s="103">
        <v>29872</v>
      </c>
      <c r="BQ137" s="103">
        <v>10282</v>
      </c>
      <c r="BR137" s="103">
        <v>10379</v>
      </c>
      <c r="BS137" s="103">
        <v>3973</v>
      </c>
      <c r="BT137" s="103">
        <v>864</v>
      </c>
      <c r="BU137" s="103">
        <v>1045</v>
      </c>
      <c r="BV137" s="103">
        <v>107</v>
      </c>
      <c r="BW137" s="103">
        <v>2558</v>
      </c>
      <c r="BX137" s="103">
        <v>662</v>
      </c>
      <c r="BY137" s="103">
        <v>1079</v>
      </c>
      <c r="BZ137" s="103">
        <v>361</v>
      </c>
      <c r="CA137" s="103">
        <v>0</v>
      </c>
      <c r="CB137" s="104">
        <v>1186645</v>
      </c>
      <c r="CC137" s="265"/>
      <c r="CD137" s="105">
        <v>1584853</v>
      </c>
      <c r="CE137" s="105">
        <v>0</v>
      </c>
      <c r="CF137" s="106">
        <v>2</v>
      </c>
      <c r="CG137" s="107">
        <v>0</v>
      </c>
      <c r="CH137" s="108">
        <v>2771500</v>
      </c>
      <c r="CI137" s="51">
        <f t="shared" si="9"/>
        <v>2771500</v>
      </c>
      <c r="CJ137" s="51">
        <f t="shared" si="10"/>
        <v>0</v>
      </c>
    </row>
    <row r="138" spans="1:88" ht="15" customHeight="1" x14ac:dyDescent="0.25">
      <c r="A138" s="13" t="s">
        <v>50</v>
      </c>
      <c r="B138" s="268"/>
      <c r="C138" s="102">
        <v>42</v>
      </c>
      <c r="D138" s="103">
        <v>3</v>
      </c>
      <c r="E138" s="103">
        <v>0</v>
      </c>
      <c r="F138" s="103">
        <v>23</v>
      </c>
      <c r="G138" s="103">
        <v>11</v>
      </c>
      <c r="H138" s="103">
        <v>357</v>
      </c>
      <c r="I138" s="103">
        <v>75</v>
      </c>
      <c r="J138" s="103">
        <v>44</v>
      </c>
      <c r="K138" s="103">
        <v>29</v>
      </c>
      <c r="L138" s="103">
        <v>32</v>
      </c>
      <c r="M138" s="103">
        <v>11</v>
      </c>
      <c r="N138" s="103">
        <v>34</v>
      </c>
      <c r="O138" s="103">
        <v>17</v>
      </c>
      <c r="P138" s="103">
        <v>12</v>
      </c>
      <c r="Q138" s="103">
        <v>15</v>
      </c>
      <c r="R138" s="103">
        <v>76</v>
      </c>
      <c r="S138" s="103">
        <v>56</v>
      </c>
      <c r="T138" s="103">
        <v>163</v>
      </c>
      <c r="U138" s="103">
        <v>101</v>
      </c>
      <c r="V138" s="103">
        <v>294</v>
      </c>
      <c r="W138" s="103">
        <v>128</v>
      </c>
      <c r="X138" s="103">
        <v>42</v>
      </c>
      <c r="Y138" s="103">
        <v>137</v>
      </c>
      <c r="Z138" s="103">
        <v>118</v>
      </c>
      <c r="AA138" s="103">
        <v>343</v>
      </c>
      <c r="AB138" s="103">
        <v>96</v>
      </c>
      <c r="AC138" s="103">
        <v>60</v>
      </c>
      <c r="AD138" s="103">
        <v>13</v>
      </c>
      <c r="AE138" s="103">
        <v>125</v>
      </c>
      <c r="AF138" s="103">
        <v>27</v>
      </c>
      <c r="AG138" s="103">
        <v>9</v>
      </c>
      <c r="AH138" s="103">
        <v>58</v>
      </c>
      <c r="AI138" s="103">
        <v>10</v>
      </c>
      <c r="AJ138" s="103">
        <v>498</v>
      </c>
      <c r="AK138" s="103">
        <v>266</v>
      </c>
      <c r="AL138" s="103">
        <v>779</v>
      </c>
      <c r="AM138" s="103">
        <v>369</v>
      </c>
      <c r="AN138" s="103">
        <v>248</v>
      </c>
      <c r="AO138" s="103">
        <v>11</v>
      </c>
      <c r="AP138" s="103">
        <v>164</v>
      </c>
      <c r="AQ138" s="103">
        <v>19</v>
      </c>
      <c r="AR138" s="103">
        <v>23</v>
      </c>
      <c r="AS138" s="103">
        <v>44</v>
      </c>
      <c r="AT138" s="103">
        <v>12</v>
      </c>
      <c r="AU138" s="103">
        <v>2</v>
      </c>
      <c r="AV138" s="103">
        <v>211</v>
      </c>
      <c r="AW138" s="103">
        <v>88</v>
      </c>
      <c r="AX138" s="103">
        <v>64</v>
      </c>
      <c r="AY138" s="103">
        <v>2735</v>
      </c>
      <c r="AZ138" s="103">
        <v>7204</v>
      </c>
      <c r="BA138" s="103">
        <v>11252</v>
      </c>
      <c r="BB138" s="103">
        <v>328</v>
      </c>
      <c r="BC138" s="103">
        <v>231</v>
      </c>
      <c r="BD138" s="103">
        <v>368</v>
      </c>
      <c r="BE138" s="103">
        <v>56</v>
      </c>
      <c r="BF138" s="103">
        <v>26</v>
      </c>
      <c r="BG138" s="103">
        <v>88</v>
      </c>
      <c r="BH138" s="103">
        <v>24</v>
      </c>
      <c r="BI138" s="103">
        <v>0</v>
      </c>
      <c r="BJ138" s="103">
        <v>36</v>
      </c>
      <c r="BK138" s="103">
        <v>36</v>
      </c>
      <c r="BL138" s="103">
        <v>39</v>
      </c>
      <c r="BM138" s="103">
        <v>285</v>
      </c>
      <c r="BN138" s="103">
        <v>65</v>
      </c>
      <c r="BO138" s="103">
        <v>43</v>
      </c>
      <c r="BP138" s="103">
        <v>246</v>
      </c>
      <c r="BQ138" s="103">
        <v>37</v>
      </c>
      <c r="BR138" s="103">
        <v>215</v>
      </c>
      <c r="BS138" s="103">
        <v>8</v>
      </c>
      <c r="BT138" s="103">
        <v>18</v>
      </c>
      <c r="BU138" s="103">
        <v>4</v>
      </c>
      <c r="BV138" s="103">
        <v>0</v>
      </c>
      <c r="BW138" s="103">
        <v>18</v>
      </c>
      <c r="BX138" s="103">
        <v>4</v>
      </c>
      <c r="BY138" s="103">
        <v>20</v>
      </c>
      <c r="BZ138" s="103">
        <v>15</v>
      </c>
      <c r="CA138" s="103">
        <v>0</v>
      </c>
      <c r="CB138" s="104">
        <v>28760</v>
      </c>
      <c r="CC138" s="265"/>
      <c r="CD138" s="105">
        <v>72486</v>
      </c>
      <c r="CE138" s="105">
        <v>0</v>
      </c>
      <c r="CF138" s="106">
        <v>5</v>
      </c>
      <c r="CG138" s="107">
        <v>0</v>
      </c>
      <c r="CH138" s="108">
        <v>101251</v>
      </c>
      <c r="CI138" s="51">
        <f t="shared" si="9"/>
        <v>101251</v>
      </c>
      <c r="CJ138" s="51">
        <f t="shared" si="10"/>
        <v>0</v>
      </c>
    </row>
    <row r="139" spans="1:88" ht="15" customHeight="1" x14ac:dyDescent="0.25">
      <c r="A139" s="13" t="s">
        <v>51</v>
      </c>
      <c r="B139" s="268"/>
      <c r="C139" s="102">
        <v>5351</v>
      </c>
      <c r="D139" s="103">
        <v>1615</v>
      </c>
      <c r="E139" s="103">
        <v>118</v>
      </c>
      <c r="F139" s="103">
        <v>215</v>
      </c>
      <c r="G139" s="103">
        <v>1050</v>
      </c>
      <c r="H139" s="103">
        <v>16337</v>
      </c>
      <c r="I139" s="103">
        <v>5578</v>
      </c>
      <c r="J139" s="103">
        <v>2636</v>
      </c>
      <c r="K139" s="103">
        <v>1527</v>
      </c>
      <c r="L139" s="103">
        <v>3364</v>
      </c>
      <c r="M139" s="103">
        <v>1302</v>
      </c>
      <c r="N139" s="103">
        <v>2558</v>
      </c>
      <c r="O139" s="103">
        <v>5168</v>
      </c>
      <c r="P139" s="103">
        <v>1533</v>
      </c>
      <c r="Q139" s="103">
        <v>4213</v>
      </c>
      <c r="R139" s="103">
        <v>8070</v>
      </c>
      <c r="S139" s="103">
        <v>1690</v>
      </c>
      <c r="T139" s="103">
        <v>7788</v>
      </c>
      <c r="U139" s="103">
        <v>5872</v>
      </c>
      <c r="V139" s="103">
        <v>1946</v>
      </c>
      <c r="W139" s="103">
        <v>9594</v>
      </c>
      <c r="X139" s="103">
        <v>1591</v>
      </c>
      <c r="Y139" s="103">
        <v>6198</v>
      </c>
      <c r="Z139" s="103">
        <v>5135</v>
      </c>
      <c r="AA139" s="103">
        <v>5306</v>
      </c>
      <c r="AB139" s="103">
        <v>4517</v>
      </c>
      <c r="AC139" s="103">
        <v>9052</v>
      </c>
      <c r="AD139" s="103">
        <v>2422</v>
      </c>
      <c r="AE139" s="103">
        <v>9410</v>
      </c>
      <c r="AF139" s="103">
        <v>22427</v>
      </c>
      <c r="AG139" s="103">
        <v>2063</v>
      </c>
      <c r="AH139" s="103">
        <v>2188</v>
      </c>
      <c r="AI139" s="103">
        <v>4874</v>
      </c>
      <c r="AJ139" s="103">
        <v>42486</v>
      </c>
      <c r="AK139" s="103">
        <v>51091</v>
      </c>
      <c r="AL139" s="103">
        <v>193346</v>
      </c>
      <c r="AM139" s="103">
        <v>179723</v>
      </c>
      <c r="AN139" s="103">
        <v>27217</v>
      </c>
      <c r="AO139" s="103">
        <v>2464</v>
      </c>
      <c r="AP139" s="103">
        <v>40645</v>
      </c>
      <c r="AQ139" s="103">
        <v>23479</v>
      </c>
      <c r="AR139" s="103">
        <v>24233</v>
      </c>
      <c r="AS139" s="103">
        <v>5267</v>
      </c>
      <c r="AT139" s="103">
        <v>2517</v>
      </c>
      <c r="AU139" s="103">
        <v>1639</v>
      </c>
      <c r="AV139" s="103">
        <v>28825</v>
      </c>
      <c r="AW139" s="103">
        <v>5549</v>
      </c>
      <c r="AX139" s="103">
        <v>4192</v>
      </c>
      <c r="AY139" s="103">
        <v>59493</v>
      </c>
      <c r="AZ139" s="103">
        <v>22656</v>
      </c>
      <c r="BA139" s="103">
        <v>27843</v>
      </c>
      <c r="BB139" s="103">
        <v>136278</v>
      </c>
      <c r="BC139" s="103">
        <v>31716</v>
      </c>
      <c r="BD139" s="103">
        <v>38343</v>
      </c>
      <c r="BE139" s="103">
        <v>4899</v>
      </c>
      <c r="BF139" s="103">
        <v>4269</v>
      </c>
      <c r="BG139" s="103">
        <v>5711</v>
      </c>
      <c r="BH139" s="103">
        <v>11454</v>
      </c>
      <c r="BI139" s="103">
        <v>0</v>
      </c>
      <c r="BJ139" s="103">
        <v>17610</v>
      </c>
      <c r="BK139" s="103">
        <v>11797</v>
      </c>
      <c r="BL139" s="103">
        <v>4387</v>
      </c>
      <c r="BM139" s="103">
        <v>8128</v>
      </c>
      <c r="BN139" s="103">
        <v>13973</v>
      </c>
      <c r="BO139" s="103">
        <v>5701</v>
      </c>
      <c r="BP139" s="103">
        <v>25107</v>
      </c>
      <c r="BQ139" s="103">
        <v>36292</v>
      </c>
      <c r="BR139" s="103">
        <v>99420</v>
      </c>
      <c r="BS139" s="103">
        <v>42413</v>
      </c>
      <c r="BT139" s="103">
        <v>6679</v>
      </c>
      <c r="BU139" s="103">
        <v>2360</v>
      </c>
      <c r="BV139" s="103">
        <v>7398</v>
      </c>
      <c r="BW139" s="103">
        <v>15059</v>
      </c>
      <c r="BX139" s="103">
        <v>156</v>
      </c>
      <c r="BY139" s="103">
        <v>4573</v>
      </c>
      <c r="BZ139" s="103">
        <v>18666</v>
      </c>
      <c r="CA139" s="103">
        <v>0</v>
      </c>
      <c r="CB139" s="104">
        <v>1457762</v>
      </c>
      <c r="CC139" s="265"/>
      <c r="CD139" s="105">
        <v>0</v>
      </c>
      <c r="CE139" s="105">
        <v>0</v>
      </c>
      <c r="CF139" s="106">
        <v>63</v>
      </c>
      <c r="CG139" s="107">
        <v>0</v>
      </c>
      <c r="CH139" s="108">
        <v>1457825</v>
      </c>
      <c r="CI139" s="51">
        <f t="shared" si="9"/>
        <v>1457825</v>
      </c>
      <c r="CJ139" s="51">
        <f t="shared" si="10"/>
        <v>0</v>
      </c>
    </row>
    <row r="140" spans="1:88" ht="15" customHeight="1" x14ac:dyDescent="0.25">
      <c r="A140" s="13" t="s">
        <v>52</v>
      </c>
      <c r="B140" s="268"/>
      <c r="C140" s="102">
        <v>11202</v>
      </c>
      <c r="D140" s="103">
        <v>7034</v>
      </c>
      <c r="E140" s="103">
        <v>0</v>
      </c>
      <c r="F140" s="103">
        <v>14380</v>
      </c>
      <c r="G140" s="103">
        <v>15837</v>
      </c>
      <c r="H140" s="103">
        <v>88683</v>
      </c>
      <c r="I140" s="103">
        <v>55736</v>
      </c>
      <c r="J140" s="103">
        <v>6102</v>
      </c>
      <c r="K140" s="103">
        <v>12595</v>
      </c>
      <c r="L140" s="103">
        <v>15568</v>
      </c>
      <c r="M140" s="103">
        <v>4975</v>
      </c>
      <c r="N140" s="103">
        <v>42374</v>
      </c>
      <c r="O140" s="103">
        <v>32193</v>
      </c>
      <c r="P140" s="103">
        <v>20408</v>
      </c>
      <c r="Q140" s="103">
        <v>4991</v>
      </c>
      <c r="R140" s="103">
        <v>62929</v>
      </c>
      <c r="S140" s="103">
        <v>33881</v>
      </c>
      <c r="T140" s="103">
        <v>37137</v>
      </c>
      <c r="U140" s="103">
        <v>49726</v>
      </c>
      <c r="V140" s="103">
        <v>87540</v>
      </c>
      <c r="W140" s="103">
        <v>172591</v>
      </c>
      <c r="X140" s="103">
        <v>13013</v>
      </c>
      <c r="Y140" s="103">
        <v>95012</v>
      </c>
      <c r="Z140" s="103">
        <v>50743</v>
      </c>
      <c r="AA140" s="103">
        <v>66864</v>
      </c>
      <c r="AB140" s="103">
        <v>46653</v>
      </c>
      <c r="AC140" s="103">
        <v>67540</v>
      </c>
      <c r="AD140" s="103">
        <v>7878</v>
      </c>
      <c r="AE140" s="103">
        <v>48527</v>
      </c>
      <c r="AF140" s="103">
        <v>134119</v>
      </c>
      <c r="AG140" s="103">
        <v>1484</v>
      </c>
      <c r="AH140" s="103">
        <v>17994</v>
      </c>
      <c r="AI140" s="103">
        <v>7872</v>
      </c>
      <c r="AJ140" s="103">
        <v>180294</v>
      </c>
      <c r="AK140" s="103">
        <v>113302</v>
      </c>
      <c r="AL140" s="103">
        <v>416793</v>
      </c>
      <c r="AM140" s="103">
        <v>315198</v>
      </c>
      <c r="AN140" s="103">
        <v>138102</v>
      </c>
      <c r="AO140" s="103">
        <v>4966</v>
      </c>
      <c r="AP140" s="103">
        <v>73720</v>
      </c>
      <c r="AQ140" s="103">
        <v>10120</v>
      </c>
      <c r="AR140" s="103">
        <v>22510</v>
      </c>
      <c r="AS140" s="103">
        <v>28534</v>
      </c>
      <c r="AT140" s="103">
        <v>5997</v>
      </c>
      <c r="AU140" s="103">
        <v>8506</v>
      </c>
      <c r="AV140" s="103">
        <v>111819</v>
      </c>
      <c r="AW140" s="103">
        <v>51146</v>
      </c>
      <c r="AX140" s="103">
        <v>27948</v>
      </c>
      <c r="AY140" s="103">
        <v>65698</v>
      </c>
      <c r="AZ140" s="103">
        <v>45435</v>
      </c>
      <c r="BA140" s="103">
        <v>109052</v>
      </c>
      <c r="BB140" s="103">
        <v>177780</v>
      </c>
      <c r="BC140" s="103">
        <v>900343</v>
      </c>
      <c r="BD140" s="103">
        <v>167204</v>
      </c>
      <c r="BE140" s="103">
        <v>19270</v>
      </c>
      <c r="BF140" s="103">
        <v>14511</v>
      </c>
      <c r="BG140" s="103">
        <v>39971</v>
      </c>
      <c r="BH140" s="103">
        <v>63081</v>
      </c>
      <c r="BI140" s="103">
        <v>1160</v>
      </c>
      <c r="BJ140" s="103">
        <v>67937</v>
      </c>
      <c r="BK140" s="103">
        <v>17120</v>
      </c>
      <c r="BL140" s="103">
        <v>4670</v>
      </c>
      <c r="BM140" s="103">
        <v>29487</v>
      </c>
      <c r="BN140" s="103">
        <v>34191</v>
      </c>
      <c r="BO140" s="103">
        <v>64887</v>
      </c>
      <c r="BP140" s="103">
        <v>58304</v>
      </c>
      <c r="BQ140" s="103">
        <v>102536</v>
      </c>
      <c r="BR140" s="103">
        <v>96419</v>
      </c>
      <c r="BS140" s="103">
        <v>7771</v>
      </c>
      <c r="BT140" s="103">
        <v>31087</v>
      </c>
      <c r="BU140" s="103">
        <v>7152</v>
      </c>
      <c r="BV140" s="103">
        <v>4201</v>
      </c>
      <c r="BW140" s="103">
        <v>21560</v>
      </c>
      <c r="BX140" s="103">
        <v>25</v>
      </c>
      <c r="BY140" s="103">
        <v>10328</v>
      </c>
      <c r="BZ140" s="103">
        <v>25183</v>
      </c>
      <c r="CA140" s="103">
        <v>0</v>
      </c>
      <c r="CB140" s="104">
        <v>5028899</v>
      </c>
      <c r="CC140" s="265"/>
      <c r="CD140" s="105">
        <v>2452079</v>
      </c>
      <c r="CE140" s="105">
        <v>0</v>
      </c>
      <c r="CF140" s="106">
        <v>23903</v>
      </c>
      <c r="CG140" s="107">
        <v>0</v>
      </c>
      <c r="CH140" s="108">
        <v>7504881</v>
      </c>
      <c r="CI140" s="51">
        <f t="shared" si="9"/>
        <v>7504881</v>
      </c>
      <c r="CJ140" s="51">
        <f t="shared" si="10"/>
        <v>0</v>
      </c>
    </row>
    <row r="141" spans="1:88" ht="15" customHeight="1" x14ac:dyDescent="0.25">
      <c r="A141" s="13" t="s">
        <v>53</v>
      </c>
      <c r="B141" s="268"/>
      <c r="C141" s="102">
        <v>8798</v>
      </c>
      <c r="D141" s="103">
        <v>4665</v>
      </c>
      <c r="E141" s="103">
        <v>153</v>
      </c>
      <c r="F141" s="103">
        <v>5651</v>
      </c>
      <c r="G141" s="103">
        <v>8927</v>
      </c>
      <c r="H141" s="103">
        <v>104986</v>
      </c>
      <c r="I141" s="103">
        <v>26749</v>
      </c>
      <c r="J141" s="103">
        <v>14766</v>
      </c>
      <c r="K141" s="103">
        <v>9139</v>
      </c>
      <c r="L141" s="103">
        <v>7239</v>
      </c>
      <c r="M141" s="103">
        <v>2533</v>
      </c>
      <c r="N141" s="103">
        <v>17532</v>
      </c>
      <c r="O141" s="103">
        <v>40008</v>
      </c>
      <c r="P141" s="103">
        <v>49382</v>
      </c>
      <c r="Q141" s="103">
        <v>14833</v>
      </c>
      <c r="R141" s="103">
        <v>77721</v>
      </c>
      <c r="S141" s="103">
        <v>51105</v>
      </c>
      <c r="T141" s="103">
        <v>130033</v>
      </c>
      <c r="U141" s="103">
        <v>80715</v>
      </c>
      <c r="V141" s="103">
        <v>72617</v>
      </c>
      <c r="W141" s="103">
        <v>139141</v>
      </c>
      <c r="X141" s="103">
        <v>40816</v>
      </c>
      <c r="Y141" s="103">
        <v>83133</v>
      </c>
      <c r="Z141" s="103">
        <v>72730</v>
      </c>
      <c r="AA141" s="103">
        <v>202421</v>
      </c>
      <c r="AB141" s="103">
        <v>56640</v>
      </c>
      <c r="AC141" s="103">
        <v>29785</v>
      </c>
      <c r="AD141" s="103">
        <v>7127</v>
      </c>
      <c r="AE141" s="103">
        <v>25275</v>
      </c>
      <c r="AF141" s="103">
        <v>105424</v>
      </c>
      <c r="AG141" s="103">
        <v>2711</v>
      </c>
      <c r="AH141" s="103">
        <v>15992</v>
      </c>
      <c r="AI141" s="103">
        <v>2332</v>
      </c>
      <c r="AJ141" s="103">
        <v>181783</v>
      </c>
      <c r="AK141" s="103">
        <v>50488</v>
      </c>
      <c r="AL141" s="103">
        <v>451341</v>
      </c>
      <c r="AM141" s="103">
        <v>508036</v>
      </c>
      <c r="AN141" s="103">
        <v>61175</v>
      </c>
      <c r="AO141" s="103">
        <v>3212</v>
      </c>
      <c r="AP141" s="103">
        <v>69425</v>
      </c>
      <c r="AQ141" s="103">
        <v>43444</v>
      </c>
      <c r="AR141" s="103">
        <v>26742</v>
      </c>
      <c r="AS141" s="103">
        <v>34676</v>
      </c>
      <c r="AT141" s="103">
        <v>4095</v>
      </c>
      <c r="AU141" s="103">
        <v>6067</v>
      </c>
      <c r="AV141" s="103">
        <v>109396</v>
      </c>
      <c r="AW141" s="103">
        <v>107404</v>
      </c>
      <c r="AX141" s="103">
        <v>85481</v>
      </c>
      <c r="AY141" s="103">
        <v>84451</v>
      </c>
      <c r="AZ141" s="103">
        <v>36165</v>
      </c>
      <c r="BA141" s="103">
        <v>84067</v>
      </c>
      <c r="BB141" s="103">
        <v>190900</v>
      </c>
      <c r="BC141" s="103">
        <v>81942</v>
      </c>
      <c r="BD141" s="103">
        <v>250329</v>
      </c>
      <c r="BE141" s="103">
        <v>22513</v>
      </c>
      <c r="BF141" s="103">
        <v>19821</v>
      </c>
      <c r="BG141" s="103">
        <v>41393</v>
      </c>
      <c r="BH141" s="103">
        <v>40411</v>
      </c>
      <c r="BI141" s="103">
        <v>0</v>
      </c>
      <c r="BJ141" s="103">
        <v>50638</v>
      </c>
      <c r="BK141" s="103">
        <v>28645</v>
      </c>
      <c r="BL141" s="103">
        <v>4645</v>
      </c>
      <c r="BM141" s="103">
        <v>4767</v>
      </c>
      <c r="BN141" s="103">
        <v>9130</v>
      </c>
      <c r="BO141" s="103">
        <v>24863</v>
      </c>
      <c r="BP141" s="103">
        <v>23054</v>
      </c>
      <c r="BQ141" s="103">
        <v>30775</v>
      </c>
      <c r="BR141" s="103">
        <v>41105</v>
      </c>
      <c r="BS141" s="103">
        <v>4705</v>
      </c>
      <c r="BT141" s="103">
        <v>0</v>
      </c>
      <c r="BU141" s="103">
        <v>0</v>
      </c>
      <c r="BV141" s="103">
        <v>4998</v>
      </c>
      <c r="BW141" s="103">
        <v>11654</v>
      </c>
      <c r="BX141" s="103">
        <v>1441</v>
      </c>
      <c r="BY141" s="103">
        <v>9084</v>
      </c>
      <c r="BZ141" s="103">
        <v>4937</v>
      </c>
      <c r="CA141" s="103">
        <v>0</v>
      </c>
      <c r="CB141" s="104">
        <v>4360277</v>
      </c>
      <c r="CC141" s="265"/>
      <c r="CD141" s="105">
        <v>0</v>
      </c>
      <c r="CE141" s="105">
        <v>0</v>
      </c>
      <c r="CF141" s="106">
        <v>2673</v>
      </c>
      <c r="CG141" s="107">
        <v>0</v>
      </c>
      <c r="CH141" s="108">
        <v>4362950</v>
      </c>
      <c r="CI141" s="51">
        <f t="shared" si="9"/>
        <v>4362950</v>
      </c>
      <c r="CJ141" s="51">
        <f t="shared" si="10"/>
        <v>0</v>
      </c>
    </row>
    <row r="142" spans="1:88" ht="15" customHeight="1" x14ac:dyDescent="0.25">
      <c r="A142" s="13" t="s">
        <v>54</v>
      </c>
      <c r="B142" s="268"/>
      <c r="C142" s="102">
        <v>9715</v>
      </c>
      <c r="D142" s="103">
        <v>3978</v>
      </c>
      <c r="E142" s="103">
        <v>76</v>
      </c>
      <c r="F142" s="103">
        <v>15876</v>
      </c>
      <c r="G142" s="103">
        <v>9104</v>
      </c>
      <c r="H142" s="103">
        <v>36006</v>
      </c>
      <c r="I142" s="103">
        <v>509</v>
      </c>
      <c r="J142" s="103">
        <v>697</v>
      </c>
      <c r="K142" s="103">
        <v>4772</v>
      </c>
      <c r="L142" s="103">
        <v>5835</v>
      </c>
      <c r="M142" s="103">
        <v>2890</v>
      </c>
      <c r="N142" s="103">
        <v>9741</v>
      </c>
      <c r="O142" s="103">
        <v>15919</v>
      </c>
      <c r="P142" s="103">
        <v>23270</v>
      </c>
      <c r="Q142" s="103">
        <v>19024</v>
      </c>
      <c r="R142" s="103">
        <v>41643</v>
      </c>
      <c r="S142" s="103">
        <v>1508</v>
      </c>
      <c r="T142" s="103">
        <v>42634</v>
      </c>
      <c r="U142" s="103">
        <v>39938</v>
      </c>
      <c r="V142" s="103">
        <v>25880</v>
      </c>
      <c r="W142" s="103">
        <v>56654</v>
      </c>
      <c r="X142" s="103">
        <v>1827</v>
      </c>
      <c r="Y142" s="103">
        <v>22306</v>
      </c>
      <c r="Z142" s="103">
        <v>89228</v>
      </c>
      <c r="AA142" s="103">
        <v>46438</v>
      </c>
      <c r="AB142" s="103">
        <v>22495</v>
      </c>
      <c r="AC142" s="103">
        <v>20243</v>
      </c>
      <c r="AD142" s="103">
        <v>1918</v>
      </c>
      <c r="AE142" s="103">
        <v>23762</v>
      </c>
      <c r="AF142" s="103">
        <v>89105</v>
      </c>
      <c r="AG142" s="103">
        <v>4150</v>
      </c>
      <c r="AH142" s="103">
        <v>13826</v>
      </c>
      <c r="AI142" s="103">
        <v>3037</v>
      </c>
      <c r="AJ142" s="103">
        <v>405226</v>
      </c>
      <c r="AK142" s="103">
        <v>2321</v>
      </c>
      <c r="AL142" s="103">
        <v>68007</v>
      </c>
      <c r="AM142" s="103">
        <v>49227</v>
      </c>
      <c r="AN142" s="103">
        <v>36847</v>
      </c>
      <c r="AO142" s="103">
        <v>2768</v>
      </c>
      <c r="AP142" s="103">
        <v>16778</v>
      </c>
      <c r="AQ142" s="103">
        <v>3493</v>
      </c>
      <c r="AR142" s="103">
        <v>9746</v>
      </c>
      <c r="AS142" s="103">
        <v>18</v>
      </c>
      <c r="AT142" s="103">
        <v>46</v>
      </c>
      <c r="AU142" s="103">
        <v>0</v>
      </c>
      <c r="AV142" s="103">
        <v>79177</v>
      </c>
      <c r="AW142" s="103">
        <v>7476</v>
      </c>
      <c r="AX142" s="103">
        <v>279</v>
      </c>
      <c r="AY142" s="103">
        <v>33879</v>
      </c>
      <c r="AZ142" s="103">
        <v>23090</v>
      </c>
      <c r="BA142" s="103">
        <v>25814</v>
      </c>
      <c r="BB142" s="103">
        <v>80807</v>
      </c>
      <c r="BC142" s="103">
        <v>2610</v>
      </c>
      <c r="BD142" s="103">
        <v>5532</v>
      </c>
      <c r="BE142" s="103">
        <v>210061</v>
      </c>
      <c r="BF142" s="103">
        <v>15800</v>
      </c>
      <c r="BG142" s="103">
        <v>678</v>
      </c>
      <c r="BH142" s="103">
        <v>4857</v>
      </c>
      <c r="BI142" s="103">
        <v>0</v>
      </c>
      <c r="BJ142" s="103">
        <v>7198</v>
      </c>
      <c r="BK142" s="103">
        <v>689</v>
      </c>
      <c r="BL142" s="103">
        <v>242</v>
      </c>
      <c r="BM142" s="103">
        <v>314</v>
      </c>
      <c r="BN142" s="103">
        <v>15332</v>
      </c>
      <c r="BO142" s="103">
        <v>2959</v>
      </c>
      <c r="BP142" s="103">
        <v>60380</v>
      </c>
      <c r="BQ142" s="103">
        <v>24293</v>
      </c>
      <c r="BR142" s="103">
        <v>29627</v>
      </c>
      <c r="BS142" s="103">
        <v>0</v>
      </c>
      <c r="BT142" s="103">
        <v>894</v>
      </c>
      <c r="BU142" s="103">
        <v>819</v>
      </c>
      <c r="BV142" s="103">
        <v>127</v>
      </c>
      <c r="BW142" s="103">
        <v>1575</v>
      </c>
      <c r="BX142" s="103">
        <v>1723</v>
      </c>
      <c r="BY142" s="103">
        <v>0</v>
      </c>
      <c r="BZ142" s="103">
        <v>6167</v>
      </c>
      <c r="CA142" s="103">
        <v>0</v>
      </c>
      <c r="CB142" s="104">
        <v>1940880</v>
      </c>
      <c r="CC142" s="265"/>
      <c r="CD142" s="105">
        <v>0</v>
      </c>
      <c r="CE142" s="105">
        <v>0</v>
      </c>
      <c r="CF142" s="106">
        <v>1968825</v>
      </c>
      <c r="CG142" s="107">
        <v>0</v>
      </c>
      <c r="CH142" s="108">
        <v>3909705</v>
      </c>
      <c r="CI142" s="51">
        <f t="shared" si="9"/>
        <v>3909705</v>
      </c>
      <c r="CJ142" s="51">
        <f t="shared" si="10"/>
        <v>0</v>
      </c>
    </row>
    <row r="143" spans="1:88" ht="15" customHeight="1" x14ac:dyDescent="0.25">
      <c r="A143" s="13" t="s">
        <v>55</v>
      </c>
      <c r="B143" s="268"/>
      <c r="C143" s="102">
        <v>0</v>
      </c>
      <c r="D143" s="103">
        <v>0</v>
      </c>
      <c r="E143" s="103">
        <v>0</v>
      </c>
      <c r="F143" s="103">
        <v>0</v>
      </c>
      <c r="G143" s="103">
        <v>0</v>
      </c>
      <c r="H143" s="103">
        <v>0</v>
      </c>
      <c r="I143" s="103">
        <v>0</v>
      </c>
      <c r="J143" s="103">
        <v>0</v>
      </c>
      <c r="K143" s="103">
        <v>0</v>
      </c>
      <c r="L143" s="103">
        <v>0</v>
      </c>
      <c r="M143" s="103">
        <v>0</v>
      </c>
      <c r="N143" s="103">
        <v>0</v>
      </c>
      <c r="O143" s="103">
        <v>0</v>
      </c>
      <c r="P143" s="103">
        <v>0</v>
      </c>
      <c r="Q143" s="103">
        <v>0</v>
      </c>
      <c r="R143" s="103">
        <v>0</v>
      </c>
      <c r="S143" s="103">
        <v>0</v>
      </c>
      <c r="T143" s="103">
        <v>0</v>
      </c>
      <c r="U143" s="103">
        <v>0</v>
      </c>
      <c r="V143" s="103">
        <v>0</v>
      </c>
      <c r="W143" s="103">
        <v>0</v>
      </c>
      <c r="X143" s="103">
        <v>0</v>
      </c>
      <c r="Y143" s="103">
        <v>0</v>
      </c>
      <c r="Z143" s="103">
        <v>0</v>
      </c>
      <c r="AA143" s="103">
        <v>0</v>
      </c>
      <c r="AB143" s="103">
        <v>0</v>
      </c>
      <c r="AC143" s="103">
        <v>0</v>
      </c>
      <c r="AD143" s="103">
        <v>0</v>
      </c>
      <c r="AE143" s="103">
        <v>0</v>
      </c>
      <c r="AF143" s="103">
        <v>0</v>
      </c>
      <c r="AG143" s="103">
        <v>0</v>
      </c>
      <c r="AH143" s="103">
        <v>0</v>
      </c>
      <c r="AI143" s="103">
        <v>0</v>
      </c>
      <c r="AJ143" s="103">
        <v>0</v>
      </c>
      <c r="AK143" s="103">
        <v>0</v>
      </c>
      <c r="AL143" s="103">
        <v>0</v>
      </c>
      <c r="AM143" s="103">
        <v>0</v>
      </c>
      <c r="AN143" s="103">
        <v>0</v>
      </c>
      <c r="AO143" s="103">
        <v>0</v>
      </c>
      <c r="AP143" s="103">
        <v>0</v>
      </c>
      <c r="AQ143" s="103">
        <v>0</v>
      </c>
      <c r="AR143" s="103">
        <v>0</v>
      </c>
      <c r="AS143" s="103">
        <v>0</v>
      </c>
      <c r="AT143" s="103">
        <v>0</v>
      </c>
      <c r="AU143" s="103">
        <v>0</v>
      </c>
      <c r="AV143" s="103">
        <v>0</v>
      </c>
      <c r="AW143" s="103">
        <v>0</v>
      </c>
      <c r="AX143" s="103">
        <v>0</v>
      </c>
      <c r="AY143" s="103">
        <v>0</v>
      </c>
      <c r="AZ143" s="103">
        <v>0</v>
      </c>
      <c r="BA143" s="103">
        <v>0</v>
      </c>
      <c r="BB143" s="103">
        <v>0</v>
      </c>
      <c r="BC143" s="103">
        <v>0</v>
      </c>
      <c r="BD143" s="103">
        <v>0</v>
      </c>
      <c r="BE143" s="103">
        <v>0</v>
      </c>
      <c r="BF143" s="103">
        <v>35811</v>
      </c>
      <c r="BG143" s="103">
        <v>0</v>
      </c>
      <c r="BH143" s="103">
        <v>0</v>
      </c>
      <c r="BI143" s="103">
        <v>0</v>
      </c>
      <c r="BJ143" s="103">
        <v>0</v>
      </c>
      <c r="BK143" s="103">
        <v>0</v>
      </c>
      <c r="BL143" s="103">
        <v>0</v>
      </c>
      <c r="BM143" s="103">
        <v>0</v>
      </c>
      <c r="BN143" s="103">
        <v>0</v>
      </c>
      <c r="BO143" s="103">
        <v>0</v>
      </c>
      <c r="BP143" s="103">
        <v>0</v>
      </c>
      <c r="BQ143" s="103">
        <v>0</v>
      </c>
      <c r="BR143" s="103">
        <v>0</v>
      </c>
      <c r="BS143" s="103">
        <v>0</v>
      </c>
      <c r="BT143" s="103">
        <v>0</v>
      </c>
      <c r="BU143" s="103">
        <v>0</v>
      </c>
      <c r="BV143" s="103">
        <v>0</v>
      </c>
      <c r="BW143" s="103">
        <v>0</v>
      </c>
      <c r="BX143" s="103">
        <v>0</v>
      </c>
      <c r="BY143" s="103">
        <v>0</v>
      </c>
      <c r="BZ143" s="103">
        <v>0</v>
      </c>
      <c r="CA143" s="103">
        <v>0</v>
      </c>
      <c r="CB143" s="104">
        <v>35811</v>
      </c>
      <c r="CC143" s="265"/>
      <c r="CD143" s="105">
        <v>0</v>
      </c>
      <c r="CE143" s="105">
        <v>0</v>
      </c>
      <c r="CF143" s="106">
        <v>97167</v>
      </c>
      <c r="CG143" s="107">
        <v>900000</v>
      </c>
      <c r="CH143" s="108">
        <v>1032978</v>
      </c>
      <c r="CI143" s="51">
        <f t="shared" si="9"/>
        <v>1032978</v>
      </c>
      <c r="CJ143" s="51">
        <f t="shared" si="10"/>
        <v>0</v>
      </c>
    </row>
    <row r="144" spans="1:88" ht="15" customHeight="1" x14ac:dyDescent="0.25">
      <c r="A144" s="13" t="s">
        <v>56</v>
      </c>
      <c r="B144" s="268"/>
      <c r="C144" s="102">
        <v>3972</v>
      </c>
      <c r="D144" s="103">
        <v>827</v>
      </c>
      <c r="E144" s="103">
        <v>0</v>
      </c>
      <c r="F144" s="103">
        <v>3397</v>
      </c>
      <c r="G144" s="103">
        <v>5771</v>
      </c>
      <c r="H144" s="103">
        <v>81090</v>
      </c>
      <c r="I144" s="103">
        <v>100773</v>
      </c>
      <c r="J144" s="103">
        <v>17741</v>
      </c>
      <c r="K144" s="103">
        <v>4863</v>
      </c>
      <c r="L144" s="103">
        <v>8319</v>
      </c>
      <c r="M144" s="103">
        <v>1960</v>
      </c>
      <c r="N144" s="103">
        <v>5687</v>
      </c>
      <c r="O144" s="103">
        <v>15532</v>
      </c>
      <c r="P144" s="103">
        <v>9925</v>
      </c>
      <c r="Q144" s="103">
        <v>9825</v>
      </c>
      <c r="R144" s="103">
        <v>26896</v>
      </c>
      <c r="S144" s="103">
        <v>71697</v>
      </c>
      <c r="T144" s="103">
        <v>20714</v>
      </c>
      <c r="U144" s="103">
        <v>19208</v>
      </c>
      <c r="V144" s="103">
        <v>11529</v>
      </c>
      <c r="W144" s="103">
        <v>37032</v>
      </c>
      <c r="X144" s="103">
        <v>3008</v>
      </c>
      <c r="Y144" s="103">
        <v>45954</v>
      </c>
      <c r="Z144" s="103">
        <v>11893</v>
      </c>
      <c r="AA144" s="103">
        <v>5559</v>
      </c>
      <c r="AB144" s="103">
        <v>22376</v>
      </c>
      <c r="AC144" s="103">
        <v>16911</v>
      </c>
      <c r="AD144" s="103">
        <v>4218</v>
      </c>
      <c r="AE144" s="103">
        <v>2094</v>
      </c>
      <c r="AF144" s="103">
        <v>16558</v>
      </c>
      <c r="AG144" s="103">
        <v>2042</v>
      </c>
      <c r="AH144" s="103">
        <v>10061</v>
      </c>
      <c r="AI144" s="103">
        <v>261</v>
      </c>
      <c r="AJ144" s="103">
        <v>71201</v>
      </c>
      <c r="AK144" s="103">
        <v>75996</v>
      </c>
      <c r="AL144" s="103">
        <v>311499</v>
      </c>
      <c r="AM144" s="103">
        <v>59002</v>
      </c>
      <c r="AN144" s="103">
        <v>22000</v>
      </c>
      <c r="AO144" s="103">
        <v>1639</v>
      </c>
      <c r="AP144" s="103">
        <v>9722</v>
      </c>
      <c r="AQ144" s="103">
        <v>16937</v>
      </c>
      <c r="AR144" s="103">
        <v>31359</v>
      </c>
      <c r="AS144" s="103">
        <v>14856</v>
      </c>
      <c r="AT144" s="103">
        <v>47034</v>
      </c>
      <c r="AU144" s="103">
        <v>3229</v>
      </c>
      <c r="AV144" s="103">
        <v>166562</v>
      </c>
      <c r="AW144" s="103">
        <v>74255</v>
      </c>
      <c r="AX144" s="103">
        <v>20752</v>
      </c>
      <c r="AY144" s="103">
        <v>34486</v>
      </c>
      <c r="AZ144" s="103">
        <v>13338</v>
      </c>
      <c r="BA144" s="103">
        <v>31783</v>
      </c>
      <c r="BB144" s="103">
        <v>26989</v>
      </c>
      <c r="BC144" s="103">
        <v>18637</v>
      </c>
      <c r="BD144" s="103">
        <v>52814</v>
      </c>
      <c r="BE144" s="103">
        <v>1827</v>
      </c>
      <c r="BF144" s="103">
        <v>4939</v>
      </c>
      <c r="BG144" s="103">
        <v>1503006</v>
      </c>
      <c r="BH144" s="103">
        <v>28943</v>
      </c>
      <c r="BI144" s="103">
        <v>0</v>
      </c>
      <c r="BJ144" s="103">
        <v>27621</v>
      </c>
      <c r="BK144" s="103">
        <v>4222</v>
      </c>
      <c r="BL144" s="103">
        <v>13326</v>
      </c>
      <c r="BM144" s="103">
        <v>2715</v>
      </c>
      <c r="BN144" s="103">
        <v>2081</v>
      </c>
      <c r="BO144" s="103">
        <v>51595</v>
      </c>
      <c r="BP144" s="103">
        <v>19253</v>
      </c>
      <c r="BQ144" s="103">
        <v>26680</v>
      </c>
      <c r="BR144" s="103">
        <v>27543</v>
      </c>
      <c r="BS144" s="103">
        <v>0</v>
      </c>
      <c r="BT144" s="103">
        <v>10737</v>
      </c>
      <c r="BU144" s="103">
        <v>688</v>
      </c>
      <c r="BV144" s="103">
        <v>2362</v>
      </c>
      <c r="BW144" s="103">
        <v>4666</v>
      </c>
      <c r="BX144" s="103">
        <v>549</v>
      </c>
      <c r="BY144" s="103">
        <v>539</v>
      </c>
      <c r="BZ144" s="103">
        <v>8626</v>
      </c>
      <c r="CA144" s="103">
        <v>0</v>
      </c>
      <c r="CB144" s="104">
        <v>3443701</v>
      </c>
      <c r="CC144" s="265"/>
      <c r="CD144" s="105">
        <v>0</v>
      </c>
      <c r="CE144" s="105">
        <v>0</v>
      </c>
      <c r="CF144" s="106">
        <v>810</v>
      </c>
      <c r="CG144" s="107">
        <v>0</v>
      </c>
      <c r="CH144" s="108">
        <v>3444511</v>
      </c>
      <c r="CI144" s="51">
        <f t="shared" si="9"/>
        <v>3444511</v>
      </c>
      <c r="CJ144" s="51">
        <f t="shared" si="10"/>
        <v>0</v>
      </c>
    </row>
    <row r="145" spans="1:88" ht="15" customHeight="1" x14ac:dyDescent="0.25">
      <c r="A145" s="13" t="s">
        <v>57</v>
      </c>
      <c r="B145" s="268"/>
      <c r="C145" s="102">
        <v>9041</v>
      </c>
      <c r="D145" s="103">
        <v>7150</v>
      </c>
      <c r="E145" s="103">
        <v>186</v>
      </c>
      <c r="F145" s="103">
        <v>3258</v>
      </c>
      <c r="G145" s="103">
        <v>14355</v>
      </c>
      <c r="H145" s="103">
        <v>47989</v>
      </c>
      <c r="I145" s="103">
        <v>17830</v>
      </c>
      <c r="J145" s="103">
        <v>4048</v>
      </c>
      <c r="K145" s="103">
        <v>8053</v>
      </c>
      <c r="L145" s="103">
        <v>19763</v>
      </c>
      <c r="M145" s="103">
        <v>639</v>
      </c>
      <c r="N145" s="103">
        <v>16200</v>
      </c>
      <c r="O145" s="103">
        <v>4404</v>
      </c>
      <c r="P145" s="103">
        <v>16349</v>
      </c>
      <c r="Q145" s="103">
        <v>17253</v>
      </c>
      <c r="R145" s="103">
        <v>17147</v>
      </c>
      <c r="S145" s="103">
        <v>14158</v>
      </c>
      <c r="T145" s="103">
        <v>10094</v>
      </c>
      <c r="U145" s="103">
        <v>4477</v>
      </c>
      <c r="V145" s="103">
        <v>113317</v>
      </c>
      <c r="W145" s="103">
        <v>21763</v>
      </c>
      <c r="X145" s="103">
        <v>5482</v>
      </c>
      <c r="Y145" s="103">
        <v>13979</v>
      </c>
      <c r="Z145" s="103">
        <v>16598</v>
      </c>
      <c r="AA145" s="103">
        <v>12564</v>
      </c>
      <c r="AB145" s="103">
        <v>376</v>
      </c>
      <c r="AC145" s="103">
        <v>8991</v>
      </c>
      <c r="AD145" s="103">
        <v>1606</v>
      </c>
      <c r="AE145" s="103">
        <v>30938</v>
      </c>
      <c r="AF145" s="103">
        <v>76008</v>
      </c>
      <c r="AG145" s="103">
        <v>4074</v>
      </c>
      <c r="AH145" s="103">
        <v>15401</v>
      </c>
      <c r="AI145" s="103">
        <v>691</v>
      </c>
      <c r="AJ145" s="103">
        <v>25081</v>
      </c>
      <c r="AK145" s="103">
        <v>41945</v>
      </c>
      <c r="AL145" s="103">
        <v>129466</v>
      </c>
      <c r="AM145" s="103">
        <v>102577</v>
      </c>
      <c r="AN145" s="103">
        <v>46623</v>
      </c>
      <c r="AO145" s="103">
        <v>9815</v>
      </c>
      <c r="AP145" s="103">
        <v>18894</v>
      </c>
      <c r="AQ145" s="103">
        <v>3558</v>
      </c>
      <c r="AR145" s="103">
        <v>1401</v>
      </c>
      <c r="AS145" s="103">
        <v>8026</v>
      </c>
      <c r="AT145" s="103">
        <v>401</v>
      </c>
      <c r="AU145" s="103">
        <v>1006</v>
      </c>
      <c r="AV145" s="103">
        <v>42274</v>
      </c>
      <c r="AW145" s="103">
        <v>9503</v>
      </c>
      <c r="AX145" s="103">
        <v>3370</v>
      </c>
      <c r="AY145" s="103">
        <v>15509</v>
      </c>
      <c r="AZ145" s="103">
        <v>12972</v>
      </c>
      <c r="BA145" s="103">
        <v>64358</v>
      </c>
      <c r="BB145" s="103">
        <v>5414</v>
      </c>
      <c r="BC145" s="103">
        <v>22173</v>
      </c>
      <c r="BD145" s="103">
        <v>24545</v>
      </c>
      <c r="BE145" s="103">
        <v>15374</v>
      </c>
      <c r="BF145" s="103">
        <v>10808</v>
      </c>
      <c r="BG145" s="103">
        <v>13939</v>
      </c>
      <c r="BH145" s="103">
        <v>106032</v>
      </c>
      <c r="BI145" s="103">
        <v>0</v>
      </c>
      <c r="BJ145" s="103">
        <v>12514</v>
      </c>
      <c r="BK145" s="103">
        <v>5648</v>
      </c>
      <c r="BL145" s="103">
        <v>147</v>
      </c>
      <c r="BM145" s="103">
        <v>1241</v>
      </c>
      <c r="BN145" s="103">
        <v>104</v>
      </c>
      <c r="BO145" s="103">
        <v>35553</v>
      </c>
      <c r="BP145" s="103">
        <v>1484</v>
      </c>
      <c r="BQ145" s="103">
        <v>43623</v>
      </c>
      <c r="BR145" s="103">
        <v>51616</v>
      </c>
      <c r="BS145" s="103">
        <v>0</v>
      </c>
      <c r="BT145" s="103">
        <v>3405</v>
      </c>
      <c r="BU145" s="103">
        <v>758</v>
      </c>
      <c r="BV145" s="103">
        <v>1002</v>
      </c>
      <c r="BW145" s="103">
        <v>5260</v>
      </c>
      <c r="BX145" s="103">
        <v>1641</v>
      </c>
      <c r="BY145" s="103">
        <v>0</v>
      </c>
      <c r="BZ145" s="103">
        <v>9951</v>
      </c>
      <c r="CA145" s="103">
        <v>0</v>
      </c>
      <c r="CB145" s="104">
        <v>1463193</v>
      </c>
      <c r="CC145" s="265"/>
      <c r="CD145" s="105">
        <v>467659</v>
      </c>
      <c r="CE145" s="105">
        <v>0</v>
      </c>
      <c r="CF145" s="106">
        <v>2008</v>
      </c>
      <c r="CG145" s="107">
        <v>0</v>
      </c>
      <c r="CH145" s="108">
        <v>1932860</v>
      </c>
      <c r="CI145" s="51">
        <f t="shared" si="9"/>
        <v>1932860</v>
      </c>
      <c r="CJ145" s="51">
        <f t="shared" si="10"/>
        <v>0</v>
      </c>
    </row>
    <row r="146" spans="1:88" ht="15" customHeight="1" x14ac:dyDescent="0.25">
      <c r="A146" s="13" t="s">
        <v>58</v>
      </c>
      <c r="B146" s="268"/>
      <c r="C146" s="102">
        <v>0</v>
      </c>
      <c r="D146" s="103">
        <v>0</v>
      </c>
      <c r="E146" s="103">
        <v>0</v>
      </c>
      <c r="F146" s="103">
        <v>0</v>
      </c>
      <c r="G146" s="103">
        <v>0</v>
      </c>
      <c r="H146" s="103">
        <v>0</v>
      </c>
      <c r="I146" s="103">
        <v>0</v>
      </c>
      <c r="J146" s="103">
        <v>0</v>
      </c>
      <c r="K146" s="103">
        <v>0</v>
      </c>
      <c r="L146" s="103">
        <v>0</v>
      </c>
      <c r="M146" s="103">
        <v>0</v>
      </c>
      <c r="N146" s="103">
        <v>0</v>
      </c>
      <c r="O146" s="103">
        <v>0</v>
      </c>
      <c r="P146" s="103">
        <v>0</v>
      </c>
      <c r="Q146" s="103">
        <v>0</v>
      </c>
      <c r="R146" s="103">
        <v>0</v>
      </c>
      <c r="S146" s="103">
        <v>0</v>
      </c>
      <c r="T146" s="103">
        <v>0</v>
      </c>
      <c r="U146" s="103">
        <v>0</v>
      </c>
      <c r="V146" s="103">
        <v>0</v>
      </c>
      <c r="W146" s="103">
        <v>0</v>
      </c>
      <c r="X146" s="103">
        <v>0</v>
      </c>
      <c r="Y146" s="103">
        <v>0</v>
      </c>
      <c r="Z146" s="103">
        <v>0</v>
      </c>
      <c r="AA146" s="103">
        <v>0</v>
      </c>
      <c r="AB146" s="103">
        <v>0</v>
      </c>
      <c r="AC146" s="103">
        <v>0</v>
      </c>
      <c r="AD146" s="103">
        <v>0</v>
      </c>
      <c r="AE146" s="103">
        <v>0</v>
      </c>
      <c r="AF146" s="103">
        <v>0</v>
      </c>
      <c r="AG146" s="103">
        <v>0</v>
      </c>
      <c r="AH146" s="103">
        <v>0</v>
      </c>
      <c r="AI146" s="103">
        <v>0</v>
      </c>
      <c r="AJ146" s="103">
        <v>0</v>
      </c>
      <c r="AK146" s="103">
        <v>0</v>
      </c>
      <c r="AL146" s="103">
        <v>0</v>
      </c>
      <c r="AM146" s="103">
        <v>0</v>
      </c>
      <c r="AN146" s="103">
        <v>0</v>
      </c>
      <c r="AO146" s="103">
        <v>0</v>
      </c>
      <c r="AP146" s="103">
        <v>0</v>
      </c>
      <c r="AQ146" s="103">
        <v>0</v>
      </c>
      <c r="AR146" s="103">
        <v>0</v>
      </c>
      <c r="AS146" s="103">
        <v>0</v>
      </c>
      <c r="AT146" s="103">
        <v>0</v>
      </c>
      <c r="AU146" s="103">
        <v>0</v>
      </c>
      <c r="AV146" s="103">
        <v>0</v>
      </c>
      <c r="AW146" s="103">
        <v>0</v>
      </c>
      <c r="AX146" s="103">
        <v>0</v>
      </c>
      <c r="AY146" s="103">
        <v>0</v>
      </c>
      <c r="AZ146" s="103">
        <v>0</v>
      </c>
      <c r="BA146" s="103">
        <v>0</v>
      </c>
      <c r="BB146" s="103">
        <v>0</v>
      </c>
      <c r="BC146" s="103">
        <v>0</v>
      </c>
      <c r="BD146" s="103">
        <v>0</v>
      </c>
      <c r="BE146" s="103">
        <v>0</v>
      </c>
      <c r="BF146" s="103">
        <v>0</v>
      </c>
      <c r="BG146" s="103">
        <v>0</v>
      </c>
      <c r="BH146" s="103">
        <v>0</v>
      </c>
      <c r="BI146" s="103">
        <v>0</v>
      </c>
      <c r="BJ146" s="103">
        <v>0</v>
      </c>
      <c r="BK146" s="103">
        <v>0</v>
      </c>
      <c r="BL146" s="103">
        <v>0</v>
      </c>
      <c r="BM146" s="103">
        <v>0</v>
      </c>
      <c r="BN146" s="103">
        <v>0</v>
      </c>
      <c r="BO146" s="103">
        <v>0</v>
      </c>
      <c r="BP146" s="103">
        <v>0</v>
      </c>
      <c r="BQ146" s="103">
        <v>0</v>
      </c>
      <c r="BR146" s="103">
        <v>0</v>
      </c>
      <c r="BS146" s="103">
        <v>0</v>
      </c>
      <c r="BT146" s="103">
        <v>0</v>
      </c>
      <c r="BU146" s="103">
        <v>0</v>
      </c>
      <c r="BV146" s="103">
        <v>0</v>
      </c>
      <c r="BW146" s="103">
        <v>0</v>
      </c>
      <c r="BX146" s="103">
        <v>0</v>
      </c>
      <c r="BY146" s="103">
        <v>0</v>
      </c>
      <c r="BZ146" s="103">
        <v>0</v>
      </c>
      <c r="CA146" s="103">
        <v>0</v>
      </c>
      <c r="CB146" s="104">
        <v>0</v>
      </c>
      <c r="CC146" s="265"/>
      <c r="CD146" s="105">
        <v>0</v>
      </c>
      <c r="CE146" s="105">
        <v>0</v>
      </c>
      <c r="CF146" s="106">
        <v>0</v>
      </c>
      <c r="CG146" s="107">
        <v>0</v>
      </c>
      <c r="CH146" s="108">
        <v>0</v>
      </c>
      <c r="CI146" s="51">
        <f t="shared" si="9"/>
        <v>0</v>
      </c>
      <c r="CJ146" s="51">
        <f t="shared" si="10"/>
        <v>0</v>
      </c>
    </row>
    <row r="147" spans="1:88" ht="15" customHeight="1" x14ac:dyDescent="0.25">
      <c r="A147" s="13" t="s">
        <v>59</v>
      </c>
      <c r="B147" s="268"/>
      <c r="C147" s="102">
        <v>15176</v>
      </c>
      <c r="D147" s="103">
        <v>7905</v>
      </c>
      <c r="E147" s="103">
        <v>225</v>
      </c>
      <c r="F147" s="103">
        <v>26108</v>
      </c>
      <c r="G147" s="103">
        <v>10917</v>
      </c>
      <c r="H147" s="103">
        <v>56809</v>
      </c>
      <c r="I147" s="103">
        <v>18741</v>
      </c>
      <c r="J147" s="103">
        <v>533</v>
      </c>
      <c r="K147" s="103">
        <v>6422</v>
      </c>
      <c r="L147" s="103">
        <v>5674</v>
      </c>
      <c r="M147" s="103">
        <v>5659</v>
      </c>
      <c r="N147" s="103">
        <v>30123</v>
      </c>
      <c r="O147" s="103">
        <v>21660</v>
      </c>
      <c r="P147" s="103">
        <v>18704</v>
      </c>
      <c r="Q147" s="103">
        <v>11616</v>
      </c>
      <c r="R147" s="103">
        <v>16510</v>
      </c>
      <c r="S147" s="103">
        <v>7598</v>
      </c>
      <c r="T147" s="103">
        <v>19316</v>
      </c>
      <c r="U147" s="103">
        <v>50005</v>
      </c>
      <c r="V147" s="103">
        <v>21763</v>
      </c>
      <c r="W147" s="103">
        <v>34069</v>
      </c>
      <c r="X147" s="103">
        <v>6893</v>
      </c>
      <c r="Y147" s="103">
        <v>17763</v>
      </c>
      <c r="Z147" s="103">
        <v>15197</v>
      </c>
      <c r="AA147" s="103">
        <v>33651</v>
      </c>
      <c r="AB147" s="103">
        <v>11216</v>
      </c>
      <c r="AC147" s="103">
        <v>30334</v>
      </c>
      <c r="AD147" s="103">
        <v>5476</v>
      </c>
      <c r="AE147" s="103">
        <v>20560</v>
      </c>
      <c r="AF147" s="103">
        <v>41478</v>
      </c>
      <c r="AG147" s="103">
        <v>3383</v>
      </c>
      <c r="AH147" s="103">
        <v>23136</v>
      </c>
      <c r="AI147" s="103">
        <v>10057</v>
      </c>
      <c r="AJ147" s="103">
        <v>203722</v>
      </c>
      <c r="AK147" s="103">
        <v>23823</v>
      </c>
      <c r="AL147" s="103">
        <v>31023</v>
      </c>
      <c r="AM147" s="103">
        <v>24345</v>
      </c>
      <c r="AN147" s="103">
        <v>301385</v>
      </c>
      <c r="AO147" s="103">
        <v>31164</v>
      </c>
      <c r="AP147" s="103">
        <v>45790</v>
      </c>
      <c r="AQ147" s="103">
        <v>29699</v>
      </c>
      <c r="AR147" s="103">
        <v>17454</v>
      </c>
      <c r="AS147" s="103">
        <v>3159</v>
      </c>
      <c r="AT147" s="103">
        <v>3256</v>
      </c>
      <c r="AU147" s="103">
        <v>8489</v>
      </c>
      <c r="AV147" s="103">
        <v>38421</v>
      </c>
      <c r="AW147" s="103">
        <v>19409</v>
      </c>
      <c r="AX147" s="103">
        <v>13077</v>
      </c>
      <c r="AY147" s="103">
        <v>8439</v>
      </c>
      <c r="AZ147" s="103">
        <v>922</v>
      </c>
      <c r="BA147" s="103">
        <v>17954</v>
      </c>
      <c r="BB147" s="103">
        <v>22937</v>
      </c>
      <c r="BC147" s="103">
        <v>47120</v>
      </c>
      <c r="BD147" s="103">
        <v>12670</v>
      </c>
      <c r="BE147" s="103">
        <v>9549</v>
      </c>
      <c r="BF147" s="103">
        <v>4533</v>
      </c>
      <c r="BG147" s="103">
        <v>16519</v>
      </c>
      <c r="BH147" s="103">
        <v>15465</v>
      </c>
      <c r="BI147" s="103">
        <v>507</v>
      </c>
      <c r="BJ147" s="103">
        <v>70669</v>
      </c>
      <c r="BK147" s="103">
        <v>6544</v>
      </c>
      <c r="BL147" s="103">
        <v>3039</v>
      </c>
      <c r="BM147" s="103">
        <v>5832</v>
      </c>
      <c r="BN147" s="103">
        <v>18775</v>
      </c>
      <c r="BO147" s="103">
        <v>21343</v>
      </c>
      <c r="BP147" s="103">
        <v>15301</v>
      </c>
      <c r="BQ147" s="103">
        <v>14979</v>
      </c>
      <c r="BR147" s="103">
        <v>31037</v>
      </c>
      <c r="BS147" s="103">
        <v>13501</v>
      </c>
      <c r="BT147" s="103">
        <v>20538</v>
      </c>
      <c r="BU147" s="103">
        <v>1991</v>
      </c>
      <c r="BV147" s="103">
        <v>1910</v>
      </c>
      <c r="BW147" s="103">
        <v>16968</v>
      </c>
      <c r="BX147" s="103">
        <v>35</v>
      </c>
      <c r="BY147" s="103">
        <v>5990</v>
      </c>
      <c r="BZ147" s="103">
        <v>17445</v>
      </c>
      <c r="CA147" s="103">
        <v>0</v>
      </c>
      <c r="CB147" s="104">
        <v>1821405</v>
      </c>
      <c r="CC147" s="265"/>
      <c r="CD147" s="105">
        <v>109100</v>
      </c>
      <c r="CE147" s="105">
        <v>0</v>
      </c>
      <c r="CF147" s="106">
        <v>529</v>
      </c>
      <c r="CG147" s="107">
        <v>0</v>
      </c>
      <c r="CH147" s="108">
        <v>1931034</v>
      </c>
      <c r="CI147" s="51">
        <f t="shared" si="9"/>
        <v>1931034</v>
      </c>
      <c r="CJ147" s="51">
        <f t="shared" si="10"/>
        <v>0</v>
      </c>
    </row>
    <row r="148" spans="1:88" ht="15" customHeight="1" x14ac:dyDescent="0.25">
      <c r="A148" s="13" t="s">
        <v>60</v>
      </c>
      <c r="B148" s="268"/>
      <c r="C148" s="102">
        <v>0</v>
      </c>
      <c r="D148" s="103">
        <v>0</v>
      </c>
      <c r="E148" s="103">
        <v>0</v>
      </c>
      <c r="F148" s="103">
        <v>0</v>
      </c>
      <c r="G148" s="103">
        <v>0</v>
      </c>
      <c r="H148" s="103">
        <v>0</v>
      </c>
      <c r="I148" s="103">
        <v>0</v>
      </c>
      <c r="J148" s="103">
        <v>0</v>
      </c>
      <c r="K148" s="103">
        <v>0</v>
      </c>
      <c r="L148" s="103">
        <v>0</v>
      </c>
      <c r="M148" s="103">
        <v>0</v>
      </c>
      <c r="N148" s="103">
        <v>0</v>
      </c>
      <c r="O148" s="103">
        <v>0</v>
      </c>
      <c r="P148" s="103">
        <v>0</v>
      </c>
      <c r="Q148" s="103">
        <v>0</v>
      </c>
      <c r="R148" s="103">
        <v>0</v>
      </c>
      <c r="S148" s="103">
        <v>0</v>
      </c>
      <c r="T148" s="103">
        <v>0</v>
      </c>
      <c r="U148" s="103">
        <v>0</v>
      </c>
      <c r="V148" s="103">
        <v>0</v>
      </c>
      <c r="W148" s="103">
        <v>0</v>
      </c>
      <c r="X148" s="103">
        <v>0</v>
      </c>
      <c r="Y148" s="103">
        <v>0</v>
      </c>
      <c r="Z148" s="103">
        <v>0</v>
      </c>
      <c r="AA148" s="103">
        <v>0</v>
      </c>
      <c r="AB148" s="103">
        <v>0</v>
      </c>
      <c r="AC148" s="103">
        <v>0</v>
      </c>
      <c r="AD148" s="103">
        <v>0</v>
      </c>
      <c r="AE148" s="103">
        <v>0</v>
      </c>
      <c r="AF148" s="103">
        <v>0</v>
      </c>
      <c r="AG148" s="103">
        <v>0</v>
      </c>
      <c r="AH148" s="103">
        <v>0</v>
      </c>
      <c r="AI148" s="103">
        <v>0</v>
      </c>
      <c r="AJ148" s="103">
        <v>0</v>
      </c>
      <c r="AK148" s="103">
        <v>0</v>
      </c>
      <c r="AL148" s="103">
        <v>0</v>
      </c>
      <c r="AM148" s="103">
        <v>0</v>
      </c>
      <c r="AN148" s="103">
        <v>0</v>
      </c>
      <c r="AO148" s="103">
        <v>0</v>
      </c>
      <c r="AP148" s="103">
        <v>0</v>
      </c>
      <c r="AQ148" s="103">
        <v>0</v>
      </c>
      <c r="AR148" s="103">
        <v>0</v>
      </c>
      <c r="AS148" s="103">
        <v>0</v>
      </c>
      <c r="AT148" s="103">
        <v>0</v>
      </c>
      <c r="AU148" s="103">
        <v>0</v>
      </c>
      <c r="AV148" s="103">
        <v>0</v>
      </c>
      <c r="AW148" s="103">
        <v>0</v>
      </c>
      <c r="AX148" s="103">
        <v>0</v>
      </c>
      <c r="AY148" s="103">
        <v>0</v>
      </c>
      <c r="AZ148" s="103">
        <v>0</v>
      </c>
      <c r="BA148" s="103">
        <v>0</v>
      </c>
      <c r="BB148" s="103">
        <v>0</v>
      </c>
      <c r="BC148" s="103">
        <v>0</v>
      </c>
      <c r="BD148" s="103">
        <v>0</v>
      </c>
      <c r="BE148" s="103">
        <v>0</v>
      </c>
      <c r="BF148" s="103">
        <v>0</v>
      </c>
      <c r="BG148" s="103">
        <v>0</v>
      </c>
      <c r="BH148" s="103">
        <v>0</v>
      </c>
      <c r="BI148" s="103">
        <v>0</v>
      </c>
      <c r="BJ148" s="103">
        <v>0</v>
      </c>
      <c r="BK148" s="103">
        <v>0</v>
      </c>
      <c r="BL148" s="103">
        <v>0</v>
      </c>
      <c r="BM148" s="103">
        <v>0</v>
      </c>
      <c r="BN148" s="103">
        <v>0</v>
      </c>
      <c r="BO148" s="103">
        <v>0</v>
      </c>
      <c r="BP148" s="103">
        <v>0</v>
      </c>
      <c r="BQ148" s="103">
        <v>0</v>
      </c>
      <c r="BR148" s="103">
        <v>0</v>
      </c>
      <c r="BS148" s="103">
        <v>0</v>
      </c>
      <c r="BT148" s="103">
        <v>0</v>
      </c>
      <c r="BU148" s="103">
        <v>0</v>
      </c>
      <c r="BV148" s="103">
        <v>0</v>
      </c>
      <c r="BW148" s="103">
        <v>0</v>
      </c>
      <c r="BX148" s="103">
        <v>0</v>
      </c>
      <c r="BY148" s="103">
        <v>0</v>
      </c>
      <c r="BZ148" s="103">
        <v>0</v>
      </c>
      <c r="CA148" s="103">
        <v>0</v>
      </c>
      <c r="CB148" s="104">
        <v>0</v>
      </c>
      <c r="CC148" s="265"/>
      <c r="CD148" s="105">
        <v>0</v>
      </c>
      <c r="CE148" s="105">
        <v>0</v>
      </c>
      <c r="CF148" s="106">
        <v>0</v>
      </c>
      <c r="CG148" s="107">
        <v>0</v>
      </c>
      <c r="CH148" s="108">
        <v>0</v>
      </c>
      <c r="CI148" s="51">
        <f t="shared" si="9"/>
        <v>0</v>
      </c>
      <c r="CJ148" s="51">
        <f t="shared" si="10"/>
        <v>0</v>
      </c>
    </row>
    <row r="149" spans="1:88" ht="15" customHeight="1" x14ac:dyDescent="0.25">
      <c r="A149" s="13" t="s">
        <v>61</v>
      </c>
      <c r="B149" s="268"/>
      <c r="C149" s="102">
        <v>7</v>
      </c>
      <c r="D149" s="103">
        <v>119</v>
      </c>
      <c r="E149" s="103">
        <v>0</v>
      </c>
      <c r="F149" s="103">
        <v>0</v>
      </c>
      <c r="G149" s="103">
        <v>0</v>
      </c>
      <c r="H149" s="103">
        <v>115</v>
      </c>
      <c r="I149" s="103">
        <v>37</v>
      </c>
      <c r="J149" s="103">
        <v>220</v>
      </c>
      <c r="K149" s="103">
        <v>4</v>
      </c>
      <c r="L149" s="103">
        <v>8</v>
      </c>
      <c r="M149" s="103">
        <v>28</v>
      </c>
      <c r="N149" s="103">
        <v>13</v>
      </c>
      <c r="O149" s="103">
        <v>60</v>
      </c>
      <c r="P149" s="103">
        <v>32</v>
      </c>
      <c r="Q149" s="103">
        <v>0</v>
      </c>
      <c r="R149" s="103">
        <v>296</v>
      </c>
      <c r="S149" s="103">
        <v>722</v>
      </c>
      <c r="T149" s="103">
        <v>233</v>
      </c>
      <c r="U149" s="103">
        <v>49</v>
      </c>
      <c r="V149" s="103">
        <v>0</v>
      </c>
      <c r="W149" s="103">
        <v>29</v>
      </c>
      <c r="X149" s="103">
        <v>52</v>
      </c>
      <c r="Y149" s="103">
        <v>209</v>
      </c>
      <c r="Z149" s="103">
        <v>44</v>
      </c>
      <c r="AA149" s="103">
        <v>20</v>
      </c>
      <c r="AB149" s="103">
        <v>106</v>
      </c>
      <c r="AC149" s="103">
        <v>27</v>
      </c>
      <c r="AD149" s="103">
        <v>0</v>
      </c>
      <c r="AE149" s="103">
        <v>270</v>
      </c>
      <c r="AF149" s="103">
        <v>75</v>
      </c>
      <c r="AG149" s="103">
        <v>10</v>
      </c>
      <c r="AH149" s="103">
        <v>29</v>
      </c>
      <c r="AI149" s="103">
        <v>0</v>
      </c>
      <c r="AJ149" s="103">
        <v>421</v>
      </c>
      <c r="AK149" s="103">
        <v>105</v>
      </c>
      <c r="AL149" s="103">
        <v>729</v>
      </c>
      <c r="AM149" s="103">
        <v>314</v>
      </c>
      <c r="AN149" s="103">
        <v>1248</v>
      </c>
      <c r="AO149" s="103">
        <v>2241</v>
      </c>
      <c r="AP149" s="103">
        <v>1579</v>
      </c>
      <c r="AQ149" s="103">
        <v>3891</v>
      </c>
      <c r="AR149" s="103">
        <v>247</v>
      </c>
      <c r="AS149" s="103">
        <v>21</v>
      </c>
      <c r="AT149" s="103">
        <v>0</v>
      </c>
      <c r="AU149" s="103">
        <v>7</v>
      </c>
      <c r="AV149" s="103">
        <v>88</v>
      </c>
      <c r="AW149" s="103">
        <v>304</v>
      </c>
      <c r="AX149" s="103">
        <v>472</v>
      </c>
      <c r="AY149" s="103">
        <v>505</v>
      </c>
      <c r="AZ149" s="103">
        <v>0</v>
      </c>
      <c r="BA149" s="103">
        <v>66</v>
      </c>
      <c r="BB149" s="103">
        <v>731</v>
      </c>
      <c r="BC149" s="103">
        <v>419</v>
      </c>
      <c r="BD149" s="103">
        <v>356</v>
      </c>
      <c r="BE149" s="103">
        <v>283</v>
      </c>
      <c r="BF149" s="103">
        <v>100</v>
      </c>
      <c r="BG149" s="103">
        <v>824</v>
      </c>
      <c r="BH149" s="103">
        <v>9</v>
      </c>
      <c r="BI149" s="103">
        <v>0</v>
      </c>
      <c r="BJ149" s="103">
        <v>1276</v>
      </c>
      <c r="BK149" s="103">
        <v>14</v>
      </c>
      <c r="BL149" s="103">
        <v>21940</v>
      </c>
      <c r="BM149" s="103">
        <v>39</v>
      </c>
      <c r="BN149" s="103">
        <v>6</v>
      </c>
      <c r="BO149" s="103">
        <v>805</v>
      </c>
      <c r="BP149" s="103">
        <v>449</v>
      </c>
      <c r="BQ149" s="103">
        <v>856</v>
      </c>
      <c r="BR149" s="103">
        <v>298</v>
      </c>
      <c r="BS149" s="103">
        <v>0</v>
      </c>
      <c r="BT149" s="103">
        <v>779</v>
      </c>
      <c r="BU149" s="103">
        <v>2140</v>
      </c>
      <c r="BV149" s="103">
        <v>3</v>
      </c>
      <c r="BW149" s="103">
        <v>2343</v>
      </c>
      <c r="BX149" s="103">
        <v>29</v>
      </c>
      <c r="BY149" s="103">
        <v>0</v>
      </c>
      <c r="BZ149" s="103">
        <v>47</v>
      </c>
      <c r="CA149" s="103">
        <v>0</v>
      </c>
      <c r="CB149" s="104">
        <v>48798</v>
      </c>
      <c r="CC149" s="265"/>
      <c r="CD149" s="105">
        <v>522121</v>
      </c>
      <c r="CE149" s="105">
        <v>0</v>
      </c>
      <c r="CF149" s="106">
        <v>2</v>
      </c>
      <c r="CG149" s="107">
        <v>0</v>
      </c>
      <c r="CH149" s="108">
        <v>570921</v>
      </c>
      <c r="CI149" s="51">
        <f t="shared" si="9"/>
        <v>570921</v>
      </c>
      <c r="CJ149" s="51">
        <f t="shared" si="10"/>
        <v>0</v>
      </c>
    </row>
    <row r="150" spans="1:88" ht="15" customHeight="1" x14ac:dyDescent="0.25">
      <c r="A150" s="13" t="s">
        <v>62</v>
      </c>
      <c r="B150" s="268"/>
      <c r="C150" s="102">
        <v>657</v>
      </c>
      <c r="D150" s="103">
        <v>501</v>
      </c>
      <c r="E150" s="103">
        <v>0</v>
      </c>
      <c r="F150" s="103">
        <v>1242</v>
      </c>
      <c r="G150" s="103">
        <v>912</v>
      </c>
      <c r="H150" s="103">
        <v>3712</v>
      </c>
      <c r="I150" s="103">
        <v>719</v>
      </c>
      <c r="J150" s="103">
        <v>224</v>
      </c>
      <c r="K150" s="103">
        <v>562</v>
      </c>
      <c r="L150" s="103">
        <v>223</v>
      </c>
      <c r="M150" s="103">
        <v>112</v>
      </c>
      <c r="N150" s="103">
        <v>857</v>
      </c>
      <c r="O150" s="103">
        <v>1295</v>
      </c>
      <c r="P150" s="103">
        <v>703</v>
      </c>
      <c r="Q150" s="103">
        <v>1360</v>
      </c>
      <c r="R150" s="103">
        <v>3538</v>
      </c>
      <c r="S150" s="103">
        <v>518</v>
      </c>
      <c r="T150" s="103">
        <v>2317</v>
      </c>
      <c r="U150" s="103">
        <v>2144</v>
      </c>
      <c r="V150" s="103">
        <v>2273</v>
      </c>
      <c r="W150" s="103">
        <v>2932</v>
      </c>
      <c r="X150" s="103">
        <v>782</v>
      </c>
      <c r="Y150" s="103">
        <v>1321</v>
      </c>
      <c r="Z150" s="103">
        <v>1087</v>
      </c>
      <c r="AA150" s="103">
        <v>2351</v>
      </c>
      <c r="AB150" s="103">
        <v>823</v>
      </c>
      <c r="AC150" s="103">
        <v>1403</v>
      </c>
      <c r="AD150" s="103">
        <v>509</v>
      </c>
      <c r="AE150" s="103">
        <v>979</v>
      </c>
      <c r="AF150" s="103">
        <v>4544</v>
      </c>
      <c r="AG150" s="103">
        <v>710</v>
      </c>
      <c r="AH150" s="103">
        <v>1643</v>
      </c>
      <c r="AI150" s="103">
        <v>515</v>
      </c>
      <c r="AJ150" s="103">
        <v>11351</v>
      </c>
      <c r="AK150" s="103">
        <v>1719</v>
      </c>
      <c r="AL150" s="103">
        <v>9433</v>
      </c>
      <c r="AM150" s="103">
        <v>13335</v>
      </c>
      <c r="AN150" s="103">
        <v>6285</v>
      </c>
      <c r="AO150" s="103">
        <v>234</v>
      </c>
      <c r="AP150" s="103">
        <v>6263</v>
      </c>
      <c r="AQ150" s="103">
        <v>1918</v>
      </c>
      <c r="AR150" s="103">
        <v>1000</v>
      </c>
      <c r="AS150" s="103">
        <v>170</v>
      </c>
      <c r="AT150" s="103">
        <v>392</v>
      </c>
      <c r="AU150" s="103">
        <v>183</v>
      </c>
      <c r="AV150" s="103">
        <v>2713</v>
      </c>
      <c r="AW150" s="103">
        <v>649</v>
      </c>
      <c r="AX150" s="103">
        <v>920</v>
      </c>
      <c r="AY150" s="103">
        <v>13599</v>
      </c>
      <c r="AZ150" s="103">
        <v>1186</v>
      </c>
      <c r="BA150" s="103">
        <v>4541</v>
      </c>
      <c r="BB150" s="103">
        <v>15963</v>
      </c>
      <c r="BC150" s="103">
        <v>489</v>
      </c>
      <c r="BD150" s="103">
        <v>1262</v>
      </c>
      <c r="BE150" s="103">
        <v>677</v>
      </c>
      <c r="BF150" s="103">
        <v>1781</v>
      </c>
      <c r="BG150" s="103">
        <v>1346</v>
      </c>
      <c r="BH150" s="103">
        <v>199</v>
      </c>
      <c r="BI150" s="103">
        <v>16</v>
      </c>
      <c r="BJ150" s="103">
        <v>1919</v>
      </c>
      <c r="BK150" s="103">
        <v>199</v>
      </c>
      <c r="BL150" s="103">
        <v>240</v>
      </c>
      <c r="BM150" s="103">
        <v>33335</v>
      </c>
      <c r="BN150" s="103">
        <v>421</v>
      </c>
      <c r="BO150" s="103">
        <v>445</v>
      </c>
      <c r="BP150" s="103">
        <v>1472</v>
      </c>
      <c r="BQ150" s="103">
        <v>3924</v>
      </c>
      <c r="BR150" s="103">
        <v>3672</v>
      </c>
      <c r="BS150" s="103">
        <v>138</v>
      </c>
      <c r="BT150" s="103">
        <v>3581</v>
      </c>
      <c r="BU150" s="103">
        <v>1132</v>
      </c>
      <c r="BV150" s="103">
        <v>114</v>
      </c>
      <c r="BW150" s="103">
        <v>2663</v>
      </c>
      <c r="BX150" s="103">
        <v>10</v>
      </c>
      <c r="BY150" s="103">
        <v>338</v>
      </c>
      <c r="BZ150" s="103">
        <v>17484</v>
      </c>
      <c r="CA150" s="103">
        <v>0</v>
      </c>
      <c r="CB150" s="104">
        <v>212179</v>
      </c>
      <c r="CC150" s="265"/>
      <c r="CD150" s="105">
        <v>7404</v>
      </c>
      <c r="CE150" s="105">
        <v>0</v>
      </c>
      <c r="CF150" s="106">
        <v>2</v>
      </c>
      <c r="CG150" s="107">
        <v>0</v>
      </c>
      <c r="CH150" s="108">
        <v>219585</v>
      </c>
      <c r="CI150" s="51">
        <f t="shared" si="9"/>
        <v>219585</v>
      </c>
      <c r="CJ150" s="51">
        <f t="shared" si="10"/>
        <v>0</v>
      </c>
    </row>
    <row r="151" spans="1:88" ht="15" customHeight="1" x14ac:dyDescent="0.25">
      <c r="A151" s="13" t="s">
        <v>63</v>
      </c>
      <c r="B151" s="268"/>
      <c r="C151" s="102">
        <v>597</v>
      </c>
      <c r="D151" s="103">
        <v>590</v>
      </c>
      <c r="E151" s="103">
        <v>9</v>
      </c>
      <c r="F151" s="103">
        <v>1047</v>
      </c>
      <c r="G151" s="103">
        <v>340</v>
      </c>
      <c r="H151" s="103">
        <v>2700</v>
      </c>
      <c r="I151" s="103">
        <v>833</v>
      </c>
      <c r="J151" s="103">
        <v>495</v>
      </c>
      <c r="K151" s="103">
        <v>666</v>
      </c>
      <c r="L151" s="103">
        <v>453</v>
      </c>
      <c r="M151" s="103">
        <v>374</v>
      </c>
      <c r="N151" s="103">
        <v>1040</v>
      </c>
      <c r="O151" s="103">
        <v>1354</v>
      </c>
      <c r="P151" s="103">
        <v>725</v>
      </c>
      <c r="Q151" s="103">
        <v>403</v>
      </c>
      <c r="R151" s="103">
        <v>1370</v>
      </c>
      <c r="S151" s="103">
        <v>833</v>
      </c>
      <c r="T151" s="103">
        <v>1889</v>
      </c>
      <c r="U151" s="103">
        <v>1442</v>
      </c>
      <c r="V151" s="103">
        <v>1066</v>
      </c>
      <c r="W151" s="103">
        <v>2787</v>
      </c>
      <c r="X151" s="103">
        <v>531</v>
      </c>
      <c r="Y151" s="103">
        <v>2478</v>
      </c>
      <c r="Z151" s="103">
        <v>1603</v>
      </c>
      <c r="AA151" s="103">
        <v>2346</v>
      </c>
      <c r="AB151" s="103">
        <v>931</v>
      </c>
      <c r="AC151" s="103">
        <v>1206</v>
      </c>
      <c r="AD151" s="103">
        <v>223</v>
      </c>
      <c r="AE151" s="103">
        <v>1113</v>
      </c>
      <c r="AF151" s="103">
        <v>5300</v>
      </c>
      <c r="AG151" s="103">
        <v>1153</v>
      </c>
      <c r="AH151" s="103">
        <v>1800</v>
      </c>
      <c r="AI151" s="103">
        <v>1025</v>
      </c>
      <c r="AJ151" s="103">
        <v>3961</v>
      </c>
      <c r="AK151" s="103">
        <v>930</v>
      </c>
      <c r="AL151" s="103">
        <v>3266</v>
      </c>
      <c r="AM151" s="103">
        <v>4466</v>
      </c>
      <c r="AN151" s="103">
        <v>6817</v>
      </c>
      <c r="AO151" s="103">
        <v>461</v>
      </c>
      <c r="AP151" s="103">
        <v>5445</v>
      </c>
      <c r="AQ151" s="103">
        <v>2868</v>
      </c>
      <c r="AR151" s="103">
        <v>642</v>
      </c>
      <c r="AS151" s="103">
        <v>594</v>
      </c>
      <c r="AT151" s="103">
        <v>635</v>
      </c>
      <c r="AU151" s="103">
        <v>238</v>
      </c>
      <c r="AV151" s="103">
        <v>4357</v>
      </c>
      <c r="AW151" s="103">
        <v>2840</v>
      </c>
      <c r="AX151" s="103">
        <v>1444</v>
      </c>
      <c r="AY151" s="103">
        <v>2137</v>
      </c>
      <c r="AZ151" s="103">
        <v>1830</v>
      </c>
      <c r="BA151" s="103">
        <v>3826</v>
      </c>
      <c r="BB151" s="103">
        <v>18456</v>
      </c>
      <c r="BC151" s="103">
        <v>1303</v>
      </c>
      <c r="BD151" s="103">
        <v>2632</v>
      </c>
      <c r="BE151" s="103">
        <v>749</v>
      </c>
      <c r="BF151" s="103">
        <v>2212</v>
      </c>
      <c r="BG151" s="103">
        <v>810</v>
      </c>
      <c r="BH151" s="103">
        <v>67</v>
      </c>
      <c r="BI151" s="103">
        <v>0</v>
      </c>
      <c r="BJ151" s="103">
        <v>2421</v>
      </c>
      <c r="BK151" s="103">
        <v>313</v>
      </c>
      <c r="BL151" s="103">
        <v>371</v>
      </c>
      <c r="BM151" s="103">
        <v>1362</v>
      </c>
      <c r="BN151" s="103">
        <v>24244</v>
      </c>
      <c r="BO151" s="103">
        <v>560</v>
      </c>
      <c r="BP151" s="103">
        <v>8652</v>
      </c>
      <c r="BQ151" s="103">
        <v>3859</v>
      </c>
      <c r="BR151" s="103">
        <v>4538</v>
      </c>
      <c r="BS151" s="103">
        <v>4606</v>
      </c>
      <c r="BT151" s="103">
        <v>1409</v>
      </c>
      <c r="BU151" s="103">
        <v>564</v>
      </c>
      <c r="BV151" s="103">
        <v>54</v>
      </c>
      <c r="BW151" s="103">
        <v>1133</v>
      </c>
      <c r="BX151" s="103">
        <v>4</v>
      </c>
      <c r="BY151" s="103">
        <v>365</v>
      </c>
      <c r="BZ151" s="103">
        <v>601</v>
      </c>
      <c r="CA151" s="103">
        <v>0</v>
      </c>
      <c r="CB151" s="104">
        <v>168764</v>
      </c>
      <c r="CC151" s="265"/>
      <c r="CD151" s="105">
        <v>207926</v>
      </c>
      <c r="CE151" s="105">
        <v>0</v>
      </c>
      <c r="CF151" s="106">
        <v>18</v>
      </c>
      <c r="CG151" s="107">
        <v>0</v>
      </c>
      <c r="CH151" s="108">
        <v>376708</v>
      </c>
      <c r="CI151" s="51">
        <f t="shared" si="9"/>
        <v>376708</v>
      </c>
      <c r="CJ151" s="51">
        <f t="shared" si="10"/>
        <v>0</v>
      </c>
    </row>
    <row r="152" spans="1:88" ht="15" customHeight="1" x14ac:dyDescent="0.25">
      <c r="A152" s="13" t="s">
        <v>64</v>
      </c>
      <c r="B152" s="268"/>
      <c r="C152" s="102">
        <v>306</v>
      </c>
      <c r="D152" s="103">
        <v>145</v>
      </c>
      <c r="E152" s="103">
        <v>0</v>
      </c>
      <c r="F152" s="103">
        <v>25</v>
      </c>
      <c r="G152" s="103">
        <v>810</v>
      </c>
      <c r="H152" s="103">
        <v>2565</v>
      </c>
      <c r="I152" s="103">
        <v>1864</v>
      </c>
      <c r="J152" s="103">
        <v>135</v>
      </c>
      <c r="K152" s="103">
        <v>146</v>
      </c>
      <c r="L152" s="103">
        <v>287</v>
      </c>
      <c r="M152" s="103">
        <v>81</v>
      </c>
      <c r="N152" s="103">
        <v>642</v>
      </c>
      <c r="O152" s="103">
        <v>515</v>
      </c>
      <c r="P152" s="103">
        <v>486</v>
      </c>
      <c r="Q152" s="103">
        <v>1197</v>
      </c>
      <c r="R152" s="103">
        <v>560</v>
      </c>
      <c r="S152" s="103">
        <v>2051</v>
      </c>
      <c r="T152" s="103">
        <v>422</v>
      </c>
      <c r="U152" s="103">
        <v>118</v>
      </c>
      <c r="V152" s="103">
        <v>604</v>
      </c>
      <c r="W152" s="103">
        <v>1196</v>
      </c>
      <c r="X152" s="103">
        <v>788</v>
      </c>
      <c r="Y152" s="103">
        <v>575</v>
      </c>
      <c r="Z152" s="103">
        <v>533</v>
      </c>
      <c r="AA152" s="103">
        <v>498</v>
      </c>
      <c r="AB152" s="103">
        <v>430</v>
      </c>
      <c r="AC152" s="103">
        <v>379</v>
      </c>
      <c r="AD152" s="103">
        <v>77</v>
      </c>
      <c r="AE152" s="103">
        <v>404</v>
      </c>
      <c r="AF152" s="103">
        <v>9599</v>
      </c>
      <c r="AG152" s="103">
        <v>32</v>
      </c>
      <c r="AH152" s="103">
        <v>748</v>
      </c>
      <c r="AI152" s="103">
        <v>375</v>
      </c>
      <c r="AJ152" s="103">
        <v>1996</v>
      </c>
      <c r="AK152" s="103">
        <v>1641</v>
      </c>
      <c r="AL152" s="103">
        <v>7664</v>
      </c>
      <c r="AM152" s="103">
        <v>7142</v>
      </c>
      <c r="AN152" s="103">
        <v>2645</v>
      </c>
      <c r="AO152" s="103">
        <v>47</v>
      </c>
      <c r="AP152" s="103">
        <v>1049</v>
      </c>
      <c r="AQ152" s="103">
        <v>228</v>
      </c>
      <c r="AR152" s="103">
        <v>310</v>
      </c>
      <c r="AS152" s="103">
        <v>308</v>
      </c>
      <c r="AT152" s="103">
        <v>93</v>
      </c>
      <c r="AU152" s="103">
        <v>282</v>
      </c>
      <c r="AV152" s="103">
        <v>12473</v>
      </c>
      <c r="AW152" s="103">
        <v>2640</v>
      </c>
      <c r="AX152" s="103">
        <v>493</v>
      </c>
      <c r="AY152" s="103">
        <v>576</v>
      </c>
      <c r="AZ152" s="103">
        <v>262</v>
      </c>
      <c r="BA152" s="103">
        <v>1538</v>
      </c>
      <c r="BB152" s="103">
        <v>4223</v>
      </c>
      <c r="BC152" s="103">
        <v>4244</v>
      </c>
      <c r="BD152" s="103">
        <v>2180</v>
      </c>
      <c r="BE152" s="103">
        <v>1093</v>
      </c>
      <c r="BF152" s="103">
        <v>434</v>
      </c>
      <c r="BG152" s="103">
        <v>1429</v>
      </c>
      <c r="BH152" s="103">
        <v>270</v>
      </c>
      <c r="BI152" s="103">
        <v>9</v>
      </c>
      <c r="BJ152" s="103">
        <v>952</v>
      </c>
      <c r="BK152" s="103">
        <v>380</v>
      </c>
      <c r="BL152" s="103">
        <v>127</v>
      </c>
      <c r="BM152" s="103">
        <v>604</v>
      </c>
      <c r="BN152" s="103">
        <v>2034</v>
      </c>
      <c r="BO152" s="103">
        <v>4270</v>
      </c>
      <c r="BP152" s="103">
        <v>257</v>
      </c>
      <c r="BQ152" s="103">
        <v>2259</v>
      </c>
      <c r="BR152" s="103">
        <v>2074</v>
      </c>
      <c r="BS152" s="103">
        <v>64</v>
      </c>
      <c r="BT152" s="103">
        <v>826</v>
      </c>
      <c r="BU152" s="103">
        <v>117</v>
      </c>
      <c r="BV152" s="103">
        <v>34</v>
      </c>
      <c r="BW152" s="103">
        <v>30</v>
      </c>
      <c r="BX152" s="103">
        <v>21</v>
      </c>
      <c r="BY152" s="103">
        <v>37</v>
      </c>
      <c r="BZ152" s="103">
        <v>144</v>
      </c>
      <c r="CA152" s="103">
        <v>0</v>
      </c>
      <c r="CB152" s="104">
        <v>98092</v>
      </c>
      <c r="CC152" s="265"/>
      <c r="CD152" s="105">
        <v>7475</v>
      </c>
      <c r="CE152" s="105">
        <v>0</v>
      </c>
      <c r="CF152" s="106">
        <v>24</v>
      </c>
      <c r="CG152" s="107">
        <v>0</v>
      </c>
      <c r="CH152" s="108">
        <v>105591</v>
      </c>
      <c r="CI152" s="51">
        <f t="shared" si="9"/>
        <v>105591</v>
      </c>
      <c r="CJ152" s="51">
        <f t="shared" si="10"/>
        <v>0</v>
      </c>
    </row>
    <row r="153" spans="1:88" ht="15" customHeight="1" x14ac:dyDescent="0.25">
      <c r="A153" s="13" t="s">
        <v>65</v>
      </c>
      <c r="B153" s="268"/>
      <c r="C153" s="102">
        <v>0</v>
      </c>
      <c r="D153" s="103">
        <v>0</v>
      </c>
      <c r="E153" s="103">
        <v>0</v>
      </c>
      <c r="F153" s="103">
        <v>0</v>
      </c>
      <c r="G153" s="103">
        <v>0</v>
      </c>
      <c r="H153" s="103">
        <v>0</v>
      </c>
      <c r="I153" s="103">
        <v>0</v>
      </c>
      <c r="J153" s="103">
        <v>0</v>
      </c>
      <c r="K153" s="103">
        <v>0</v>
      </c>
      <c r="L153" s="103">
        <v>0</v>
      </c>
      <c r="M153" s="103">
        <v>0</v>
      </c>
      <c r="N153" s="103">
        <v>0</v>
      </c>
      <c r="O153" s="103">
        <v>0</v>
      </c>
      <c r="P153" s="103">
        <v>0</v>
      </c>
      <c r="Q153" s="103">
        <v>0</v>
      </c>
      <c r="R153" s="103">
        <v>0</v>
      </c>
      <c r="S153" s="103">
        <v>0</v>
      </c>
      <c r="T153" s="103">
        <v>0</v>
      </c>
      <c r="U153" s="103">
        <v>0</v>
      </c>
      <c r="V153" s="103">
        <v>0</v>
      </c>
      <c r="W153" s="103">
        <v>0</v>
      </c>
      <c r="X153" s="103">
        <v>0</v>
      </c>
      <c r="Y153" s="103">
        <v>0</v>
      </c>
      <c r="Z153" s="103">
        <v>0</v>
      </c>
      <c r="AA153" s="103">
        <v>0</v>
      </c>
      <c r="AB153" s="103">
        <v>0</v>
      </c>
      <c r="AC153" s="103">
        <v>0</v>
      </c>
      <c r="AD153" s="103">
        <v>0</v>
      </c>
      <c r="AE153" s="103">
        <v>0</v>
      </c>
      <c r="AF153" s="103">
        <v>0</v>
      </c>
      <c r="AG153" s="103">
        <v>0</v>
      </c>
      <c r="AH153" s="103">
        <v>0</v>
      </c>
      <c r="AI153" s="103">
        <v>0</v>
      </c>
      <c r="AJ153" s="103">
        <v>0</v>
      </c>
      <c r="AK153" s="103">
        <v>0</v>
      </c>
      <c r="AL153" s="103">
        <v>0</v>
      </c>
      <c r="AM153" s="103">
        <v>0</v>
      </c>
      <c r="AN153" s="103">
        <v>0</v>
      </c>
      <c r="AO153" s="103">
        <v>0</v>
      </c>
      <c r="AP153" s="103">
        <v>0</v>
      </c>
      <c r="AQ153" s="103">
        <v>0</v>
      </c>
      <c r="AR153" s="103">
        <v>0</v>
      </c>
      <c r="AS153" s="103">
        <v>0</v>
      </c>
      <c r="AT153" s="103">
        <v>0</v>
      </c>
      <c r="AU153" s="103">
        <v>0</v>
      </c>
      <c r="AV153" s="103">
        <v>0</v>
      </c>
      <c r="AW153" s="103">
        <v>0</v>
      </c>
      <c r="AX153" s="103">
        <v>0</v>
      </c>
      <c r="AY153" s="103">
        <v>0</v>
      </c>
      <c r="AZ153" s="103">
        <v>0</v>
      </c>
      <c r="BA153" s="103">
        <v>0</v>
      </c>
      <c r="BB153" s="103">
        <v>0</v>
      </c>
      <c r="BC153" s="103">
        <v>0</v>
      </c>
      <c r="BD153" s="103">
        <v>0</v>
      </c>
      <c r="BE153" s="103">
        <v>0</v>
      </c>
      <c r="BF153" s="103">
        <v>0</v>
      </c>
      <c r="BG153" s="103">
        <v>0</v>
      </c>
      <c r="BH153" s="103">
        <v>0</v>
      </c>
      <c r="BI153" s="103">
        <v>0</v>
      </c>
      <c r="BJ153" s="103">
        <v>0</v>
      </c>
      <c r="BK153" s="103">
        <v>0</v>
      </c>
      <c r="BL153" s="103">
        <v>0</v>
      </c>
      <c r="BM153" s="103">
        <v>0</v>
      </c>
      <c r="BN153" s="103">
        <v>0</v>
      </c>
      <c r="BO153" s="103">
        <v>0</v>
      </c>
      <c r="BP153" s="103">
        <v>0</v>
      </c>
      <c r="BQ153" s="103">
        <v>0</v>
      </c>
      <c r="BR153" s="103">
        <v>0</v>
      </c>
      <c r="BS153" s="103">
        <v>0</v>
      </c>
      <c r="BT153" s="103">
        <v>0</v>
      </c>
      <c r="BU153" s="103">
        <v>0</v>
      </c>
      <c r="BV153" s="103">
        <v>0</v>
      </c>
      <c r="BW153" s="103">
        <v>0</v>
      </c>
      <c r="BX153" s="103">
        <v>0</v>
      </c>
      <c r="BY153" s="103">
        <v>0</v>
      </c>
      <c r="BZ153" s="103">
        <v>0</v>
      </c>
      <c r="CA153" s="103">
        <v>0</v>
      </c>
      <c r="CB153" s="104">
        <v>0</v>
      </c>
      <c r="CC153" s="265"/>
      <c r="CD153" s="105">
        <v>0</v>
      </c>
      <c r="CE153" s="105">
        <v>0</v>
      </c>
      <c r="CF153" s="106">
        <v>0</v>
      </c>
      <c r="CG153" s="107">
        <v>0</v>
      </c>
      <c r="CH153" s="108">
        <v>0</v>
      </c>
      <c r="CI153" s="51">
        <f t="shared" ref="CI153:CI165" si="11">CB153+CD153+CE153+CF153+CG153</f>
        <v>0</v>
      </c>
      <c r="CJ153" s="51">
        <f t="shared" ref="CJ153:CJ165" si="12">CH153-CI153</f>
        <v>0</v>
      </c>
    </row>
    <row r="154" spans="1:88" ht="15" customHeight="1" x14ac:dyDescent="0.25">
      <c r="A154" s="13" t="s">
        <v>66</v>
      </c>
      <c r="B154" s="268"/>
      <c r="C154" s="102">
        <v>0</v>
      </c>
      <c r="D154" s="103">
        <v>0</v>
      </c>
      <c r="E154" s="103">
        <v>0</v>
      </c>
      <c r="F154" s="103">
        <v>0</v>
      </c>
      <c r="G154" s="103">
        <v>0</v>
      </c>
      <c r="H154" s="103">
        <v>0</v>
      </c>
      <c r="I154" s="103">
        <v>0</v>
      </c>
      <c r="J154" s="103">
        <v>0</v>
      </c>
      <c r="K154" s="103">
        <v>0</v>
      </c>
      <c r="L154" s="103">
        <v>0</v>
      </c>
      <c r="M154" s="103">
        <v>0</v>
      </c>
      <c r="N154" s="103">
        <v>0</v>
      </c>
      <c r="O154" s="103">
        <v>0</v>
      </c>
      <c r="P154" s="103">
        <v>0</v>
      </c>
      <c r="Q154" s="103">
        <v>0</v>
      </c>
      <c r="R154" s="103">
        <v>0</v>
      </c>
      <c r="S154" s="103">
        <v>0</v>
      </c>
      <c r="T154" s="103">
        <v>0</v>
      </c>
      <c r="U154" s="103">
        <v>0</v>
      </c>
      <c r="V154" s="103">
        <v>0</v>
      </c>
      <c r="W154" s="103">
        <v>0</v>
      </c>
      <c r="X154" s="103">
        <v>0</v>
      </c>
      <c r="Y154" s="103">
        <v>0</v>
      </c>
      <c r="Z154" s="103">
        <v>0</v>
      </c>
      <c r="AA154" s="103">
        <v>0</v>
      </c>
      <c r="AB154" s="103">
        <v>0</v>
      </c>
      <c r="AC154" s="103">
        <v>0</v>
      </c>
      <c r="AD154" s="103">
        <v>0</v>
      </c>
      <c r="AE154" s="103">
        <v>0</v>
      </c>
      <c r="AF154" s="103">
        <v>0</v>
      </c>
      <c r="AG154" s="103">
        <v>0</v>
      </c>
      <c r="AH154" s="103">
        <v>0</v>
      </c>
      <c r="AI154" s="103">
        <v>0</v>
      </c>
      <c r="AJ154" s="103">
        <v>0</v>
      </c>
      <c r="AK154" s="103">
        <v>0</v>
      </c>
      <c r="AL154" s="103">
        <v>0</v>
      </c>
      <c r="AM154" s="103">
        <v>0</v>
      </c>
      <c r="AN154" s="103">
        <v>0</v>
      </c>
      <c r="AO154" s="103">
        <v>0</v>
      </c>
      <c r="AP154" s="103">
        <v>0</v>
      </c>
      <c r="AQ154" s="103">
        <v>0</v>
      </c>
      <c r="AR154" s="103">
        <v>0</v>
      </c>
      <c r="AS154" s="103">
        <v>0</v>
      </c>
      <c r="AT154" s="103">
        <v>0</v>
      </c>
      <c r="AU154" s="103">
        <v>0</v>
      </c>
      <c r="AV154" s="103">
        <v>0</v>
      </c>
      <c r="AW154" s="103">
        <v>0</v>
      </c>
      <c r="AX154" s="103">
        <v>0</v>
      </c>
      <c r="AY154" s="103">
        <v>0</v>
      </c>
      <c r="AZ154" s="103">
        <v>0</v>
      </c>
      <c r="BA154" s="103">
        <v>0</v>
      </c>
      <c r="BB154" s="103">
        <v>0</v>
      </c>
      <c r="BC154" s="103">
        <v>0</v>
      </c>
      <c r="BD154" s="103">
        <v>0</v>
      </c>
      <c r="BE154" s="103">
        <v>0</v>
      </c>
      <c r="BF154" s="103">
        <v>0</v>
      </c>
      <c r="BG154" s="103">
        <v>0</v>
      </c>
      <c r="BH154" s="103">
        <v>0</v>
      </c>
      <c r="BI154" s="103">
        <v>0</v>
      </c>
      <c r="BJ154" s="103">
        <v>0</v>
      </c>
      <c r="BK154" s="103">
        <v>0</v>
      </c>
      <c r="BL154" s="103">
        <v>0</v>
      </c>
      <c r="BM154" s="103">
        <v>0</v>
      </c>
      <c r="BN154" s="103">
        <v>0</v>
      </c>
      <c r="BO154" s="103">
        <v>0</v>
      </c>
      <c r="BP154" s="103">
        <v>0</v>
      </c>
      <c r="BQ154" s="103">
        <v>0</v>
      </c>
      <c r="BR154" s="103">
        <v>0</v>
      </c>
      <c r="BS154" s="103">
        <v>0</v>
      </c>
      <c r="BT154" s="103">
        <v>0</v>
      </c>
      <c r="BU154" s="103">
        <v>0</v>
      </c>
      <c r="BV154" s="103">
        <v>0</v>
      </c>
      <c r="BW154" s="103">
        <v>0</v>
      </c>
      <c r="BX154" s="103">
        <v>0</v>
      </c>
      <c r="BY154" s="103">
        <v>0</v>
      </c>
      <c r="BZ154" s="103">
        <v>0</v>
      </c>
      <c r="CA154" s="103">
        <v>0</v>
      </c>
      <c r="CB154" s="104">
        <v>0</v>
      </c>
      <c r="CC154" s="265"/>
      <c r="CD154" s="105">
        <v>549382</v>
      </c>
      <c r="CE154" s="105">
        <v>0</v>
      </c>
      <c r="CF154" s="106">
        <v>0</v>
      </c>
      <c r="CG154" s="107">
        <v>0</v>
      </c>
      <c r="CH154" s="108">
        <v>549382</v>
      </c>
      <c r="CI154" s="51">
        <f t="shared" si="11"/>
        <v>549382</v>
      </c>
      <c r="CJ154" s="51">
        <f t="shared" si="12"/>
        <v>0</v>
      </c>
    </row>
    <row r="155" spans="1:88" ht="15" customHeight="1" x14ac:dyDescent="0.25">
      <c r="A155" s="13" t="s">
        <v>67</v>
      </c>
      <c r="B155" s="268"/>
      <c r="C155" s="102">
        <v>0</v>
      </c>
      <c r="D155" s="103">
        <v>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0</v>
      </c>
      <c r="L155" s="103">
        <v>0</v>
      </c>
      <c r="M155" s="103">
        <v>0</v>
      </c>
      <c r="N155" s="103">
        <v>0</v>
      </c>
      <c r="O155" s="103">
        <v>0</v>
      </c>
      <c r="P155" s="103">
        <v>0</v>
      </c>
      <c r="Q155" s="103">
        <v>0</v>
      </c>
      <c r="R155" s="103">
        <v>0</v>
      </c>
      <c r="S155" s="103">
        <v>0</v>
      </c>
      <c r="T155" s="103">
        <v>0</v>
      </c>
      <c r="U155" s="103">
        <v>0</v>
      </c>
      <c r="V155" s="103">
        <v>0</v>
      </c>
      <c r="W155" s="103">
        <v>0</v>
      </c>
      <c r="X155" s="103">
        <v>0</v>
      </c>
      <c r="Y155" s="103">
        <v>0</v>
      </c>
      <c r="Z155" s="103">
        <v>0</v>
      </c>
      <c r="AA155" s="103">
        <v>0</v>
      </c>
      <c r="AB155" s="103">
        <v>0</v>
      </c>
      <c r="AC155" s="103">
        <v>0</v>
      </c>
      <c r="AD155" s="103">
        <v>0</v>
      </c>
      <c r="AE155" s="103">
        <v>0</v>
      </c>
      <c r="AF155" s="103">
        <v>0</v>
      </c>
      <c r="AG155" s="103">
        <v>0</v>
      </c>
      <c r="AH155" s="103">
        <v>0</v>
      </c>
      <c r="AI155" s="103">
        <v>0</v>
      </c>
      <c r="AJ155" s="103">
        <v>0</v>
      </c>
      <c r="AK155" s="103">
        <v>0</v>
      </c>
      <c r="AL155" s="103">
        <v>0</v>
      </c>
      <c r="AM155" s="103">
        <v>0</v>
      </c>
      <c r="AN155" s="103">
        <v>0</v>
      </c>
      <c r="AO155" s="103">
        <v>0</v>
      </c>
      <c r="AP155" s="103">
        <v>0</v>
      </c>
      <c r="AQ155" s="103">
        <v>0</v>
      </c>
      <c r="AR155" s="103">
        <v>0</v>
      </c>
      <c r="AS155" s="103">
        <v>0</v>
      </c>
      <c r="AT155" s="103">
        <v>0</v>
      </c>
      <c r="AU155" s="103">
        <v>0</v>
      </c>
      <c r="AV155" s="103">
        <v>0</v>
      </c>
      <c r="AW155" s="103">
        <v>0</v>
      </c>
      <c r="AX155" s="103">
        <v>0</v>
      </c>
      <c r="AY155" s="103">
        <v>0</v>
      </c>
      <c r="AZ155" s="103">
        <v>0</v>
      </c>
      <c r="BA155" s="103">
        <v>0</v>
      </c>
      <c r="BB155" s="103">
        <v>0</v>
      </c>
      <c r="BC155" s="103">
        <v>0</v>
      </c>
      <c r="BD155" s="103">
        <v>0</v>
      </c>
      <c r="BE155" s="103">
        <v>0</v>
      </c>
      <c r="BF155" s="103">
        <v>0</v>
      </c>
      <c r="BG155" s="103">
        <v>0</v>
      </c>
      <c r="BH155" s="103">
        <v>0</v>
      </c>
      <c r="BI155" s="103">
        <v>0</v>
      </c>
      <c r="BJ155" s="103">
        <v>0</v>
      </c>
      <c r="BK155" s="103">
        <v>0</v>
      </c>
      <c r="BL155" s="103">
        <v>0</v>
      </c>
      <c r="BM155" s="103">
        <v>0</v>
      </c>
      <c r="BN155" s="103">
        <v>0</v>
      </c>
      <c r="BO155" s="103">
        <v>0</v>
      </c>
      <c r="BP155" s="103">
        <v>0</v>
      </c>
      <c r="BQ155" s="103">
        <v>0</v>
      </c>
      <c r="BR155" s="103">
        <v>0</v>
      </c>
      <c r="BS155" s="103">
        <v>0</v>
      </c>
      <c r="BT155" s="103">
        <v>0</v>
      </c>
      <c r="BU155" s="103">
        <v>0</v>
      </c>
      <c r="BV155" s="103">
        <v>0</v>
      </c>
      <c r="BW155" s="103">
        <v>0</v>
      </c>
      <c r="BX155" s="103">
        <v>0</v>
      </c>
      <c r="BY155" s="103">
        <v>0</v>
      </c>
      <c r="BZ155" s="103">
        <v>0</v>
      </c>
      <c r="CA155" s="103">
        <v>0</v>
      </c>
      <c r="CB155" s="104">
        <v>0</v>
      </c>
      <c r="CC155" s="265"/>
      <c r="CD155" s="105">
        <v>424921</v>
      </c>
      <c r="CE155" s="105">
        <v>0</v>
      </c>
      <c r="CF155" s="106">
        <v>0</v>
      </c>
      <c r="CG155" s="107">
        <v>0</v>
      </c>
      <c r="CH155" s="108">
        <v>424921</v>
      </c>
      <c r="CI155" s="51">
        <f t="shared" si="11"/>
        <v>424921</v>
      </c>
      <c r="CJ155" s="51">
        <f t="shared" si="12"/>
        <v>0</v>
      </c>
    </row>
    <row r="156" spans="1:88" ht="15" customHeight="1" x14ac:dyDescent="0.25">
      <c r="A156" s="13" t="s">
        <v>68</v>
      </c>
      <c r="B156" s="268"/>
      <c r="C156" s="102">
        <v>0</v>
      </c>
      <c r="D156" s="103">
        <v>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103">
        <v>0</v>
      </c>
      <c r="O156" s="103">
        <v>0</v>
      </c>
      <c r="P156" s="103">
        <v>0</v>
      </c>
      <c r="Q156" s="103">
        <v>0</v>
      </c>
      <c r="R156" s="103">
        <v>0</v>
      </c>
      <c r="S156" s="103">
        <v>0</v>
      </c>
      <c r="T156" s="103">
        <v>0</v>
      </c>
      <c r="U156" s="103">
        <v>0</v>
      </c>
      <c r="V156" s="103">
        <v>0</v>
      </c>
      <c r="W156" s="103">
        <v>0</v>
      </c>
      <c r="X156" s="103">
        <v>0</v>
      </c>
      <c r="Y156" s="103">
        <v>0</v>
      </c>
      <c r="Z156" s="103">
        <v>0</v>
      </c>
      <c r="AA156" s="103">
        <v>0</v>
      </c>
      <c r="AB156" s="103">
        <v>0</v>
      </c>
      <c r="AC156" s="103">
        <v>0</v>
      </c>
      <c r="AD156" s="103">
        <v>0</v>
      </c>
      <c r="AE156" s="103">
        <v>0</v>
      </c>
      <c r="AF156" s="103">
        <v>0</v>
      </c>
      <c r="AG156" s="103">
        <v>0</v>
      </c>
      <c r="AH156" s="103">
        <v>0</v>
      </c>
      <c r="AI156" s="103">
        <v>0</v>
      </c>
      <c r="AJ156" s="103">
        <v>0</v>
      </c>
      <c r="AK156" s="103">
        <v>0</v>
      </c>
      <c r="AL156" s="103">
        <v>0</v>
      </c>
      <c r="AM156" s="103">
        <v>0</v>
      </c>
      <c r="AN156" s="103">
        <v>0</v>
      </c>
      <c r="AO156" s="103">
        <v>0</v>
      </c>
      <c r="AP156" s="103">
        <v>0</v>
      </c>
      <c r="AQ156" s="103">
        <v>0</v>
      </c>
      <c r="AR156" s="103">
        <v>0</v>
      </c>
      <c r="AS156" s="103">
        <v>0</v>
      </c>
      <c r="AT156" s="103">
        <v>0</v>
      </c>
      <c r="AU156" s="103">
        <v>0</v>
      </c>
      <c r="AV156" s="103">
        <v>0</v>
      </c>
      <c r="AW156" s="103">
        <v>0</v>
      </c>
      <c r="AX156" s="103">
        <v>0</v>
      </c>
      <c r="AY156" s="103">
        <v>0</v>
      </c>
      <c r="AZ156" s="103">
        <v>0</v>
      </c>
      <c r="BA156" s="103">
        <v>0</v>
      </c>
      <c r="BB156" s="103">
        <v>0</v>
      </c>
      <c r="BC156" s="103">
        <v>0</v>
      </c>
      <c r="BD156" s="103">
        <v>0</v>
      </c>
      <c r="BE156" s="103">
        <v>0</v>
      </c>
      <c r="BF156" s="103">
        <v>0</v>
      </c>
      <c r="BG156" s="103">
        <v>0</v>
      </c>
      <c r="BH156" s="103">
        <v>0</v>
      </c>
      <c r="BI156" s="103">
        <v>0</v>
      </c>
      <c r="BJ156" s="103">
        <v>0</v>
      </c>
      <c r="BK156" s="103">
        <v>0</v>
      </c>
      <c r="BL156" s="103">
        <v>0</v>
      </c>
      <c r="BM156" s="103">
        <v>0</v>
      </c>
      <c r="BN156" s="103">
        <v>0</v>
      </c>
      <c r="BO156" s="103">
        <v>0</v>
      </c>
      <c r="BP156" s="103">
        <v>0</v>
      </c>
      <c r="BQ156" s="103">
        <v>0</v>
      </c>
      <c r="BR156" s="103">
        <v>0</v>
      </c>
      <c r="BS156" s="103">
        <v>0</v>
      </c>
      <c r="BT156" s="103">
        <v>0</v>
      </c>
      <c r="BU156" s="103">
        <v>0</v>
      </c>
      <c r="BV156" s="103">
        <v>0</v>
      </c>
      <c r="BW156" s="103">
        <v>0</v>
      </c>
      <c r="BX156" s="103">
        <v>0</v>
      </c>
      <c r="BY156" s="103">
        <v>0</v>
      </c>
      <c r="BZ156" s="103">
        <v>0</v>
      </c>
      <c r="CA156" s="103">
        <v>0</v>
      </c>
      <c r="CB156" s="104">
        <v>0</v>
      </c>
      <c r="CC156" s="265"/>
      <c r="CD156" s="105">
        <v>0</v>
      </c>
      <c r="CE156" s="105">
        <v>0</v>
      </c>
      <c r="CF156" s="106">
        <v>0</v>
      </c>
      <c r="CG156" s="107">
        <v>0</v>
      </c>
      <c r="CH156" s="108">
        <v>0</v>
      </c>
      <c r="CI156" s="51">
        <f t="shared" si="11"/>
        <v>0</v>
      </c>
      <c r="CJ156" s="51">
        <f t="shared" si="12"/>
        <v>0</v>
      </c>
    </row>
    <row r="157" spans="1:88" ht="15" customHeight="1" x14ac:dyDescent="0.25">
      <c r="A157" s="13" t="s">
        <v>69</v>
      </c>
      <c r="B157" s="268"/>
      <c r="C157" s="102">
        <v>214</v>
      </c>
      <c r="D157" s="103">
        <v>132</v>
      </c>
      <c r="E157" s="103">
        <v>0</v>
      </c>
      <c r="F157" s="103">
        <v>21</v>
      </c>
      <c r="G157" s="103">
        <v>64</v>
      </c>
      <c r="H157" s="103">
        <v>4429</v>
      </c>
      <c r="I157" s="103">
        <v>0</v>
      </c>
      <c r="J157" s="103">
        <v>27</v>
      </c>
      <c r="K157" s="103">
        <v>27</v>
      </c>
      <c r="L157" s="103">
        <v>0</v>
      </c>
      <c r="M157" s="103">
        <v>0</v>
      </c>
      <c r="N157" s="103">
        <v>126</v>
      </c>
      <c r="O157" s="103">
        <v>566</v>
      </c>
      <c r="P157" s="103">
        <v>1352</v>
      </c>
      <c r="Q157" s="103">
        <v>73</v>
      </c>
      <c r="R157" s="103">
        <v>549</v>
      </c>
      <c r="S157" s="103">
        <v>569</v>
      </c>
      <c r="T157" s="103">
        <v>89</v>
      </c>
      <c r="U157" s="103">
        <v>46</v>
      </c>
      <c r="V157" s="103">
        <v>0</v>
      </c>
      <c r="W157" s="103">
        <v>488</v>
      </c>
      <c r="X157" s="103">
        <v>41</v>
      </c>
      <c r="Y157" s="103">
        <v>91</v>
      </c>
      <c r="Z157" s="103">
        <v>268</v>
      </c>
      <c r="AA157" s="103">
        <v>27</v>
      </c>
      <c r="AB157" s="103">
        <v>2257</v>
      </c>
      <c r="AC157" s="103">
        <v>381</v>
      </c>
      <c r="AD157" s="103">
        <v>0</v>
      </c>
      <c r="AE157" s="103">
        <v>187</v>
      </c>
      <c r="AF157" s="103">
        <v>204</v>
      </c>
      <c r="AG157" s="103">
        <v>0</v>
      </c>
      <c r="AH157" s="103">
        <v>0</v>
      </c>
      <c r="AI157" s="103">
        <v>43</v>
      </c>
      <c r="AJ157" s="103">
        <v>3498</v>
      </c>
      <c r="AK157" s="103">
        <v>852</v>
      </c>
      <c r="AL157" s="103">
        <v>4467</v>
      </c>
      <c r="AM157" s="103">
        <v>1308</v>
      </c>
      <c r="AN157" s="103">
        <v>375</v>
      </c>
      <c r="AO157" s="103">
        <v>323</v>
      </c>
      <c r="AP157" s="103">
        <v>1552</v>
      </c>
      <c r="AQ157" s="103">
        <v>3170</v>
      </c>
      <c r="AR157" s="103">
        <v>2881</v>
      </c>
      <c r="AS157" s="103">
        <v>4</v>
      </c>
      <c r="AT157" s="103">
        <v>6445</v>
      </c>
      <c r="AU157" s="103">
        <v>3081</v>
      </c>
      <c r="AV157" s="103">
        <v>151</v>
      </c>
      <c r="AW157" s="103">
        <v>2373</v>
      </c>
      <c r="AX157" s="103">
        <v>1822</v>
      </c>
      <c r="AY157" s="103">
        <v>1690</v>
      </c>
      <c r="AZ157" s="103">
        <v>0</v>
      </c>
      <c r="BA157" s="103">
        <v>14</v>
      </c>
      <c r="BB157" s="103">
        <v>3119</v>
      </c>
      <c r="BC157" s="103">
        <v>607</v>
      </c>
      <c r="BD157" s="103">
        <v>1677</v>
      </c>
      <c r="BE157" s="103">
        <v>129</v>
      </c>
      <c r="BF157" s="103">
        <v>418</v>
      </c>
      <c r="BG157" s="103">
        <v>6932</v>
      </c>
      <c r="BH157" s="103">
        <v>407</v>
      </c>
      <c r="BI157" s="103">
        <v>0</v>
      </c>
      <c r="BJ157" s="103">
        <v>3537</v>
      </c>
      <c r="BK157" s="103">
        <v>772</v>
      </c>
      <c r="BL157" s="103">
        <v>1854</v>
      </c>
      <c r="BM157" s="103">
        <v>82</v>
      </c>
      <c r="BN157" s="103">
        <v>136</v>
      </c>
      <c r="BO157" s="103">
        <v>315</v>
      </c>
      <c r="BP157" s="103">
        <v>3317</v>
      </c>
      <c r="BQ157" s="103">
        <v>9649</v>
      </c>
      <c r="BR157" s="103">
        <v>2370</v>
      </c>
      <c r="BS157" s="103">
        <v>235</v>
      </c>
      <c r="BT157" s="103">
        <v>283224</v>
      </c>
      <c r="BU157" s="103">
        <v>11125</v>
      </c>
      <c r="BV157" s="103">
        <v>0</v>
      </c>
      <c r="BW157" s="103">
        <v>29310</v>
      </c>
      <c r="BX157" s="103">
        <v>9</v>
      </c>
      <c r="BY157" s="103">
        <v>0</v>
      </c>
      <c r="BZ157" s="103">
        <v>881</v>
      </c>
      <c r="CA157" s="103">
        <v>0</v>
      </c>
      <c r="CB157" s="104">
        <v>406382</v>
      </c>
      <c r="CC157" s="265"/>
      <c r="CD157" s="105">
        <v>302608</v>
      </c>
      <c r="CE157" s="105">
        <v>0</v>
      </c>
      <c r="CF157" s="106">
        <v>227247</v>
      </c>
      <c r="CG157" s="107">
        <v>0</v>
      </c>
      <c r="CH157" s="108">
        <v>936237</v>
      </c>
      <c r="CI157" s="51">
        <f t="shared" si="11"/>
        <v>936237</v>
      </c>
      <c r="CJ157" s="51">
        <f t="shared" si="12"/>
        <v>0</v>
      </c>
    </row>
    <row r="158" spans="1:88" ht="15" customHeight="1" x14ac:dyDescent="0.25">
      <c r="A158" s="13" t="s">
        <v>70</v>
      </c>
      <c r="B158" s="268"/>
      <c r="C158" s="102">
        <v>192</v>
      </c>
      <c r="D158" s="103">
        <v>92</v>
      </c>
      <c r="E158" s="103">
        <v>0</v>
      </c>
      <c r="F158" s="103">
        <v>127</v>
      </c>
      <c r="G158" s="103">
        <v>101</v>
      </c>
      <c r="H158" s="103">
        <v>573</v>
      </c>
      <c r="I158" s="103">
        <v>44</v>
      </c>
      <c r="J158" s="103">
        <v>25</v>
      </c>
      <c r="K158" s="103">
        <v>58</v>
      </c>
      <c r="L158" s="103">
        <v>72</v>
      </c>
      <c r="M158" s="103">
        <v>28</v>
      </c>
      <c r="N158" s="103">
        <v>94</v>
      </c>
      <c r="O158" s="103">
        <v>160</v>
      </c>
      <c r="P158" s="103">
        <v>642</v>
      </c>
      <c r="Q158" s="103">
        <v>97</v>
      </c>
      <c r="R158" s="103">
        <v>243</v>
      </c>
      <c r="S158" s="103">
        <v>0</v>
      </c>
      <c r="T158" s="103">
        <v>249</v>
      </c>
      <c r="U158" s="103">
        <v>141</v>
      </c>
      <c r="V158" s="103">
        <v>73</v>
      </c>
      <c r="W158" s="103">
        <v>260</v>
      </c>
      <c r="X158" s="103">
        <v>0</v>
      </c>
      <c r="Y158" s="103">
        <v>205</v>
      </c>
      <c r="Z158" s="103">
        <v>74</v>
      </c>
      <c r="AA158" s="103">
        <v>199</v>
      </c>
      <c r="AB158" s="103">
        <v>0</v>
      </c>
      <c r="AC158" s="103">
        <v>174</v>
      </c>
      <c r="AD158" s="103">
        <v>0</v>
      </c>
      <c r="AE158" s="103">
        <v>25</v>
      </c>
      <c r="AF158" s="103">
        <v>498</v>
      </c>
      <c r="AG158" s="103">
        <v>66</v>
      </c>
      <c r="AH158" s="103">
        <v>169</v>
      </c>
      <c r="AI158" s="103">
        <v>8</v>
      </c>
      <c r="AJ158" s="103">
        <v>400</v>
      </c>
      <c r="AK158" s="103">
        <v>69</v>
      </c>
      <c r="AL158" s="103">
        <v>331</v>
      </c>
      <c r="AM158" s="103">
        <v>238</v>
      </c>
      <c r="AN158" s="103">
        <v>95</v>
      </c>
      <c r="AO158" s="103">
        <v>66</v>
      </c>
      <c r="AP158" s="103">
        <v>27</v>
      </c>
      <c r="AQ158" s="103">
        <v>200</v>
      </c>
      <c r="AR158" s="103">
        <v>39</v>
      </c>
      <c r="AS158" s="103">
        <v>200</v>
      </c>
      <c r="AT158" s="103">
        <v>0</v>
      </c>
      <c r="AU158" s="103">
        <v>3</v>
      </c>
      <c r="AV158" s="103">
        <v>30</v>
      </c>
      <c r="AW158" s="103">
        <v>0</v>
      </c>
      <c r="AX158" s="103">
        <v>105</v>
      </c>
      <c r="AY158" s="103">
        <v>152</v>
      </c>
      <c r="AZ158" s="103">
        <v>97</v>
      </c>
      <c r="BA158" s="103">
        <v>29</v>
      </c>
      <c r="BB158" s="103">
        <v>128</v>
      </c>
      <c r="BC158" s="103">
        <v>192</v>
      </c>
      <c r="BD158" s="103">
        <v>2174</v>
      </c>
      <c r="BE158" s="103">
        <v>80</v>
      </c>
      <c r="BF158" s="103">
        <v>327</v>
      </c>
      <c r="BG158" s="103">
        <v>968</v>
      </c>
      <c r="BH158" s="103">
        <v>0</v>
      </c>
      <c r="BI158" s="103">
        <v>0</v>
      </c>
      <c r="BJ158" s="103">
        <v>586</v>
      </c>
      <c r="BK158" s="103">
        <v>8</v>
      </c>
      <c r="BL158" s="103">
        <v>108</v>
      </c>
      <c r="BM158" s="103">
        <v>22</v>
      </c>
      <c r="BN158" s="103">
        <v>5</v>
      </c>
      <c r="BO158" s="103">
        <v>0</v>
      </c>
      <c r="BP158" s="103">
        <v>881</v>
      </c>
      <c r="BQ158" s="103">
        <v>839</v>
      </c>
      <c r="BR158" s="103">
        <v>557</v>
      </c>
      <c r="BS158" s="103">
        <v>176</v>
      </c>
      <c r="BT158" s="103">
        <v>1952</v>
      </c>
      <c r="BU158" s="103">
        <v>6484</v>
      </c>
      <c r="BV158" s="103">
        <v>12</v>
      </c>
      <c r="BW158" s="103">
        <v>140</v>
      </c>
      <c r="BX158" s="103">
        <v>0</v>
      </c>
      <c r="BY158" s="103">
        <v>0</v>
      </c>
      <c r="BZ158" s="103">
        <v>199</v>
      </c>
      <c r="CA158" s="103">
        <v>0</v>
      </c>
      <c r="CB158" s="104">
        <v>22608</v>
      </c>
      <c r="CC158" s="265"/>
      <c r="CD158" s="105">
        <v>51980</v>
      </c>
      <c r="CE158" s="105">
        <v>0</v>
      </c>
      <c r="CF158" s="106">
        <v>425</v>
      </c>
      <c r="CG158" s="107">
        <v>0</v>
      </c>
      <c r="CH158" s="108">
        <v>75013</v>
      </c>
      <c r="CI158" s="51">
        <f t="shared" si="11"/>
        <v>75013</v>
      </c>
      <c r="CJ158" s="51">
        <f t="shared" si="12"/>
        <v>0</v>
      </c>
    </row>
    <row r="159" spans="1:88" ht="15" customHeight="1" x14ac:dyDescent="0.25">
      <c r="A159" s="13" t="s">
        <v>71</v>
      </c>
      <c r="B159" s="268"/>
      <c r="C159" s="102">
        <v>0</v>
      </c>
      <c r="D159" s="103">
        <v>0</v>
      </c>
      <c r="E159" s="103">
        <v>0</v>
      </c>
      <c r="F159" s="103">
        <v>0</v>
      </c>
      <c r="G159" s="103">
        <v>0</v>
      </c>
      <c r="H159" s="103">
        <v>0</v>
      </c>
      <c r="I159" s="103">
        <v>0</v>
      </c>
      <c r="J159" s="103">
        <v>0</v>
      </c>
      <c r="K159" s="103">
        <v>0</v>
      </c>
      <c r="L159" s="103">
        <v>0</v>
      </c>
      <c r="M159" s="103">
        <v>0</v>
      </c>
      <c r="N159" s="103">
        <v>0</v>
      </c>
      <c r="O159" s="103">
        <v>0</v>
      </c>
      <c r="P159" s="103">
        <v>0</v>
      </c>
      <c r="Q159" s="103">
        <v>0</v>
      </c>
      <c r="R159" s="103">
        <v>0</v>
      </c>
      <c r="S159" s="103">
        <v>0</v>
      </c>
      <c r="T159" s="103">
        <v>0</v>
      </c>
      <c r="U159" s="103">
        <v>0</v>
      </c>
      <c r="V159" s="103">
        <v>0</v>
      </c>
      <c r="W159" s="103">
        <v>0</v>
      </c>
      <c r="X159" s="103">
        <v>0</v>
      </c>
      <c r="Y159" s="103">
        <v>0</v>
      </c>
      <c r="Z159" s="103">
        <v>0</v>
      </c>
      <c r="AA159" s="103">
        <v>0</v>
      </c>
      <c r="AB159" s="103">
        <v>0</v>
      </c>
      <c r="AC159" s="103">
        <v>0</v>
      </c>
      <c r="AD159" s="103">
        <v>0</v>
      </c>
      <c r="AE159" s="103">
        <v>0</v>
      </c>
      <c r="AF159" s="103">
        <v>0</v>
      </c>
      <c r="AG159" s="103">
        <v>0</v>
      </c>
      <c r="AH159" s="103">
        <v>0</v>
      </c>
      <c r="AI159" s="103">
        <v>0</v>
      </c>
      <c r="AJ159" s="103">
        <v>0</v>
      </c>
      <c r="AK159" s="103">
        <v>0</v>
      </c>
      <c r="AL159" s="103">
        <v>0</v>
      </c>
      <c r="AM159" s="103">
        <v>0</v>
      </c>
      <c r="AN159" s="103">
        <v>0</v>
      </c>
      <c r="AO159" s="103">
        <v>0</v>
      </c>
      <c r="AP159" s="103">
        <v>0</v>
      </c>
      <c r="AQ159" s="103">
        <v>0</v>
      </c>
      <c r="AR159" s="103">
        <v>0</v>
      </c>
      <c r="AS159" s="103">
        <v>0</v>
      </c>
      <c r="AT159" s="103">
        <v>0</v>
      </c>
      <c r="AU159" s="103">
        <v>0</v>
      </c>
      <c r="AV159" s="103">
        <v>0</v>
      </c>
      <c r="AW159" s="103">
        <v>0</v>
      </c>
      <c r="AX159" s="103">
        <v>0</v>
      </c>
      <c r="AY159" s="103">
        <v>0</v>
      </c>
      <c r="AZ159" s="103">
        <v>0</v>
      </c>
      <c r="BA159" s="103">
        <v>0</v>
      </c>
      <c r="BB159" s="103">
        <v>0</v>
      </c>
      <c r="BC159" s="103">
        <v>0</v>
      </c>
      <c r="BD159" s="103">
        <v>0</v>
      </c>
      <c r="BE159" s="103">
        <v>0</v>
      </c>
      <c r="BF159" s="103">
        <v>0</v>
      </c>
      <c r="BG159" s="103">
        <v>0</v>
      </c>
      <c r="BH159" s="103">
        <v>0</v>
      </c>
      <c r="BI159" s="103">
        <v>0</v>
      </c>
      <c r="BJ159" s="103">
        <v>0</v>
      </c>
      <c r="BK159" s="103">
        <v>0</v>
      </c>
      <c r="BL159" s="103">
        <v>0</v>
      </c>
      <c r="BM159" s="103">
        <v>0</v>
      </c>
      <c r="BN159" s="103">
        <v>0</v>
      </c>
      <c r="BO159" s="103">
        <v>0</v>
      </c>
      <c r="BP159" s="103">
        <v>0</v>
      </c>
      <c r="BQ159" s="103">
        <v>0</v>
      </c>
      <c r="BR159" s="103">
        <v>0</v>
      </c>
      <c r="BS159" s="103">
        <v>0</v>
      </c>
      <c r="BT159" s="103">
        <v>0</v>
      </c>
      <c r="BU159" s="103">
        <v>0</v>
      </c>
      <c r="BV159" s="103">
        <v>0</v>
      </c>
      <c r="BW159" s="103">
        <v>0</v>
      </c>
      <c r="BX159" s="103">
        <v>0</v>
      </c>
      <c r="BY159" s="103">
        <v>0</v>
      </c>
      <c r="BZ159" s="103">
        <v>0</v>
      </c>
      <c r="CA159" s="103">
        <v>0</v>
      </c>
      <c r="CB159" s="104">
        <v>0</v>
      </c>
      <c r="CC159" s="265"/>
      <c r="CD159" s="105">
        <v>0</v>
      </c>
      <c r="CE159" s="105">
        <v>0</v>
      </c>
      <c r="CF159" s="106">
        <v>0</v>
      </c>
      <c r="CG159" s="107">
        <v>0</v>
      </c>
      <c r="CH159" s="108">
        <v>0</v>
      </c>
      <c r="CI159" s="51">
        <f t="shared" si="11"/>
        <v>0</v>
      </c>
      <c r="CJ159" s="51">
        <f t="shared" si="12"/>
        <v>0</v>
      </c>
    </row>
    <row r="160" spans="1:88" ht="15" customHeight="1" x14ac:dyDescent="0.25">
      <c r="A160" s="13" t="s">
        <v>72</v>
      </c>
      <c r="B160" s="268"/>
      <c r="C160" s="102">
        <v>152</v>
      </c>
      <c r="D160" s="103">
        <v>60</v>
      </c>
      <c r="E160" s="103">
        <v>0</v>
      </c>
      <c r="F160" s="103">
        <v>716</v>
      </c>
      <c r="G160" s="103">
        <v>20</v>
      </c>
      <c r="H160" s="103">
        <v>1386</v>
      </c>
      <c r="I160" s="103">
        <v>13</v>
      </c>
      <c r="J160" s="103">
        <v>83</v>
      </c>
      <c r="K160" s="103">
        <v>77</v>
      </c>
      <c r="L160" s="103">
        <v>32</v>
      </c>
      <c r="M160" s="103">
        <v>30</v>
      </c>
      <c r="N160" s="103">
        <v>204</v>
      </c>
      <c r="O160" s="103">
        <v>224</v>
      </c>
      <c r="P160" s="103">
        <v>226</v>
      </c>
      <c r="Q160" s="103">
        <v>75</v>
      </c>
      <c r="R160" s="103">
        <v>346</v>
      </c>
      <c r="S160" s="103">
        <v>25</v>
      </c>
      <c r="T160" s="103">
        <v>445</v>
      </c>
      <c r="U160" s="103">
        <v>532</v>
      </c>
      <c r="V160" s="103">
        <v>254</v>
      </c>
      <c r="W160" s="103">
        <v>707</v>
      </c>
      <c r="X160" s="103">
        <v>124</v>
      </c>
      <c r="Y160" s="103">
        <v>453</v>
      </c>
      <c r="Z160" s="103">
        <v>339</v>
      </c>
      <c r="AA160" s="103">
        <v>389</v>
      </c>
      <c r="AB160" s="103">
        <v>22</v>
      </c>
      <c r="AC160" s="103">
        <v>276</v>
      </c>
      <c r="AD160" s="103">
        <v>23</v>
      </c>
      <c r="AE160" s="103">
        <v>111</v>
      </c>
      <c r="AF160" s="103">
        <v>475</v>
      </c>
      <c r="AG160" s="103">
        <v>60</v>
      </c>
      <c r="AH160" s="103">
        <v>267</v>
      </c>
      <c r="AI160" s="103">
        <v>55</v>
      </c>
      <c r="AJ160" s="103">
        <v>2036</v>
      </c>
      <c r="AK160" s="103">
        <v>1051</v>
      </c>
      <c r="AL160" s="103">
        <v>1910</v>
      </c>
      <c r="AM160" s="103">
        <v>1085</v>
      </c>
      <c r="AN160" s="103">
        <v>481</v>
      </c>
      <c r="AO160" s="103">
        <v>29</v>
      </c>
      <c r="AP160" s="103">
        <v>84</v>
      </c>
      <c r="AQ160" s="103">
        <v>1481</v>
      </c>
      <c r="AR160" s="103">
        <v>759</v>
      </c>
      <c r="AS160" s="103">
        <v>53</v>
      </c>
      <c r="AT160" s="103">
        <v>567</v>
      </c>
      <c r="AU160" s="103">
        <v>2</v>
      </c>
      <c r="AV160" s="103">
        <v>165</v>
      </c>
      <c r="AW160" s="103">
        <v>1264</v>
      </c>
      <c r="AX160" s="103">
        <v>47</v>
      </c>
      <c r="AY160" s="103">
        <v>375</v>
      </c>
      <c r="AZ160" s="103">
        <v>0</v>
      </c>
      <c r="BA160" s="103">
        <v>51</v>
      </c>
      <c r="BB160" s="103">
        <v>1343</v>
      </c>
      <c r="BC160" s="103">
        <v>615</v>
      </c>
      <c r="BD160" s="103">
        <v>562</v>
      </c>
      <c r="BE160" s="103">
        <v>216</v>
      </c>
      <c r="BF160" s="103">
        <v>150</v>
      </c>
      <c r="BG160" s="103">
        <v>135</v>
      </c>
      <c r="BH160" s="103">
        <v>13</v>
      </c>
      <c r="BI160" s="103">
        <v>0</v>
      </c>
      <c r="BJ160" s="103">
        <v>990</v>
      </c>
      <c r="BK160" s="103">
        <v>179</v>
      </c>
      <c r="BL160" s="103">
        <v>1079</v>
      </c>
      <c r="BM160" s="103">
        <v>39</v>
      </c>
      <c r="BN160" s="103">
        <v>40</v>
      </c>
      <c r="BO160" s="103">
        <v>148</v>
      </c>
      <c r="BP160" s="103">
        <v>3365</v>
      </c>
      <c r="BQ160" s="103">
        <v>931</v>
      </c>
      <c r="BR160" s="103">
        <v>868</v>
      </c>
      <c r="BS160" s="103">
        <v>335</v>
      </c>
      <c r="BT160" s="103">
        <v>2509</v>
      </c>
      <c r="BU160" s="103">
        <v>30</v>
      </c>
      <c r="BV160" s="103">
        <v>17</v>
      </c>
      <c r="BW160" s="103">
        <v>101839</v>
      </c>
      <c r="BX160" s="103">
        <v>6</v>
      </c>
      <c r="BY160" s="103">
        <v>110</v>
      </c>
      <c r="BZ160" s="103">
        <v>11729</v>
      </c>
      <c r="CA160" s="103">
        <v>0</v>
      </c>
      <c r="CB160" s="104">
        <v>146889</v>
      </c>
      <c r="CC160" s="265"/>
      <c r="CD160" s="105">
        <v>249821</v>
      </c>
      <c r="CE160" s="105">
        <v>0</v>
      </c>
      <c r="CF160" s="106">
        <v>24</v>
      </c>
      <c r="CG160" s="107">
        <v>0</v>
      </c>
      <c r="CH160" s="108">
        <v>396734</v>
      </c>
      <c r="CI160" s="51">
        <f t="shared" si="11"/>
        <v>396734</v>
      </c>
      <c r="CJ160" s="51">
        <f t="shared" si="12"/>
        <v>0</v>
      </c>
    </row>
    <row r="161" spans="1:88" ht="15" customHeight="1" x14ac:dyDescent="0.25">
      <c r="A161" s="13" t="s">
        <v>73</v>
      </c>
      <c r="B161" s="268"/>
      <c r="C161" s="102">
        <v>0</v>
      </c>
      <c r="D161" s="103">
        <v>0</v>
      </c>
      <c r="E161" s="103">
        <v>0</v>
      </c>
      <c r="F161" s="103">
        <v>0</v>
      </c>
      <c r="G161" s="103">
        <v>0</v>
      </c>
      <c r="H161" s="103">
        <v>0</v>
      </c>
      <c r="I161" s="103">
        <v>0</v>
      </c>
      <c r="J161" s="103">
        <v>0</v>
      </c>
      <c r="K161" s="103">
        <v>0</v>
      </c>
      <c r="L161" s="103">
        <v>0</v>
      </c>
      <c r="M161" s="103">
        <v>0</v>
      </c>
      <c r="N161" s="103">
        <v>0</v>
      </c>
      <c r="O161" s="103">
        <v>0</v>
      </c>
      <c r="P161" s="103">
        <v>0</v>
      </c>
      <c r="Q161" s="103">
        <v>0</v>
      </c>
      <c r="R161" s="103">
        <v>0</v>
      </c>
      <c r="S161" s="103">
        <v>0</v>
      </c>
      <c r="T161" s="103">
        <v>0</v>
      </c>
      <c r="U161" s="103">
        <v>0</v>
      </c>
      <c r="V161" s="103">
        <v>0</v>
      </c>
      <c r="W161" s="103">
        <v>0</v>
      </c>
      <c r="X161" s="103">
        <v>0</v>
      </c>
      <c r="Y161" s="103">
        <v>0</v>
      </c>
      <c r="Z161" s="103">
        <v>0</v>
      </c>
      <c r="AA161" s="103">
        <v>0</v>
      </c>
      <c r="AB161" s="103">
        <v>0</v>
      </c>
      <c r="AC161" s="103">
        <v>0</v>
      </c>
      <c r="AD161" s="103">
        <v>0</v>
      </c>
      <c r="AE161" s="103">
        <v>0</v>
      </c>
      <c r="AF161" s="103">
        <v>0</v>
      </c>
      <c r="AG161" s="103">
        <v>0</v>
      </c>
      <c r="AH161" s="103">
        <v>0</v>
      </c>
      <c r="AI161" s="103">
        <v>0</v>
      </c>
      <c r="AJ161" s="103">
        <v>0</v>
      </c>
      <c r="AK161" s="103">
        <v>0</v>
      </c>
      <c r="AL161" s="103">
        <v>0</v>
      </c>
      <c r="AM161" s="103">
        <v>0</v>
      </c>
      <c r="AN161" s="103">
        <v>0</v>
      </c>
      <c r="AO161" s="103">
        <v>0</v>
      </c>
      <c r="AP161" s="103">
        <v>0</v>
      </c>
      <c r="AQ161" s="103">
        <v>0</v>
      </c>
      <c r="AR161" s="103">
        <v>0</v>
      </c>
      <c r="AS161" s="103">
        <v>0</v>
      </c>
      <c r="AT161" s="103">
        <v>0</v>
      </c>
      <c r="AU161" s="103">
        <v>0</v>
      </c>
      <c r="AV161" s="103">
        <v>0</v>
      </c>
      <c r="AW161" s="103">
        <v>0</v>
      </c>
      <c r="AX161" s="103">
        <v>0</v>
      </c>
      <c r="AY161" s="103">
        <v>0</v>
      </c>
      <c r="AZ161" s="103">
        <v>0</v>
      </c>
      <c r="BA161" s="103">
        <v>0</v>
      </c>
      <c r="BB161" s="103">
        <v>0</v>
      </c>
      <c r="BC161" s="103">
        <v>0</v>
      </c>
      <c r="BD161" s="103">
        <v>0</v>
      </c>
      <c r="BE161" s="103">
        <v>0</v>
      </c>
      <c r="BF161" s="103">
        <v>0</v>
      </c>
      <c r="BG161" s="103">
        <v>0</v>
      </c>
      <c r="BH161" s="103">
        <v>0</v>
      </c>
      <c r="BI161" s="103">
        <v>0</v>
      </c>
      <c r="BJ161" s="103">
        <v>0</v>
      </c>
      <c r="BK161" s="103">
        <v>0</v>
      </c>
      <c r="BL161" s="103">
        <v>0</v>
      </c>
      <c r="BM161" s="103">
        <v>0</v>
      </c>
      <c r="BN161" s="103">
        <v>0</v>
      </c>
      <c r="BO161" s="103">
        <v>0</v>
      </c>
      <c r="BP161" s="103">
        <v>0</v>
      </c>
      <c r="BQ161" s="103">
        <v>0</v>
      </c>
      <c r="BR161" s="103">
        <v>0</v>
      </c>
      <c r="BS161" s="103">
        <v>0</v>
      </c>
      <c r="BT161" s="103">
        <v>0</v>
      </c>
      <c r="BU161" s="103">
        <v>0</v>
      </c>
      <c r="BV161" s="103">
        <v>0</v>
      </c>
      <c r="BW161" s="103">
        <v>0</v>
      </c>
      <c r="BX161" s="103">
        <v>0</v>
      </c>
      <c r="BY161" s="103">
        <v>0</v>
      </c>
      <c r="BZ161" s="103">
        <v>0</v>
      </c>
      <c r="CA161" s="103">
        <v>0</v>
      </c>
      <c r="CB161" s="104">
        <v>0</v>
      </c>
      <c r="CC161" s="265"/>
      <c r="CD161" s="105">
        <v>0</v>
      </c>
      <c r="CE161" s="105">
        <v>0</v>
      </c>
      <c r="CF161" s="106">
        <v>0</v>
      </c>
      <c r="CG161" s="107">
        <v>0</v>
      </c>
      <c r="CH161" s="108">
        <v>0</v>
      </c>
      <c r="CI161" s="51">
        <f t="shared" si="11"/>
        <v>0</v>
      </c>
      <c r="CJ161" s="51">
        <f t="shared" si="12"/>
        <v>0</v>
      </c>
    </row>
    <row r="162" spans="1:88" ht="15" customHeight="1" x14ac:dyDescent="0.25">
      <c r="A162" s="13" t="s">
        <v>74</v>
      </c>
      <c r="B162" s="268"/>
      <c r="C162" s="102">
        <v>0</v>
      </c>
      <c r="D162" s="103">
        <v>0</v>
      </c>
      <c r="E162" s="103">
        <v>0</v>
      </c>
      <c r="F162" s="103">
        <v>0</v>
      </c>
      <c r="G162" s="103">
        <v>0</v>
      </c>
      <c r="H162" s="103">
        <v>0</v>
      </c>
      <c r="I162" s="103">
        <v>0</v>
      </c>
      <c r="J162" s="103">
        <v>0</v>
      </c>
      <c r="K162" s="103">
        <v>0</v>
      </c>
      <c r="L162" s="103">
        <v>0</v>
      </c>
      <c r="M162" s="103">
        <v>0</v>
      </c>
      <c r="N162" s="103">
        <v>0</v>
      </c>
      <c r="O162" s="103">
        <v>0</v>
      </c>
      <c r="P162" s="103">
        <v>0</v>
      </c>
      <c r="Q162" s="103">
        <v>0</v>
      </c>
      <c r="R162" s="103">
        <v>0</v>
      </c>
      <c r="S162" s="103">
        <v>0</v>
      </c>
      <c r="T162" s="103">
        <v>0</v>
      </c>
      <c r="U162" s="103">
        <v>0</v>
      </c>
      <c r="V162" s="103">
        <v>0</v>
      </c>
      <c r="W162" s="103">
        <v>0</v>
      </c>
      <c r="X162" s="103">
        <v>0</v>
      </c>
      <c r="Y162" s="103">
        <v>0</v>
      </c>
      <c r="Z162" s="103">
        <v>0</v>
      </c>
      <c r="AA162" s="103">
        <v>0</v>
      </c>
      <c r="AB162" s="103">
        <v>0</v>
      </c>
      <c r="AC162" s="103">
        <v>0</v>
      </c>
      <c r="AD162" s="103">
        <v>0</v>
      </c>
      <c r="AE162" s="103">
        <v>0</v>
      </c>
      <c r="AF162" s="103">
        <v>0</v>
      </c>
      <c r="AG162" s="103">
        <v>0</v>
      </c>
      <c r="AH162" s="103">
        <v>0</v>
      </c>
      <c r="AI162" s="103">
        <v>0</v>
      </c>
      <c r="AJ162" s="103">
        <v>0</v>
      </c>
      <c r="AK162" s="103">
        <v>0</v>
      </c>
      <c r="AL162" s="103">
        <v>0</v>
      </c>
      <c r="AM162" s="103">
        <v>0</v>
      </c>
      <c r="AN162" s="103">
        <v>0</v>
      </c>
      <c r="AO162" s="103">
        <v>0</v>
      </c>
      <c r="AP162" s="103">
        <v>0</v>
      </c>
      <c r="AQ162" s="103">
        <v>0</v>
      </c>
      <c r="AR162" s="103">
        <v>0</v>
      </c>
      <c r="AS162" s="103">
        <v>0</v>
      </c>
      <c r="AT162" s="103">
        <v>0</v>
      </c>
      <c r="AU162" s="103">
        <v>0</v>
      </c>
      <c r="AV162" s="103">
        <v>0</v>
      </c>
      <c r="AW162" s="103">
        <v>0</v>
      </c>
      <c r="AX162" s="103">
        <v>0</v>
      </c>
      <c r="AY162" s="103">
        <v>0</v>
      </c>
      <c r="AZ162" s="103">
        <v>0</v>
      </c>
      <c r="BA162" s="103">
        <v>0</v>
      </c>
      <c r="BB162" s="103">
        <v>0</v>
      </c>
      <c r="BC162" s="103">
        <v>0</v>
      </c>
      <c r="BD162" s="103">
        <v>0</v>
      </c>
      <c r="BE162" s="103">
        <v>0</v>
      </c>
      <c r="BF162" s="103">
        <v>0</v>
      </c>
      <c r="BG162" s="103">
        <v>0</v>
      </c>
      <c r="BH162" s="103">
        <v>0</v>
      </c>
      <c r="BI162" s="103">
        <v>0</v>
      </c>
      <c r="BJ162" s="103">
        <v>0</v>
      </c>
      <c r="BK162" s="103">
        <v>0</v>
      </c>
      <c r="BL162" s="103">
        <v>0</v>
      </c>
      <c r="BM162" s="103">
        <v>0</v>
      </c>
      <c r="BN162" s="103">
        <v>0</v>
      </c>
      <c r="BO162" s="103">
        <v>0</v>
      </c>
      <c r="BP162" s="103">
        <v>0</v>
      </c>
      <c r="BQ162" s="103">
        <v>0</v>
      </c>
      <c r="BR162" s="103">
        <v>0</v>
      </c>
      <c r="BS162" s="103">
        <v>0</v>
      </c>
      <c r="BT162" s="103">
        <v>0</v>
      </c>
      <c r="BU162" s="103">
        <v>0</v>
      </c>
      <c r="BV162" s="103">
        <v>0</v>
      </c>
      <c r="BW162" s="103">
        <v>0</v>
      </c>
      <c r="BX162" s="103">
        <v>0</v>
      </c>
      <c r="BY162" s="103">
        <v>0</v>
      </c>
      <c r="BZ162" s="103">
        <v>0</v>
      </c>
      <c r="CA162" s="103">
        <v>0</v>
      </c>
      <c r="CB162" s="104">
        <v>0</v>
      </c>
      <c r="CC162" s="265"/>
      <c r="CD162" s="105">
        <v>16397</v>
      </c>
      <c r="CE162" s="105">
        <v>0</v>
      </c>
      <c r="CF162" s="106">
        <v>0</v>
      </c>
      <c r="CG162" s="107">
        <v>0</v>
      </c>
      <c r="CH162" s="108">
        <v>16397</v>
      </c>
      <c r="CI162" s="51">
        <f t="shared" si="11"/>
        <v>16397</v>
      </c>
      <c r="CJ162" s="51">
        <f t="shared" si="12"/>
        <v>0</v>
      </c>
    </row>
    <row r="163" spans="1:88" ht="15.75" customHeight="1" x14ac:dyDescent="0.25">
      <c r="A163" s="13" t="s">
        <v>102</v>
      </c>
      <c r="B163" s="268"/>
      <c r="C163" s="102">
        <v>0</v>
      </c>
      <c r="D163" s="103">
        <v>0</v>
      </c>
      <c r="E163" s="103">
        <v>0</v>
      </c>
      <c r="F163" s="103">
        <v>0</v>
      </c>
      <c r="G163" s="103">
        <v>0</v>
      </c>
      <c r="H163" s="103">
        <v>0</v>
      </c>
      <c r="I163" s="103">
        <v>0</v>
      </c>
      <c r="J163" s="103">
        <v>0</v>
      </c>
      <c r="K163" s="103">
        <v>0</v>
      </c>
      <c r="L163" s="103">
        <v>0</v>
      </c>
      <c r="M163" s="103">
        <v>0</v>
      </c>
      <c r="N163" s="103">
        <v>0</v>
      </c>
      <c r="O163" s="103">
        <v>0</v>
      </c>
      <c r="P163" s="103">
        <v>0</v>
      </c>
      <c r="Q163" s="103">
        <v>0</v>
      </c>
      <c r="R163" s="103">
        <v>0</v>
      </c>
      <c r="S163" s="103">
        <v>0</v>
      </c>
      <c r="T163" s="103">
        <v>0</v>
      </c>
      <c r="U163" s="103">
        <v>0</v>
      </c>
      <c r="V163" s="103">
        <v>0</v>
      </c>
      <c r="W163" s="103">
        <v>0</v>
      </c>
      <c r="X163" s="103">
        <v>0</v>
      </c>
      <c r="Y163" s="103">
        <v>0</v>
      </c>
      <c r="Z163" s="103">
        <v>0</v>
      </c>
      <c r="AA163" s="103">
        <v>0</v>
      </c>
      <c r="AB163" s="103">
        <v>0</v>
      </c>
      <c r="AC163" s="103">
        <v>0</v>
      </c>
      <c r="AD163" s="103">
        <v>0</v>
      </c>
      <c r="AE163" s="103">
        <v>0</v>
      </c>
      <c r="AF163" s="103">
        <v>0</v>
      </c>
      <c r="AG163" s="103">
        <v>0</v>
      </c>
      <c r="AH163" s="103">
        <v>0</v>
      </c>
      <c r="AI163" s="103">
        <v>0</v>
      </c>
      <c r="AJ163" s="103">
        <v>0</v>
      </c>
      <c r="AK163" s="103">
        <v>0</v>
      </c>
      <c r="AL163" s="103">
        <v>0</v>
      </c>
      <c r="AM163" s="103">
        <v>0</v>
      </c>
      <c r="AN163" s="103">
        <v>0</v>
      </c>
      <c r="AO163" s="103">
        <v>0</v>
      </c>
      <c r="AP163" s="103">
        <v>0</v>
      </c>
      <c r="AQ163" s="103">
        <v>0</v>
      </c>
      <c r="AR163" s="103">
        <v>0</v>
      </c>
      <c r="AS163" s="103">
        <v>0</v>
      </c>
      <c r="AT163" s="103">
        <v>0</v>
      </c>
      <c r="AU163" s="103">
        <v>0</v>
      </c>
      <c r="AV163" s="103">
        <v>0</v>
      </c>
      <c r="AW163" s="103">
        <v>0</v>
      </c>
      <c r="AX163" s="103">
        <v>0</v>
      </c>
      <c r="AY163" s="103">
        <v>0</v>
      </c>
      <c r="AZ163" s="103">
        <v>0</v>
      </c>
      <c r="BA163" s="103">
        <v>0</v>
      </c>
      <c r="BB163" s="103">
        <v>0</v>
      </c>
      <c r="BC163" s="103">
        <v>0</v>
      </c>
      <c r="BD163" s="103">
        <v>0</v>
      </c>
      <c r="BE163" s="103">
        <v>0</v>
      </c>
      <c r="BF163" s="103">
        <v>0</v>
      </c>
      <c r="BG163" s="103">
        <v>0</v>
      </c>
      <c r="BH163" s="103">
        <v>0</v>
      </c>
      <c r="BI163" s="103">
        <v>0</v>
      </c>
      <c r="BJ163" s="103">
        <v>0</v>
      </c>
      <c r="BK163" s="103">
        <v>0</v>
      </c>
      <c r="BL163" s="103">
        <v>0</v>
      </c>
      <c r="BM163" s="103">
        <v>0</v>
      </c>
      <c r="BN163" s="103">
        <v>0</v>
      </c>
      <c r="BO163" s="103">
        <v>0</v>
      </c>
      <c r="BP163" s="103">
        <v>0</v>
      </c>
      <c r="BQ163" s="103">
        <v>0</v>
      </c>
      <c r="BR163" s="103">
        <v>0</v>
      </c>
      <c r="BS163" s="103">
        <v>0</v>
      </c>
      <c r="BT163" s="103">
        <v>0</v>
      </c>
      <c r="BU163" s="103">
        <v>0</v>
      </c>
      <c r="BV163" s="103">
        <v>0</v>
      </c>
      <c r="BW163" s="103">
        <v>0</v>
      </c>
      <c r="BX163" s="103">
        <v>0</v>
      </c>
      <c r="BY163" s="103">
        <v>0</v>
      </c>
      <c r="BZ163" s="103">
        <v>0</v>
      </c>
      <c r="CA163" s="103">
        <v>0</v>
      </c>
      <c r="CB163" s="104">
        <v>0</v>
      </c>
      <c r="CC163" s="265"/>
      <c r="CD163" s="105">
        <v>211299</v>
      </c>
      <c r="CE163" s="105">
        <v>0</v>
      </c>
      <c r="CF163" s="106">
        <v>0</v>
      </c>
      <c r="CG163" s="107">
        <v>0</v>
      </c>
      <c r="CH163" s="108">
        <v>211299</v>
      </c>
      <c r="CI163" s="51">
        <f t="shared" si="11"/>
        <v>211299</v>
      </c>
      <c r="CJ163" s="51">
        <f t="shared" si="12"/>
        <v>0</v>
      </c>
    </row>
    <row r="164" spans="1:88" ht="15" customHeight="1" thickBot="1" x14ac:dyDescent="0.3">
      <c r="A164" s="144" t="s">
        <v>76</v>
      </c>
      <c r="B164" s="269"/>
      <c r="C164" s="102">
        <v>0</v>
      </c>
      <c r="D164" s="103">
        <v>0</v>
      </c>
      <c r="E164" s="103">
        <v>0</v>
      </c>
      <c r="F164" s="103">
        <v>0</v>
      </c>
      <c r="G164" s="103">
        <v>0</v>
      </c>
      <c r="H164" s="103">
        <v>0</v>
      </c>
      <c r="I164" s="103">
        <v>0</v>
      </c>
      <c r="J164" s="103">
        <v>0</v>
      </c>
      <c r="K164" s="103">
        <v>0</v>
      </c>
      <c r="L164" s="103">
        <v>0</v>
      </c>
      <c r="M164" s="103">
        <v>0</v>
      </c>
      <c r="N164" s="103">
        <v>0</v>
      </c>
      <c r="O164" s="103">
        <v>0</v>
      </c>
      <c r="P164" s="103">
        <v>0</v>
      </c>
      <c r="Q164" s="103">
        <v>0</v>
      </c>
      <c r="R164" s="103">
        <v>0</v>
      </c>
      <c r="S164" s="103">
        <v>0</v>
      </c>
      <c r="T164" s="103">
        <v>0</v>
      </c>
      <c r="U164" s="103">
        <v>0</v>
      </c>
      <c r="V164" s="103">
        <v>0</v>
      </c>
      <c r="W164" s="103">
        <v>0</v>
      </c>
      <c r="X164" s="103">
        <v>0</v>
      </c>
      <c r="Y164" s="103">
        <v>0</v>
      </c>
      <c r="Z164" s="103">
        <v>0</v>
      </c>
      <c r="AA164" s="103">
        <v>0</v>
      </c>
      <c r="AB164" s="103">
        <v>0</v>
      </c>
      <c r="AC164" s="103">
        <v>0</v>
      </c>
      <c r="AD164" s="103">
        <v>0</v>
      </c>
      <c r="AE164" s="103">
        <v>0</v>
      </c>
      <c r="AF164" s="103">
        <v>0</v>
      </c>
      <c r="AG164" s="103">
        <v>0</v>
      </c>
      <c r="AH164" s="103">
        <v>0</v>
      </c>
      <c r="AI164" s="103">
        <v>0</v>
      </c>
      <c r="AJ164" s="103">
        <v>0</v>
      </c>
      <c r="AK164" s="103">
        <v>0</v>
      </c>
      <c r="AL164" s="103">
        <v>0</v>
      </c>
      <c r="AM164" s="103">
        <v>0</v>
      </c>
      <c r="AN164" s="103">
        <v>0</v>
      </c>
      <c r="AO164" s="103">
        <v>0</v>
      </c>
      <c r="AP164" s="103">
        <v>0</v>
      </c>
      <c r="AQ164" s="103">
        <v>0</v>
      </c>
      <c r="AR164" s="103">
        <v>0</v>
      </c>
      <c r="AS164" s="103">
        <v>0</v>
      </c>
      <c r="AT164" s="103">
        <v>0</v>
      </c>
      <c r="AU164" s="103">
        <v>0</v>
      </c>
      <c r="AV164" s="103">
        <v>0</v>
      </c>
      <c r="AW164" s="103">
        <v>0</v>
      </c>
      <c r="AX164" s="103">
        <v>0</v>
      </c>
      <c r="AY164" s="103">
        <v>0</v>
      </c>
      <c r="AZ164" s="103">
        <v>0</v>
      </c>
      <c r="BA164" s="103">
        <v>0</v>
      </c>
      <c r="BB164" s="103">
        <v>0</v>
      </c>
      <c r="BC164" s="103">
        <v>0</v>
      </c>
      <c r="BD164" s="103">
        <v>0</v>
      </c>
      <c r="BE164" s="103">
        <v>0</v>
      </c>
      <c r="BF164" s="103">
        <v>0</v>
      </c>
      <c r="BG164" s="103">
        <v>0</v>
      </c>
      <c r="BH164" s="103">
        <v>0</v>
      </c>
      <c r="BI164" s="103">
        <v>0</v>
      </c>
      <c r="BJ164" s="103">
        <v>0</v>
      </c>
      <c r="BK164" s="103">
        <v>0</v>
      </c>
      <c r="BL164" s="103">
        <v>0</v>
      </c>
      <c r="BM164" s="103">
        <v>0</v>
      </c>
      <c r="BN164" s="103">
        <v>0</v>
      </c>
      <c r="BO164" s="103">
        <v>0</v>
      </c>
      <c r="BP164" s="103">
        <v>0</v>
      </c>
      <c r="BQ164" s="103">
        <v>0</v>
      </c>
      <c r="BR164" s="103">
        <v>0</v>
      </c>
      <c r="BS164" s="103">
        <v>0</v>
      </c>
      <c r="BT164" s="103">
        <v>0</v>
      </c>
      <c r="BU164" s="103">
        <v>0</v>
      </c>
      <c r="BV164" s="103">
        <v>0</v>
      </c>
      <c r="BW164" s="103">
        <v>0</v>
      </c>
      <c r="BX164" s="103">
        <v>0</v>
      </c>
      <c r="BY164" s="103">
        <v>0</v>
      </c>
      <c r="BZ164" s="103">
        <v>0</v>
      </c>
      <c r="CA164" s="103">
        <v>0</v>
      </c>
      <c r="CB164" s="109">
        <v>0</v>
      </c>
      <c r="CC164" s="266"/>
      <c r="CD164" s="105">
        <v>0</v>
      </c>
      <c r="CE164" s="105">
        <v>0</v>
      </c>
      <c r="CF164" s="106">
        <v>0</v>
      </c>
      <c r="CG164" s="145">
        <v>0</v>
      </c>
      <c r="CH164" s="108">
        <v>0</v>
      </c>
      <c r="CI164" s="51">
        <f t="shared" si="11"/>
        <v>0</v>
      </c>
      <c r="CJ164" s="51">
        <f t="shared" si="12"/>
        <v>0</v>
      </c>
    </row>
    <row r="165" spans="1:88" ht="21" thickBot="1" x14ac:dyDescent="0.3">
      <c r="A165" s="32" t="s">
        <v>86</v>
      </c>
      <c r="B165" s="33" t="s">
        <v>90</v>
      </c>
      <c r="C165" s="68">
        <v>10010831</v>
      </c>
      <c r="D165" s="69">
        <v>538864</v>
      </c>
      <c r="E165" s="69">
        <v>54486</v>
      </c>
      <c r="F165" s="69">
        <v>1282471</v>
      </c>
      <c r="G165" s="69">
        <v>1902357</v>
      </c>
      <c r="H165" s="69">
        <v>26882053</v>
      </c>
      <c r="I165" s="69">
        <v>3430757</v>
      </c>
      <c r="J165" s="69">
        <v>999259</v>
      </c>
      <c r="K165" s="69">
        <v>4374070</v>
      </c>
      <c r="L165" s="69">
        <v>2284944</v>
      </c>
      <c r="M165" s="69">
        <v>1647013</v>
      </c>
      <c r="N165" s="69">
        <v>5136565</v>
      </c>
      <c r="O165" s="69">
        <v>9656641</v>
      </c>
      <c r="P165" s="69">
        <v>2932285</v>
      </c>
      <c r="Q165" s="69">
        <v>37562912</v>
      </c>
      <c r="R165" s="69">
        <v>20509716</v>
      </c>
      <c r="S165" s="69">
        <v>3457476</v>
      </c>
      <c r="T165" s="69">
        <v>23231228</v>
      </c>
      <c r="U165" s="69">
        <v>6595368</v>
      </c>
      <c r="V165" s="69">
        <v>18304792</v>
      </c>
      <c r="W165" s="69">
        <v>18754540</v>
      </c>
      <c r="X165" s="69">
        <v>15468889</v>
      </c>
      <c r="Y165" s="69">
        <v>18053524</v>
      </c>
      <c r="Z165" s="69">
        <v>10813337</v>
      </c>
      <c r="AA165" s="69">
        <v>39774262</v>
      </c>
      <c r="AB165" s="69">
        <v>5870296</v>
      </c>
      <c r="AC165" s="69">
        <v>8798988</v>
      </c>
      <c r="AD165" s="69">
        <v>2635653</v>
      </c>
      <c r="AE165" s="69">
        <v>9441709</v>
      </c>
      <c r="AF165" s="69">
        <v>13174072</v>
      </c>
      <c r="AG165" s="69">
        <v>312260</v>
      </c>
      <c r="AH165" s="69">
        <v>4630726</v>
      </c>
      <c r="AI165" s="69">
        <v>487304</v>
      </c>
      <c r="AJ165" s="69">
        <v>33049502</v>
      </c>
      <c r="AK165" s="69">
        <v>2837681</v>
      </c>
      <c r="AL165" s="69">
        <v>15273801</v>
      </c>
      <c r="AM165" s="69">
        <v>9293294</v>
      </c>
      <c r="AN165" s="69">
        <v>16108487</v>
      </c>
      <c r="AO165" s="69">
        <v>970888</v>
      </c>
      <c r="AP165" s="69">
        <v>5119340</v>
      </c>
      <c r="AQ165" s="69">
        <v>873371</v>
      </c>
      <c r="AR165" s="69">
        <v>2166002</v>
      </c>
      <c r="AS165" s="69">
        <v>1609006</v>
      </c>
      <c r="AT165" s="69">
        <v>615877</v>
      </c>
      <c r="AU165" s="69">
        <v>447097</v>
      </c>
      <c r="AV165" s="69">
        <v>5934452</v>
      </c>
      <c r="AW165" s="69">
        <v>4000308</v>
      </c>
      <c r="AX165" s="69">
        <v>727613</v>
      </c>
      <c r="AY165" s="69">
        <v>2577272</v>
      </c>
      <c r="AZ165" s="69">
        <v>1973243</v>
      </c>
      <c r="BA165" s="69">
        <v>1142712</v>
      </c>
      <c r="BB165" s="69">
        <v>4447966</v>
      </c>
      <c r="BC165" s="69">
        <v>1740413</v>
      </c>
      <c r="BD165" s="69">
        <v>1463362</v>
      </c>
      <c r="BE165" s="69">
        <v>1325484</v>
      </c>
      <c r="BF165" s="69">
        <v>1831901</v>
      </c>
      <c r="BG165" s="69">
        <v>2382408</v>
      </c>
      <c r="BH165" s="69">
        <v>534497</v>
      </c>
      <c r="BI165" s="69">
        <v>359461</v>
      </c>
      <c r="BJ165" s="69">
        <v>1709526</v>
      </c>
      <c r="BK165" s="69">
        <v>206789</v>
      </c>
      <c r="BL165" s="69">
        <v>1427529</v>
      </c>
      <c r="BM165" s="69">
        <v>404566</v>
      </c>
      <c r="BN165" s="69">
        <v>1009898</v>
      </c>
      <c r="BO165" s="69">
        <v>1248879</v>
      </c>
      <c r="BP165" s="69">
        <v>4085607</v>
      </c>
      <c r="BQ165" s="69">
        <v>2093853</v>
      </c>
      <c r="BR165" s="69">
        <v>7851734</v>
      </c>
      <c r="BS165" s="69">
        <v>650314</v>
      </c>
      <c r="BT165" s="69">
        <v>875800</v>
      </c>
      <c r="BU165" s="69">
        <v>91321</v>
      </c>
      <c r="BV165" s="69">
        <v>76602</v>
      </c>
      <c r="BW165" s="69">
        <v>550044</v>
      </c>
      <c r="BX165" s="69">
        <v>821391</v>
      </c>
      <c r="BY165" s="69">
        <v>1168615</v>
      </c>
      <c r="BZ165" s="69">
        <v>785603</v>
      </c>
      <c r="CA165" s="70">
        <v>0</v>
      </c>
      <c r="CB165" s="71">
        <v>472873157</v>
      </c>
      <c r="CC165" s="26" t="s">
        <v>91</v>
      </c>
      <c r="CD165" s="110">
        <v>163657987</v>
      </c>
      <c r="CE165" s="110">
        <v>5042023</v>
      </c>
      <c r="CF165" s="111">
        <v>100581811</v>
      </c>
      <c r="CG165" s="112">
        <v>80580630</v>
      </c>
      <c r="CH165" s="75">
        <v>822735608</v>
      </c>
      <c r="CI165" s="51">
        <f t="shared" si="11"/>
        <v>822735608</v>
      </c>
      <c r="CJ165" s="51">
        <f t="shared" si="12"/>
        <v>0</v>
      </c>
    </row>
    <row r="166" spans="1:88" ht="18" x14ac:dyDescent="0.25">
      <c r="A166" s="15"/>
      <c r="B166" s="19"/>
      <c r="C166" s="51">
        <f>SUM(C88:C164)</f>
        <v>10010831</v>
      </c>
      <c r="D166" s="51">
        <f t="shared" ref="D166:BO166" si="13">SUM(D88:D164)</f>
        <v>538864</v>
      </c>
      <c r="E166" s="51">
        <f t="shared" si="13"/>
        <v>54486</v>
      </c>
      <c r="F166" s="51">
        <f t="shared" si="13"/>
        <v>1282471</v>
      </c>
      <c r="G166" s="51">
        <f t="shared" si="13"/>
        <v>1902357</v>
      </c>
      <c r="H166" s="51">
        <f t="shared" si="13"/>
        <v>26882053</v>
      </c>
      <c r="I166" s="51">
        <f t="shared" si="13"/>
        <v>3430757</v>
      </c>
      <c r="J166" s="51">
        <f t="shared" si="13"/>
        <v>999259</v>
      </c>
      <c r="K166" s="51">
        <f t="shared" si="13"/>
        <v>4374070</v>
      </c>
      <c r="L166" s="51">
        <f t="shared" si="13"/>
        <v>2284944</v>
      </c>
      <c r="M166" s="51">
        <f t="shared" si="13"/>
        <v>1647013</v>
      </c>
      <c r="N166" s="51">
        <f t="shared" si="13"/>
        <v>5136565</v>
      </c>
      <c r="O166" s="51">
        <f t="shared" si="13"/>
        <v>9656641</v>
      </c>
      <c r="P166" s="51">
        <f t="shared" si="13"/>
        <v>2932285</v>
      </c>
      <c r="Q166" s="51">
        <f t="shared" si="13"/>
        <v>37562912</v>
      </c>
      <c r="R166" s="51">
        <f t="shared" si="13"/>
        <v>20509716</v>
      </c>
      <c r="S166" s="51">
        <f t="shared" si="13"/>
        <v>3457476</v>
      </c>
      <c r="T166" s="51">
        <f t="shared" si="13"/>
        <v>23231228</v>
      </c>
      <c r="U166" s="51">
        <f t="shared" si="13"/>
        <v>6595368</v>
      </c>
      <c r="V166" s="51">
        <f t="shared" si="13"/>
        <v>18304792</v>
      </c>
      <c r="W166" s="51">
        <f t="shared" si="13"/>
        <v>18754540</v>
      </c>
      <c r="X166" s="51">
        <f t="shared" si="13"/>
        <v>15468889</v>
      </c>
      <c r="Y166" s="51">
        <f t="shared" si="13"/>
        <v>18053524</v>
      </c>
      <c r="Z166" s="51">
        <f t="shared" si="13"/>
        <v>10813337</v>
      </c>
      <c r="AA166" s="51">
        <f t="shared" si="13"/>
        <v>39774262</v>
      </c>
      <c r="AB166" s="51">
        <f t="shared" si="13"/>
        <v>5870296</v>
      </c>
      <c r="AC166" s="51">
        <f t="shared" si="13"/>
        <v>8798988</v>
      </c>
      <c r="AD166" s="51">
        <f t="shared" si="13"/>
        <v>2635653</v>
      </c>
      <c r="AE166" s="51">
        <f t="shared" si="13"/>
        <v>9441709</v>
      </c>
      <c r="AF166" s="51">
        <f t="shared" si="13"/>
        <v>13174072</v>
      </c>
      <c r="AG166" s="51">
        <f t="shared" si="13"/>
        <v>312260</v>
      </c>
      <c r="AH166" s="51">
        <f t="shared" si="13"/>
        <v>4630726</v>
      </c>
      <c r="AI166" s="51">
        <f t="shared" si="13"/>
        <v>487304</v>
      </c>
      <c r="AJ166" s="51">
        <f t="shared" si="13"/>
        <v>33049502</v>
      </c>
      <c r="AK166" s="51">
        <f t="shared" si="13"/>
        <v>2837681</v>
      </c>
      <c r="AL166" s="51">
        <f t="shared" si="13"/>
        <v>15273801</v>
      </c>
      <c r="AM166" s="51">
        <f t="shared" si="13"/>
        <v>9293294</v>
      </c>
      <c r="AN166" s="51">
        <f t="shared" si="13"/>
        <v>16108487</v>
      </c>
      <c r="AO166" s="51">
        <f t="shared" si="13"/>
        <v>970888</v>
      </c>
      <c r="AP166" s="51">
        <f t="shared" si="13"/>
        <v>5119340</v>
      </c>
      <c r="AQ166" s="51">
        <f t="shared" si="13"/>
        <v>873371</v>
      </c>
      <c r="AR166" s="51">
        <f t="shared" si="13"/>
        <v>2166002</v>
      </c>
      <c r="AS166" s="51">
        <f t="shared" si="13"/>
        <v>1609006</v>
      </c>
      <c r="AT166" s="51">
        <f t="shared" si="13"/>
        <v>615877</v>
      </c>
      <c r="AU166" s="51">
        <f t="shared" si="13"/>
        <v>447097</v>
      </c>
      <c r="AV166" s="51">
        <f t="shared" si="13"/>
        <v>5934452</v>
      </c>
      <c r="AW166" s="51">
        <f t="shared" si="13"/>
        <v>4000308</v>
      </c>
      <c r="AX166" s="51">
        <f t="shared" si="13"/>
        <v>727613</v>
      </c>
      <c r="AY166" s="51">
        <f t="shared" si="13"/>
        <v>2577272</v>
      </c>
      <c r="AZ166" s="51">
        <f t="shared" si="13"/>
        <v>1973243</v>
      </c>
      <c r="BA166" s="51">
        <f t="shared" si="13"/>
        <v>1142712</v>
      </c>
      <c r="BB166" s="51">
        <f t="shared" si="13"/>
        <v>4447966</v>
      </c>
      <c r="BC166" s="51">
        <f t="shared" si="13"/>
        <v>1740413</v>
      </c>
      <c r="BD166" s="51">
        <f t="shared" si="13"/>
        <v>1463362</v>
      </c>
      <c r="BE166" s="51">
        <f t="shared" si="13"/>
        <v>1325484</v>
      </c>
      <c r="BF166" s="51">
        <f t="shared" si="13"/>
        <v>1831901</v>
      </c>
      <c r="BG166" s="51">
        <f t="shared" si="13"/>
        <v>2382408</v>
      </c>
      <c r="BH166" s="51">
        <f t="shared" si="13"/>
        <v>534497</v>
      </c>
      <c r="BI166" s="51">
        <f t="shared" si="13"/>
        <v>359461</v>
      </c>
      <c r="BJ166" s="51">
        <f t="shared" si="13"/>
        <v>1709526</v>
      </c>
      <c r="BK166" s="51">
        <f t="shared" si="13"/>
        <v>206789</v>
      </c>
      <c r="BL166" s="51">
        <f t="shared" si="13"/>
        <v>1427529</v>
      </c>
      <c r="BM166" s="51">
        <f t="shared" si="13"/>
        <v>404566</v>
      </c>
      <c r="BN166" s="51">
        <f t="shared" si="13"/>
        <v>1009898</v>
      </c>
      <c r="BO166" s="51">
        <f t="shared" si="13"/>
        <v>1248879</v>
      </c>
      <c r="BP166" s="51">
        <f t="shared" ref="BP166:CB166" si="14">SUM(BP88:BP164)</f>
        <v>4085607</v>
      </c>
      <c r="BQ166" s="51">
        <f t="shared" si="14"/>
        <v>2093853</v>
      </c>
      <c r="BR166" s="51">
        <f t="shared" si="14"/>
        <v>7851734</v>
      </c>
      <c r="BS166" s="51">
        <f t="shared" si="14"/>
        <v>650314</v>
      </c>
      <c r="BT166" s="51">
        <f t="shared" si="14"/>
        <v>875800</v>
      </c>
      <c r="BU166" s="51">
        <f t="shared" si="14"/>
        <v>91321</v>
      </c>
      <c r="BV166" s="51">
        <f t="shared" si="14"/>
        <v>76602</v>
      </c>
      <c r="BW166" s="51">
        <f t="shared" si="14"/>
        <v>550044</v>
      </c>
      <c r="BX166" s="51">
        <f t="shared" si="14"/>
        <v>821391</v>
      </c>
      <c r="BY166" s="51">
        <f t="shared" si="14"/>
        <v>1168615</v>
      </c>
      <c r="BZ166" s="51">
        <f t="shared" si="14"/>
        <v>785603</v>
      </c>
      <c r="CA166" s="51">
        <f t="shared" si="14"/>
        <v>0</v>
      </c>
      <c r="CB166" s="51">
        <f t="shared" si="14"/>
        <v>472873157</v>
      </c>
      <c r="CC166" s="81"/>
      <c r="CD166" s="51">
        <f>SUM(CD88:CD164)</f>
        <v>163657987</v>
      </c>
      <c r="CE166" s="51">
        <f t="shared" ref="CE166:CH166" si="15">SUM(CE88:CE164)</f>
        <v>5042023</v>
      </c>
      <c r="CF166" s="51">
        <f t="shared" si="15"/>
        <v>100581811</v>
      </c>
      <c r="CG166" s="51">
        <f t="shared" si="15"/>
        <v>80580630</v>
      </c>
      <c r="CH166" s="51">
        <f t="shared" si="15"/>
        <v>822735608</v>
      </c>
      <c r="CI166" s="81"/>
      <c r="CJ166" s="81"/>
    </row>
    <row r="167" spans="1:88" ht="18" x14ac:dyDescent="0.25">
      <c r="A167" s="15"/>
      <c r="B167" s="19"/>
      <c r="C167" s="51">
        <f>C166-C165</f>
        <v>0</v>
      </c>
      <c r="D167" s="51">
        <f t="shared" ref="D167:BO167" si="16">D166-D165</f>
        <v>0</v>
      </c>
      <c r="E167" s="51">
        <f t="shared" si="16"/>
        <v>0</v>
      </c>
      <c r="F167" s="51">
        <f t="shared" si="16"/>
        <v>0</v>
      </c>
      <c r="G167" s="51">
        <f t="shared" si="16"/>
        <v>0</v>
      </c>
      <c r="H167" s="51">
        <f t="shared" si="16"/>
        <v>0</v>
      </c>
      <c r="I167" s="51">
        <f t="shared" si="16"/>
        <v>0</v>
      </c>
      <c r="J167" s="51">
        <f t="shared" si="16"/>
        <v>0</v>
      </c>
      <c r="K167" s="51">
        <f t="shared" si="16"/>
        <v>0</v>
      </c>
      <c r="L167" s="51">
        <f t="shared" si="16"/>
        <v>0</v>
      </c>
      <c r="M167" s="51">
        <f t="shared" si="16"/>
        <v>0</v>
      </c>
      <c r="N167" s="51">
        <f t="shared" si="16"/>
        <v>0</v>
      </c>
      <c r="O167" s="51">
        <f t="shared" si="16"/>
        <v>0</v>
      </c>
      <c r="P167" s="51">
        <f t="shared" si="16"/>
        <v>0</v>
      </c>
      <c r="Q167" s="51">
        <f t="shared" si="16"/>
        <v>0</v>
      </c>
      <c r="R167" s="51">
        <f t="shared" si="16"/>
        <v>0</v>
      </c>
      <c r="S167" s="51">
        <f t="shared" si="16"/>
        <v>0</v>
      </c>
      <c r="T167" s="51">
        <f t="shared" si="16"/>
        <v>0</v>
      </c>
      <c r="U167" s="51">
        <f t="shared" si="16"/>
        <v>0</v>
      </c>
      <c r="V167" s="51">
        <f t="shared" si="16"/>
        <v>0</v>
      </c>
      <c r="W167" s="51">
        <f t="shared" si="16"/>
        <v>0</v>
      </c>
      <c r="X167" s="51">
        <f t="shared" si="16"/>
        <v>0</v>
      </c>
      <c r="Y167" s="51">
        <f t="shared" si="16"/>
        <v>0</v>
      </c>
      <c r="Z167" s="51">
        <f t="shared" si="16"/>
        <v>0</v>
      </c>
      <c r="AA167" s="51">
        <f t="shared" si="16"/>
        <v>0</v>
      </c>
      <c r="AB167" s="51">
        <f t="shared" si="16"/>
        <v>0</v>
      </c>
      <c r="AC167" s="51">
        <f t="shared" si="16"/>
        <v>0</v>
      </c>
      <c r="AD167" s="51">
        <f t="shared" si="16"/>
        <v>0</v>
      </c>
      <c r="AE167" s="51">
        <f t="shared" si="16"/>
        <v>0</v>
      </c>
      <c r="AF167" s="51">
        <f t="shared" si="16"/>
        <v>0</v>
      </c>
      <c r="AG167" s="51">
        <f t="shared" si="16"/>
        <v>0</v>
      </c>
      <c r="AH167" s="51">
        <f t="shared" si="16"/>
        <v>0</v>
      </c>
      <c r="AI167" s="51">
        <f t="shared" si="16"/>
        <v>0</v>
      </c>
      <c r="AJ167" s="51">
        <f t="shared" si="16"/>
        <v>0</v>
      </c>
      <c r="AK167" s="51">
        <f t="shared" si="16"/>
        <v>0</v>
      </c>
      <c r="AL167" s="51">
        <f t="shared" si="16"/>
        <v>0</v>
      </c>
      <c r="AM167" s="51">
        <f t="shared" si="16"/>
        <v>0</v>
      </c>
      <c r="AN167" s="51">
        <f t="shared" si="16"/>
        <v>0</v>
      </c>
      <c r="AO167" s="51">
        <f t="shared" si="16"/>
        <v>0</v>
      </c>
      <c r="AP167" s="51">
        <f t="shared" si="16"/>
        <v>0</v>
      </c>
      <c r="AQ167" s="51">
        <f t="shared" si="16"/>
        <v>0</v>
      </c>
      <c r="AR167" s="51">
        <f t="shared" si="16"/>
        <v>0</v>
      </c>
      <c r="AS167" s="51">
        <f t="shared" si="16"/>
        <v>0</v>
      </c>
      <c r="AT167" s="51">
        <f t="shared" si="16"/>
        <v>0</v>
      </c>
      <c r="AU167" s="51">
        <f t="shared" si="16"/>
        <v>0</v>
      </c>
      <c r="AV167" s="51">
        <f t="shared" si="16"/>
        <v>0</v>
      </c>
      <c r="AW167" s="51">
        <f t="shared" si="16"/>
        <v>0</v>
      </c>
      <c r="AX167" s="51">
        <f t="shared" si="16"/>
        <v>0</v>
      </c>
      <c r="AY167" s="51">
        <f t="shared" si="16"/>
        <v>0</v>
      </c>
      <c r="AZ167" s="51">
        <f t="shared" si="16"/>
        <v>0</v>
      </c>
      <c r="BA167" s="51">
        <f t="shared" si="16"/>
        <v>0</v>
      </c>
      <c r="BB167" s="51">
        <f t="shared" si="16"/>
        <v>0</v>
      </c>
      <c r="BC167" s="51">
        <f t="shared" si="16"/>
        <v>0</v>
      </c>
      <c r="BD167" s="51">
        <f t="shared" si="16"/>
        <v>0</v>
      </c>
      <c r="BE167" s="51">
        <f t="shared" si="16"/>
        <v>0</v>
      </c>
      <c r="BF167" s="51">
        <f t="shared" si="16"/>
        <v>0</v>
      </c>
      <c r="BG167" s="51">
        <f t="shared" si="16"/>
        <v>0</v>
      </c>
      <c r="BH167" s="51">
        <f t="shared" si="16"/>
        <v>0</v>
      </c>
      <c r="BI167" s="51">
        <f t="shared" si="16"/>
        <v>0</v>
      </c>
      <c r="BJ167" s="51">
        <f t="shared" si="16"/>
        <v>0</v>
      </c>
      <c r="BK167" s="51">
        <f t="shared" si="16"/>
        <v>0</v>
      </c>
      <c r="BL167" s="51">
        <f t="shared" si="16"/>
        <v>0</v>
      </c>
      <c r="BM167" s="51">
        <f t="shared" si="16"/>
        <v>0</v>
      </c>
      <c r="BN167" s="51">
        <f t="shared" si="16"/>
        <v>0</v>
      </c>
      <c r="BO167" s="51">
        <f t="shared" si="16"/>
        <v>0</v>
      </c>
      <c r="BP167" s="51">
        <f t="shared" ref="BP167:CH167" si="17">BP166-BP165</f>
        <v>0</v>
      </c>
      <c r="BQ167" s="51">
        <f t="shared" si="17"/>
        <v>0</v>
      </c>
      <c r="BR167" s="51">
        <f t="shared" si="17"/>
        <v>0</v>
      </c>
      <c r="BS167" s="51">
        <f t="shared" si="17"/>
        <v>0</v>
      </c>
      <c r="BT167" s="51">
        <f t="shared" si="17"/>
        <v>0</v>
      </c>
      <c r="BU167" s="51">
        <f t="shared" si="17"/>
        <v>0</v>
      </c>
      <c r="BV167" s="51">
        <f t="shared" si="17"/>
        <v>0</v>
      </c>
      <c r="BW167" s="51">
        <f t="shared" si="17"/>
        <v>0</v>
      </c>
      <c r="BX167" s="51">
        <f t="shared" si="17"/>
        <v>0</v>
      </c>
      <c r="BY167" s="51">
        <f t="shared" si="17"/>
        <v>0</v>
      </c>
      <c r="BZ167" s="51">
        <f t="shared" si="17"/>
        <v>0</v>
      </c>
      <c r="CA167" s="51">
        <f t="shared" si="17"/>
        <v>0</v>
      </c>
      <c r="CB167" s="51">
        <f t="shared" si="17"/>
        <v>0</v>
      </c>
      <c r="CC167" s="81"/>
      <c r="CD167" s="51">
        <f t="shared" si="17"/>
        <v>0</v>
      </c>
      <c r="CE167" s="51">
        <f t="shared" si="17"/>
        <v>0</v>
      </c>
      <c r="CF167" s="51">
        <f t="shared" si="17"/>
        <v>0</v>
      </c>
      <c r="CG167" s="51">
        <f t="shared" si="17"/>
        <v>0</v>
      </c>
      <c r="CH167" s="51">
        <f t="shared" si="17"/>
        <v>0</v>
      </c>
      <c r="CI167" s="81"/>
      <c r="CJ167" s="81"/>
    </row>
    <row r="168" spans="1:88" ht="18.600000000000001" thickBot="1" x14ac:dyDescent="0.3">
      <c r="A168" s="15"/>
      <c r="B168" s="19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</row>
    <row r="169" spans="1:88" ht="13.95" customHeight="1" x14ac:dyDescent="0.25">
      <c r="A169" s="7" t="s">
        <v>0</v>
      </c>
      <c r="B169" s="255" t="s">
        <v>103</v>
      </c>
      <c r="C169" s="113">
        <f t="shared" ref="C169:AH169" si="18">C2/C$84</f>
        <v>0.14396785706794249</v>
      </c>
      <c r="D169" s="114">
        <f t="shared" si="18"/>
        <v>2.8063780719522321E-5</v>
      </c>
      <c r="E169" s="114">
        <f t="shared" si="18"/>
        <v>1.4958025204947571E-2</v>
      </c>
      <c r="F169" s="114">
        <f t="shared" si="18"/>
        <v>2.9179622642521062E-5</v>
      </c>
      <c r="G169" s="114">
        <f t="shared" si="18"/>
        <v>1.0124808068855739E-4</v>
      </c>
      <c r="H169" s="114">
        <f t="shared" si="18"/>
        <v>0.20786773758622529</v>
      </c>
      <c r="I169" s="114">
        <f t="shared" si="18"/>
        <v>3.2984381331287206E-2</v>
      </c>
      <c r="J169" s="114">
        <f t="shared" si="18"/>
        <v>7.7262069498717908E-3</v>
      </c>
      <c r="K169" s="114">
        <f t="shared" si="18"/>
        <v>7.6413196332572131E-4</v>
      </c>
      <c r="L169" s="114">
        <f t="shared" si="18"/>
        <v>1.6565276221891726E-4</v>
      </c>
      <c r="M169" s="114">
        <f t="shared" si="18"/>
        <v>1.1526701007901007E-2</v>
      </c>
      <c r="N169" s="114">
        <f t="shared" si="18"/>
        <v>9.5624755205966211E-4</v>
      </c>
      <c r="O169" s="114">
        <f t="shared" si="18"/>
        <v>6.0004765919076883E-5</v>
      </c>
      <c r="P169" s="114">
        <f t="shared" si="18"/>
        <v>0</v>
      </c>
      <c r="Q169" s="114">
        <f t="shared" si="18"/>
        <v>7.0222498745969809E-6</v>
      </c>
      <c r="R169" s="114">
        <f t="shared" si="18"/>
        <v>2.3091951581318926E-3</v>
      </c>
      <c r="S169" s="114">
        <f t="shared" si="18"/>
        <v>2.9687458279001409E-3</v>
      </c>
      <c r="T169" s="114">
        <f t="shared" si="18"/>
        <v>3.525236020331701E-5</v>
      </c>
      <c r="U169" s="114">
        <f t="shared" si="18"/>
        <v>3.4542417099846214E-5</v>
      </c>
      <c r="V169" s="114">
        <f t="shared" si="18"/>
        <v>1.610654544236305E-7</v>
      </c>
      <c r="W169" s="114">
        <f t="shared" si="18"/>
        <v>2.47748101374683E-5</v>
      </c>
      <c r="X169" s="114">
        <f t="shared" si="18"/>
        <v>0</v>
      </c>
      <c r="Y169" s="114">
        <f t="shared" si="18"/>
        <v>0</v>
      </c>
      <c r="Z169" s="114">
        <f t="shared" si="18"/>
        <v>8.7621079792127787E-4</v>
      </c>
      <c r="AA169" s="114">
        <f t="shared" si="18"/>
        <v>6.6037489577911351E-5</v>
      </c>
      <c r="AB169" s="114">
        <f t="shared" si="18"/>
        <v>2.7030538257418913E-6</v>
      </c>
      <c r="AC169" s="114">
        <f t="shared" si="18"/>
        <v>1.3514408462919359E-4</v>
      </c>
      <c r="AD169" s="114">
        <f t="shared" si="18"/>
        <v>7.7943342150849207E-5</v>
      </c>
      <c r="AE169" s="114">
        <f t="shared" si="18"/>
        <v>1.3065659490142689E-6</v>
      </c>
      <c r="AF169" s="114">
        <f t="shared" si="18"/>
        <v>2.2253287013850273E-3</v>
      </c>
      <c r="AG169" s="114">
        <f t="shared" si="18"/>
        <v>8.078538078372836E-6</v>
      </c>
      <c r="AH169" s="114">
        <f t="shared" si="18"/>
        <v>1.4685316513269849E-4</v>
      </c>
      <c r="AI169" s="114">
        <f t="shared" ref="AI169:BN169" si="19">AI2/AI$84</f>
        <v>1.8198737481894391E-4</v>
      </c>
      <c r="AJ169" s="114">
        <f t="shared" si="19"/>
        <v>9.6629117408768959E-5</v>
      </c>
      <c r="AK169" s="114">
        <f t="shared" si="19"/>
        <v>1.9387055717043327E-5</v>
      </c>
      <c r="AL169" s="114">
        <f t="shared" si="19"/>
        <v>7.0014533446480041E-3</v>
      </c>
      <c r="AM169" s="114">
        <f t="shared" si="19"/>
        <v>1.8911786996054613E-3</v>
      </c>
      <c r="AN169" s="114">
        <f t="shared" si="19"/>
        <v>2.0779258270885314E-4</v>
      </c>
      <c r="AO169" s="114">
        <f t="shared" si="19"/>
        <v>5.3536260528400987E-5</v>
      </c>
      <c r="AP169" s="114">
        <f t="shared" si="19"/>
        <v>1.9915349551406752E-5</v>
      </c>
      <c r="AQ169" s="114">
        <f t="shared" si="19"/>
        <v>3.6595037862493232E-3</v>
      </c>
      <c r="AR169" s="114">
        <f t="shared" si="19"/>
        <v>5.7805717436764312E-3</v>
      </c>
      <c r="AS169" s="114">
        <f t="shared" si="19"/>
        <v>0</v>
      </c>
      <c r="AT169" s="114">
        <f t="shared" si="19"/>
        <v>6.0218055601137281E-7</v>
      </c>
      <c r="AU169" s="114">
        <f t="shared" si="19"/>
        <v>5.5449751269050732E-7</v>
      </c>
      <c r="AV169" s="114">
        <f t="shared" si="19"/>
        <v>0</v>
      </c>
      <c r="AW169" s="114">
        <f t="shared" si="19"/>
        <v>4.5673621054004674E-8</v>
      </c>
      <c r="AX169" s="114">
        <f t="shared" si="19"/>
        <v>8.8065076262441587E-6</v>
      </c>
      <c r="AY169" s="114">
        <f t="shared" si="19"/>
        <v>1.6084541695347965E-5</v>
      </c>
      <c r="AZ169" s="114">
        <f t="shared" si="19"/>
        <v>0</v>
      </c>
      <c r="BA169" s="114">
        <f t="shared" si="19"/>
        <v>8.443446219394805E-6</v>
      </c>
      <c r="BB169" s="114">
        <f t="shared" si="19"/>
        <v>9.2659187262919955E-5</v>
      </c>
      <c r="BC169" s="114">
        <f t="shared" si="19"/>
        <v>1.5437935407858113E-5</v>
      </c>
      <c r="BD169" s="114">
        <f t="shared" si="19"/>
        <v>1.6431426857470973E-5</v>
      </c>
      <c r="BE169" s="114">
        <f t="shared" si="19"/>
        <v>2.1572861076363179E-5</v>
      </c>
      <c r="BF169" s="114">
        <f t="shared" si="19"/>
        <v>1.7969024489483114E-3</v>
      </c>
      <c r="BG169" s="114">
        <f t="shared" si="19"/>
        <v>4.0418726949226613E-7</v>
      </c>
      <c r="BH169" s="114">
        <f t="shared" si="19"/>
        <v>2.0028768150155187E-5</v>
      </c>
      <c r="BI169" s="114">
        <f t="shared" si="19"/>
        <v>0</v>
      </c>
      <c r="BJ169" s="114">
        <f t="shared" si="19"/>
        <v>1.0075541339244641E-3</v>
      </c>
      <c r="BK169" s="114">
        <f t="shared" si="19"/>
        <v>8.1057290646063308E-4</v>
      </c>
      <c r="BL169" s="114">
        <f t="shared" si="19"/>
        <v>2.3768484078744444E-4</v>
      </c>
      <c r="BM169" s="114">
        <f t="shared" si="19"/>
        <v>6.7954354324349078E-4</v>
      </c>
      <c r="BN169" s="114">
        <f t="shared" si="19"/>
        <v>3.1806269929742599E-3</v>
      </c>
      <c r="BO169" s="114">
        <f t="shared" ref="BO169:CA169" si="20">BO2/BO$84</f>
        <v>3.3091035704334505E-2</v>
      </c>
      <c r="BP169" s="114">
        <f t="shared" si="20"/>
        <v>8.0881914807186337E-4</v>
      </c>
      <c r="BQ169" s="114">
        <f t="shared" si="20"/>
        <v>2.5510021216402292E-4</v>
      </c>
      <c r="BR169" s="114">
        <f t="shared" si="20"/>
        <v>7.8892443699203185E-4</v>
      </c>
      <c r="BS169" s="114">
        <f t="shared" si="20"/>
        <v>1.5401250310429534E-3</v>
      </c>
      <c r="BT169" s="114">
        <f t="shared" si="20"/>
        <v>9.5461450555099156E-5</v>
      </c>
      <c r="BU169" s="114">
        <f t="shared" si="20"/>
        <v>3.420363121961153E-4</v>
      </c>
      <c r="BV169" s="114">
        <f t="shared" si="20"/>
        <v>1.6627064023265796E-5</v>
      </c>
      <c r="BW169" s="114">
        <f t="shared" si="20"/>
        <v>3.5964508636610092E-4</v>
      </c>
      <c r="BX169" s="114">
        <f t="shared" si="20"/>
        <v>1.2000881108647332E-3</v>
      </c>
      <c r="BY169" s="114">
        <f t="shared" si="20"/>
        <v>0</v>
      </c>
      <c r="BZ169" s="114">
        <f t="shared" si="20"/>
        <v>2.0815960990070153E-4</v>
      </c>
      <c r="CA169" s="115">
        <f t="shared" si="20"/>
        <v>0</v>
      </c>
      <c r="CB169" s="18"/>
      <c r="CC169" s="270" t="s">
        <v>104</v>
      </c>
      <c r="CD169" s="146">
        <f t="shared" ref="CD169:CG188" si="21">CD2/(CD$79+CD$80)</f>
        <v>3.0218762546121082E-2</v>
      </c>
      <c r="CE169" s="116">
        <f t="shared" si="21"/>
        <v>7.4953775372875791E-3</v>
      </c>
      <c r="CF169" s="116">
        <f t="shared" si="21"/>
        <v>-8.9868725126788975E-4</v>
      </c>
      <c r="CG169" s="117">
        <f t="shared" si="21"/>
        <v>1.5067458277048019E-2</v>
      </c>
      <c r="CH169" s="18"/>
      <c r="CI169" s="18"/>
      <c r="CJ169" s="18"/>
    </row>
    <row r="170" spans="1:88" ht="13.95" customHeight="1" x14ac:dyDescent="0.25">
      <c r="A170" s="8" t="s">
        <v>1</v>
      </c>
      <c r="B170" s="256"/>
      <c r="C170" s="22">
        <f t="shared" ref="C170:AH170" si="22">C3/C$84</f>
        <v>4.9050837188526506E-4</v>
      </c>
      <c r="D170" s="159">
        <f t="shared" si="22"/>
        <v>0.27068897971822747</v>
      </c>
      <c r="E170" s="159">
        <f t="shared" si="22"/>
        <v>9.1229721913561662E-5</v>
      </c>
      <c r="F170" s="159">
        <f t="shared" si="22"/>
        <v>1.2706539916434922E-3</v>
      </c>
      <c r="G170" s="159">
        <f t="shared" si="22"/>
        <v>7.9792969008199541E-4</v>
      </c>
      <c r="H170" s="159">
        <f t="shared" si="22"/>
        <v>5.5183302255913842E-4</v>
      </c>
      <c r="I170" s="159">
        <f t="shared" si="22"/>
        <v>2.2506201683699839E-5</v>
      </c>
      <c r="J170" s="159">
        <f t="shared" si="22"/>
        <v>0</v>
      </c>
      <c r="K170" s="159">
        <f t="shared" si="22"/>
        <v>6.7119242775978878E-4</v>
      </c>
      <c r="L170" s="159">
        <f t="shared" si="22"/>
        <v>3.6937294555816023E-4</v>
      </c>
      <c r="M170" s="159">
        <f t="shared" si="22"/>
        <v>1.2994276224991906E-3</v>
      </c>
      <c r="N170" s="159">
        <f t="shared" si="22"/>
        <v>7.8701995111291057E-2</v>
      </c>
      <c r="O170" s="159">
        <f t="shared" si="22"/>
        <v>1.9680498947737369E-2</v>
      </c>
      <c r="P170" s="159">
        <f t="shared" si="22"/>
        <v>2.8008644330133431E-4</v>
      </c>
      <c r="Q170" s="159">
        <f t="shared" si="22"/>
        <v>1.4165083837949669E-4</v>
      </c>
      <c r="R170" s="159">
        <f t="shared" si="22"/>
        <v>5.8324741046120903E-4</v>
      </c>
      <c r="S170" s="159">
        <f t="shared" si="22"/>
        <v>3.2344526741766527E-6</v>
      </c>
      <c r="T170" s="159">
        <f t="shared" si="22"/>
        <v>4.4392775043064318E-4</v>
      </c>
      <c r="U170" s="159">
        <f t="shared" si="22"/>
        <v>3.3202650517534261E-4</v>
      </c>
      <c r="V170" s="159">
        <f t="shared" si="22"/>
        <v>1.3774317662308881E-4</v>
      </c>
      <c r="W170" s="159">
        <f t="shared" si="22"/>
        <v>2.239746064802707E-4</v>
      </c>
      <c r="X170" s="159">
        <f t="shared" si="22"/>
        <v>0</v>
      </c>
      <c r="Y170" s="159">
        <f t="shared" si="22"/>
        <v>2.0203184785479923E-4</v>
      </c>
      <c r="Z170" s="159">
        <f t="shared" si="22"/>
        <v>2.084833291304873E-4</v>
      </c>
      <c r="AA170" s="159">
        <f t="shared" si="22"/>
        <v>9.0807803299355745E-5</v>
      </c>
      <c r="AB170" s="159">
        <f t="shared" si="22"/>
        <v>4.0816112768702554E-4</v>
      </c>
      <c r="AC170" s="159">
        <f t="shared" si="22"/>
        <v>8.1831496157881954E-3</v>
      </c>
      <c r="AD170" s="159">
        <f t="shared" si="22"/>
        <v>9.3463169552622809E-4</v>
      </c>
      <c r="AE170" s="159">
        <f t="shared" si="22"/>
        <v>4.1810110368456608E-6</v>
      </c>
      <c r="AF170" s="159">
        <f t="shared" si="22"/>
        <v>3.6039456727613322E-3</v>
      </c>
      <c r="AG170" s="159">
        <f t="shared" si="22"/>
        <v>4.2840732233795343E-5</v>
      </c>
      <c r="AH170" s="159">
        <f t="shared" si="22"/>
        <v>3.419080455563717E-5</v>
      </c>
      <c r="AI170" s="159">
        <f t="shared" ref="AI170:BN170" si="23">AI3/AI$84</f>
        <v>1.6372503715613427E-4</v>
      </c>
      <c r="AJ170" s="159">
        <f t="shared" si="23"/>
        <v>4.9711794393048233E-4</v>
      </c>
      <c r="AK170" s="159">
        <f t="shared" si="23"/>
        <v>1.2593953516976965E-6</v>
      </c>
      <c r="AL170" s="159">
        <f t="shared" si="23"/>
        <v>1.3992715011899928E-3</v>
      </c>
      <c r="AM170" s="159">
        <f t="shared" si="23"/>
        <v>4.5513761816469775E-4</v>
      </c>
      <c r="AN170" s="159">
        <f t="shared" si="23"/>
        <v>2.1975952790229071E-4</v>
      </c>
      <c r="AO170" s="159">
        <f t="shared" si="23"/>
        <v>5.001163127653117E-5</v>
      </c>
      <c r="AP170" s="159">
        <f t="shared" si="23"/>
        <v>1.8000412094540719E-5</v>
      </c>
      <c r="AQ170" s="159">
        <f t="shared" si="23"/>
        <v>1.8729952682992765E-4</v>
      </c>
      <c r="AR170" s="159">
        <f t="shared" si="23"/>
        <v>4.8721317204680808E-6</v>
      </c>
      <c r="AS170" s="159">
        <f t="shared" si="23"/>
        <v>5.2750632214780156E-5</v>
      </c>
      <c r="AT170" s="159">
        <f t="shared" si="23"/>
        <v>0</v>
      </c>
      <c r="AU170" s="159">
        <f t="shared" si="23"/>
        <v>0</v>
      </c>
      <c r="AV170" s="159">
        <f t="shared" si="23"/>
        <v>0</v>
      </c>
      <c r="AW170" s="159">
        <f t="shared" si="23"/>
        <v>0</v>
      </c>
      <c r="AX170" s="159">
        <f t="shared" si="23"/>
        <v>0</v>
      </c>
      <c r="AY170" s="159">
        <f t="shared" si="23"/>
        <v>0</v>
      </c>
      <c r="AZ170" s="159">
        <f t="shared" si="23"/>
        <v>0</v>
      </c>
      <c r="BA170" s="159">
        <f t="shared" si="23"/>
        <v>5.9014722340499455E-4</v>
      </c>
      <c r="BB170" s="159">
        <f t="shared" si="23"/>
        <v>7.0339681025621454E-5</v>
      </c>
      <c r="BC170" s="159">
        <f t="shared" si="23"/>
        <v>0</v>
      </c>
      <c r="BD170" s="159">
        <f t="shared" si="23"/>
        <v>0</v>
      </c>
      <c r="BE170" s="159">
        <f t="shared" si="23"/>
        <v>1.1417391656013939E-6</v>
      </c>
      <c r="BF170" s="159">
        <f t="shared" si="23"/>
        <v>2.0519896617484322E-4</v>
      </c>
      <c r="BG170" s="159">
        <f t="shared" si="23"/>
        <v>2.1273014183803481E-6</v>
      </c>
      <c r="BH170" s="159">
        <f t="shared" si="23"/>
        <v>0</v>
      </c>
      <c r="BI170" s="159">
        <f t="shared" si="23"/>
        <v>0</v>
      </c>
      <c r="BJ170" s="159">
        <f t="shared" si="23"/>
        <v>6.6818305323673662E-5</v>
      </c>
      <c r="BK170" s="159">
        <f t="shared" si="23"/>
        <v>3.3670190761459531E-4</v>
      </c>
      <c r="BL170" s="159">
        <f t="shared" si="23"/>
        <v>1.8143880976140797E-6</v>
      </c>
      <c r="BM170" s="159">
        <f t="shared" si="23"/>
        <v>1.4363150400919242E-5</v>
      </c>
      <c r="BN170" s="159">
        <f t="shared" si="23"/>
        <v>2.6656889892175124E-3</v>
      </c>
      <c r="BO170" s="159">
        <f t="shared" ref="BO170:CA170" si="24">BO3/BO$84</f>
        <v>3.7938042118814362E-6</v>
      </c>
      <c r="BP170" s="159">
        <f t="shared" si="24"/>
        <v>6.2606414844821936E-5</v>
      </c>
      <c r="BQ170" s="159">
        <f t="shared" si="24"/>
        <v>1.0127517950144217E-5</v>
      </c>
      <c r="BR170" s="159">
        <f t="shared" si="24"/>
        <v>1.1024086284624043E-5</v>
      </c>
      <c r="BS170" s="159">
        <f t="shared" si="24"/>
        <v>0</v>
      </c>
      <c r="BT170" s="159">
        <f t="shared" si="24"/>
        <v>6.1590993579299549E-5</v>
      </c>
      <c r="BU170" s="159">
        <f t="shared" si="24"/>
        <v>7.7600724009812297E-5</v>
      </c>
      <c r="BV170" s="159">
        <f t="shared" si="24"/>
        <v>0</v>
      </c>
      <c r="BW170" s="159">
        <f t="shared" si="24"/>
        <v>4.6266129614903981E-5</v>
      </c>
      <c r="BX170" s="159">
        <f t="shared" si="24"/>
        <v>6.3012868183797289E-4</v>
      </c>
      <c r="BY170" s="159">
        <f t="shared" si="24"/>
        <v>0</v>
      </c>
      <c r="BZ170" s="159">
        <f t="shared" si="24"/>
        <v>9.4246773526046536E-4</v>
      </c>
      <c r="CA170" s="118">
        <f t="shared" si="24"/>
        <v>0</v>
      </c>
      <c r="CB170" s="18"/>
      <c r="CC170" s="271"/>
      <c r="CD170" s="147">
        <f t="shared" si="21"/>
        <v>2.0261277418318316E-3</v>
      </c>
      <c r="CE170" s="148">
        <f t="shared" si="21"/>
        <v>2.2788568327499563E-4</v>
      </c>
      <c r="CF170" s="148">
        <f t="shared" si="21"/>
        <v>-2.0785156564492678E-4</v>
      </c>
      <c r="CG170" s="119">
        <f t="shared" si="21"/>
        <v>1.0417020123189035E-3</v>
      </c>
      <c r="CH170" s="18"/>
      <c r="CI170" s="18"/>
      <c r="CJ170" s="18"/>
    </row>
    <row r="171" spans="1:88" ht="13.95" customHeight="1" x14ac:dyDescent="0.25">
      <c r="A171" s="8" t="s">
        <v>2</v>
      </c>
      <c r="B171" s="256"/>
      <c r="C171" s="22">
        <f t="shared" ref="C171:AH171" si="25">C4/C$84</f>
        <v>2.3425582629718579E-6</v>
      </c>
      <c r="D171" s="159">
        <f t="shared" si="25"/>
        <v>3.0235899970259345E-5</v>
      </c>
      <c r="E171" s="159">
        <f t="shared" si="25"/>
        <v>2.4289001162266656E-2</v>
      </c>
      <c r="F171" s="159">
        <f t="shared" si="25"/>
        <v>0</v>
      </c>
      <c r="G171" s="159">
        <f t="shared" si="25"/>
        <v>0</v>
      </c>
      <c r="H171" s="159">
        <f t="shared" si="25"/>
        <v>1.7630273822731397E-3</v>
      </c>
      <c r="I171" s="159">
        <f t="shared" si="25"/>
        <v>1.1343851655090644E-6</v>
      </c>
      <c r="J171" s="159">
        <f t="shared" si="25"/>
        <v>0</v>
      </c>
      <c r="K171" s="159">
        <f t="shared" si="25"/>
        <v>0</v>
      </c>
      <c r="L171" s="159">
        <f t="shared" si="25"/>
        <v>0</v>
      </c>
      <c r="M171" s="159">
        <f t="shared" si="25"/>
        <v>1.5444095944129438E-5</v>
      </c>
      <c r="N171" s="159">
        <f t="shared" si="25"/>
        <v>3.0100308886752379E-6</v>
      </c>
      <c r="O171" s="159">
        <f t="shared" si="25"/>
        <v>0</v>
      </c>
      <c r="P171" s="159">
        <f t="shared" si="25"/>
        <v>0</v>
      </c>
      <c r="Q171" s="159">
        <f t="shared" si="25"/>
        <v>0</v>
      </c>
      <c r="R171" s="159">
        <f t="shared" si="25"/>
        <v>4.8927407134740246E-6</v>
      </c>
      <c r="S171" s="159">
        <f t="shared" si="25"/>
        <v>0</v>
      </c>
      <c r="T171" s="159">
        <f t="shared" si="25"/>
        <v>0</v>
      </c>
      <c r="U171" s="159">
        <f t="shared" si="25"/>
        <v>1.9966715086616308E-6</v>
      </c>
      <c r="V171" s="159">
        <f t="shared" si="25"/>
        <v>0</v>
      </c>
      <c r="W171" s="159">
        <f t="shared" si="25"/>
        <v>0</v>
      </c>
      <c r="X171" s="159">
        <f t="shared" si="25"/>
        <v>0</v>
      </c>
      <c r="Y171" s="159">
        <f t="shared" si="25"/>
        <v>0</v>
      </c>
      <c r="Z171" s="159">
        <f t="shared" si="25"/>
        <v>4.2088085016753269E-7</v>
      </c>
      <c r="AA171" s="159">
        <f t="shared" si="25"/>
        <v>0</v>
      </c>
      <c r="AB171" s="159">
        <f t="shared" si="25"/>
        <v>0</v>
      </c>
      <c r="AC171" s="159">
        <f t="shared" si="25"/>
        <v>2.2392074273288978E-6</v>
      </c>
      <c r="AD171" s="159">
        <f t="shared" si="25"/>
        <v>0</v>
      </c>
      <c r="AE171" s="159">
        <f t="shared" si="25"/>
        <v>0</v>
      </c>
      <c r="AF171" s="159">
        <f t="shared" si="25"/>
        <v>7.4464251649739977E-7</v>
      </c>
      <c r="AG171" s="159">
        <f t="shared" si="25"/>
        <v>2.1909974485283903E-5</v>
      </c>
      <c r="AH171" s="159">
        <f t="shared" si="25"/>
        <v>0</v>
      </c>
      <c r="AI171" s="159">
        <f t="shared" ref="AI171:BN171" si="26">AI4/AI$84</f>
        <v>1.9988628287652353E-6</v>
      </c>
      <c r="AJ171" s="159">
        <f t="shared" si="26"/>
        <v>3.0374688883994677E-7</v>
      </c>
      <c r="AK171" s="159">
        <f t="shared" si="26"/>
        <v>0</v>
      </c>
      <c r="AL171" s="159">
        <f t="shared" si="26"/>
        <v>1.0457920653898022E-4</v>
      </c>
      <c r="AM171" s="159">
        <f t="shared" si="26"/>
        <v>2.9633124669795794E-6</v>
      </c>
      <c r="AN171" s="159">
        <f t="shared" si="26"/>
        <v>0</v>
      </c>
      <c r="AO171" s="159">
        <f t="shared" si="26"/>
        <v>2.857807501516067E-7</v>
      </c>
      <c r="AP171" s="159">
        <f t="shared" si="26"/>
        <v>2.0890226802174915E-7</v>
      </c>
      <c r="AQ171" s="159">
        <f t="shared" si="26"/>
        <v>3.4243181905910637E-4</v>
      </c>
      <c r="AR171" s="159">
        <f t="shared" si="26"/>
        <v>4.3515657004019606E-4</v>
      </c>
      <c r="AS171" s="159">
        <f t="shared" si="26"/>
        <v>0</v>
      </c>
      <c r="AT171" s="159">
        <f t="shared" si="26"/>
        <v>0</v>
      </c>
      <c r="AU171" s="159">
        <f t="shared" si="26"/>
        <v>0</v>
      </c>
      <c r="AV171" s="159">
        <f t="shared" si="26"/>
        <v>0</v>
      </c>
      <c r="AW171" s="159">
        <f t="shared" si="26"/>
        <v>0</v>
      </c>
      <c r="AX171" s="159">
        <f t="shared" si="26"/>
        <v>0</v>
      </c>
      <c r="AY171" s="159">
        <f t="shared" si="26"/>
        <v>0</v>
      </c>
      <c r="AZ171" s="159">
        <f t="shared" si="26"/>
        <v>0</v>
      </c>
      <c r="BA171" s="159">
        <f t="shared" si="26"/>
        <v>0</v>
      </c>
      <c r="BB171" s="159">
        <f t="shared" si="26"/>
        <v>1.789651130138483E-7</v>
      </c>
      <c r="BC171" s="159">
        <f t="shared" si="26"/>
        <v>0</v>
      </c>
      <c r="BD171" s="159">
        <f t="shared" si="26"/>
        <v>5.8683667348110622E-7</v>
      </c>
      <c r="BE171" s="159">
        <f t="shared" si="26"/>
        <v>0</v>
      </c>
      <c r="BF171" s="159">
        <f t="shared" si="26"/>
        <v>3.5958411528609194E-5</v>
      </c>
      <c r="BG171" s="159">
        <f t="shared" si="26"/>
        <v>0</v>
      </c>
      <c r="BH171" s="159">
        <f t="shared" si="26"/>
        <v>0</v>
      </c>
      <c r="BI171" s="159">
        <f t="shared" si="26"/>
        <v>0</v>
      </c>
      <c r="BJ171" s="159">
        <f t="shared" si="26"/>
        <v>0</v>
      </c>
      <c r="BK171" s="159">
        <f t="shared" si="26"/>
        <v>0</v>
      </c>
      <c r="BL171" s="159">
        <f t="shared" si="26"/>
        <v>8.4671444555323719E-6</v>
      </c>
      <c r="BM171" s="159">
        <f t="shared" si="26"/>
        <v>8.3264640005328933E-7</v>
      </c>
      <c r="BN171" s="159">
        <f t="shared" si="26"/>
        <v>1.8587023748175566E-6</v>
      </c>
      <c r="BO171" s="159">
        <f t="shared" ref="BO171:CA171" si="27">BO4/BO$84</f>
        <v>0</v>
      </c>
      <c r="BP171" s="159">
        <f t="shared" si="27"/>
        <v>3.0035060426620332E-7</v>
      </c>
      <c r="BQ171" s="159">
        <f t="shared" si="27"/>
        <v>1.5810893002334852E-6</v>
      </c>
      <c r="BR171" s="159">
        <f t="shared" si="27"/>
        <v>5.3352131606613147E-6</v>
      </c>
      <c r="BS171" s="159">
        <f t="shared" si="27"/>
        <v>1.0740368683978241E-5</v>
      </c>
      <c r="BT171" s="159">
        <f t="shared" si="27"/>
        <v>4.8648623840579376E-6</v>
      </c>
      <c r="BU171" s="159">
        <f t="shared" si="27"/>
        <v>3.5093321049023389E-5</v>
      </c>
      <c r="BV171" s="159">
        <f t="shared" si="27"/>
        <v>0</v>
      </c>
      <c r="BW171" s="159">
        <f t="shared" si="27"/>
        <v>6.8373590563897517E-6</v>
      </c>
      <c r="BX171" s="159">
        <f t="shared" si="27"/>
        <v>9.6847769935855868E-6</v>
      </c>
      <c r="BY171" s="159">
        <f t="shared" si="27"/>
        <v>0</v>
      </c>
      <c r="BZ171" s="159">
        <f t="shared" si="27"/>
        <v>1.5425462873266753E-5</v>
      </c>
      <c r="CA171" s="118">
        <f t="shared" si="27"/>
        <v>0</v>
      </c>
      <c r="CB171" s="18"/>
      <c r="CC171" s="271"/>
      <c r="CD171" s="147">
        <f t="shared" si="21"/>
        <v>2.4344976932138988E-5</v>
      </c>
      <c r="CE171" s="148">
        <f t="shared" si="21"/>
        <v>5.1108787448987153E-5</v>
      </c>
      <c r="CF171" s="148">
        <f t="shared" si="21"/>
        <v>8.1770313609219192E-6</v>
      </c>
      <c r="CG171" s="119">
        <f t="shared" si="21"/>
        <v>1.2518343898513937E-4</v>
      </c>
      <c r="CH171" s="18"/>
      <c r="CI171" s="18"/>
      <c r="CJ171" s="18"/>
    </row>
    <row r="172" spans="1:88" ht="13.95" customHeight="1" x14ac:dyDescent="0.25">
      <c r="A172" s="8" t="s">
        <v>3</v>
      </c>
      <c r="B172" s="256"/>
      <c r="C172" s="22">
        <f t="shared" ref="C172:AH172" si="28">C5/C$84</f>
        <v>3.4324699454148931E-3</v>
      </c>
      <c r="D172" s="159">
        <f t="shared" si="28"/>
        <v>1.2728618809318948E-3</v>
      </c>
      <c r="E172" s="159">
        <f t="shared" si="28"/>
        <v>3.3572537664190694E-4</v>
      </c>
      <c r="F172" s="159">
        <f t="shared" si="28"/>
        <v>3.9289382360186044E-4</v>
      </c>
      <c r="G172" s="159">
        <f t="shared" si="28"/>
        <v>2.7462272052983287E-4</v>
      </c>
      <c r="H172" s="159">
        <f t="shared" si="28"/>
        <v>1.2231596995563971E-3</v>
      </c>
      <c r="I172" s="159">
        <f t="shared" si="28"/>
        <v>5.9791173303651768E-4</v>
      </c>
      <c r="J172" s="159">
        <f t="shared" si="28"/>
        <v>1.0441637718244446E-4</v>
      </c>
      <c r="K172" s="159">
        <f t="shared" si="28"/>
        <v>3.2858350346901043E-4</v>
      </c>
      <c r="L172" s="159">
        <f t="shared" si="28"/>
        <v>2.2119253483001745E-4</v>
      </c>
      <c r="M172" s="159">
        <f t="shared" si="28"/>
        <v>3.9826462415923792E-4</v>
      </c>
      <c r="N172" s="159">
        <f t="shared" si="28"/>
        <v>4.2739821201024313E-4</v>
      </c>
      <c r="O172" s="159">
        <f t="shared" si="28"/>
        <v>3.6152618067739097E-3</v>
      </c>
      <c r="P172" s="159">
        <f t="shared" si="28"/>
        <v>8.654775552198929E-6</v>
      </c>
      <c r="Q172" s="159">
        <f t="shared" si="28"/>
        <v>3.2253814327421942E-2</v>
      </c>
      <c r="R172" s="159">
        <f t="shared" si="28"/>
        <v>6.1779253934670696E-3</v>
      </c>
      <c r="S172" s="159">
        <f t="shared" si="28"/>
        <v>2.9385346635604912E-5</v>
      </c>
      <c r="T172" s="159">
        <f t="shared" si="28"/>
        <v>7.7782501328490519E-4</v>
      </c>
      <c r="U172" s="159">
        <f t="shared" si="28"/>
        <v>8.1471585237976596E-3</v>
      </c>
      <c r="V172" s="159">
        <f t="shared" si="28"/>
        <v>4.180640705492461E-2</v>
      </c>
      <c r="W172" s="159">
        <f t="shared" si="28"/>
        <v>1.076259043721852E-4</v>
      </c>
      <c r="X172" s="159">
        <f t="shared" si="28"/>
        <v>2.7963576071959563E-4</v>
      </c>
      <c r="Y172" s="159">
        <f t="shared" si="28"/>
        <v>3.1423337430344578E-5</v>
      </c>
      <c r="Z172" s="159">
        <f t="shared" si="28"/>
        <v>1.2188709420851746E-4</v>
      </c>
      <c r="AA172" s="159">
        <f t="shared" si="28"/>
        <v>8.3068122783025641E-6</v>
      </c>
      <c r="AB172" s="159">
        <f t="shared" si="28"/>
        <v>2.4390837255717845E-4</v>
      </c>
      <c r="AC172" s="159">
        <f t="shared" si="28"/>
        <v>8.1742380225925619E-5</v>
      </c>
      <c r="AD172" s="159">
        <f t="shared" si="28"/>
        <v>1.3347510505714609E-4</v>
      </c>
      <c r="AE172" s="159">
        <f t="shared" si="28"/>
        <v>3.0987389090788411E-5</v>
      </c>
      <c r="AF172" s="159">
        <f t="shared" si="28"/>
        <v>7.889983890634282E-2</v>
      </c>
      <c r="AG172" s="159">
        <f t="shared" si="28"/>
        <v>4.2534727003553947E-4</v>
      </c>
      <c r="AH172" s="159">
        <f t="shared" si="28"/>
        <v>1.72078032408073E-3</v>
      </c>
      <c r="AI172" s="159">
        <f t="shared" ref="AI172:BN172" si="29">AI5/AI$84</f>
        <v>1.5214071848942666E-3</v>
      </c>
      <c r="AJ172" s="159">
        <f t="shared" si="29"/>
        <v>2.0281613691970157E-5</v>
      </c>
      <c r="AK172" s="159">
        <f t="shared" si="29"/>
        <v>1.2393595165570512E-4</v>
      </c>
      <c r="AL172" s="159">
        <f t="shared" si="29"/>
        <v>6.0405728386873327E-6</v>
      </c>
      <c r="AM172" s="159">
        <f t="shared" si="29"/>
        <v>1.4764299328425593E-5</v>
      </c>
      <c r="AN172" s="159">
        <f t="shared" si="29"/>
        <v>2.1504798155282328E-5</v>
      </c>
      <c r="AO172" s="159">
        <f t="shared" si="29"/>
        <v>7.6208200040428449E-7</v>
      </c>
      <c r="AP172" s="159">
        <f t="shared" si="29"/>
        <v>3.8484440042228899E-5</v>
      </c>
      <c r="AQ172" s="159">
        <f t="shared" si="29"/>
        <v>1.4664279526238315E-4</v>
      </c>
      <c r="AR172" s="159">
        <f t="shared" si="29"/>
        <v>7.5338197878915825E-5</v>
      </c>
      <c r="AS172" s="159">
        <f t="shared" si="29"/>
        <v>0</v>
      </c>
      <c r="AT172" s="159">
        <f t="shared" si="29"/>
        <v>0</v>
      </c>
      <c r="AU172" s="159">
        <f t="shared" si="29"/>
        <v>0</v>
      </c>
      <c r="AV172" s="159">
        <f t="shared" si="29"/>
        <v>0</v>
      </c>
      <c r="AW172" s="159">
        <f t="shared" si="29"/>
        <v>3.0464305243021118E-5</v>
      </c>
      <c r="AX172" s="159">
        <f t="shared" si="29"/>
        <v>5.8706860077995025E-4</v>
      </c>
      <c r="AY172" s="159">
        <f t="shared" si="29"/>
        <v>2.8808590348932824E-5</v>
      </c>
      <c r="AZ172" s="159">
        <f t="shared" si="29"/>
        <v>1.604648420186225E-4</v>
      </c>
      <c r="BA172" s="159">
        <f t="shared" si="29"/>
        <v>1.9737797221102915E-4</v>
      </c>
      <c r="BB172" s="159">
        <f t="shared" si="29"/>
        <v>7.9716174625311289E-5</v>
      </c>
      <c r="BC172" s="159">
        <f t="shared" si="29"/>
        <v>1.780908238021069E-4</v>
      </c>
      <c r="BD172" s="159">
        <f t="shared" si="29"/>
        <v>6.838373236271008E-5</v>
      </c>
      <c r="BE172" s="159">
        <f t="shared" si="29"/>
        <v>2.2985012149607012E-5</v>
      </c>
      <c r="BF172" s="159">
        <f t="shared" si="29"/>
        <v>4.0498334528553295E-4</v>
      </c>
      <c r="BG172" s="159">
        <f t="shared" si="29"/>
        <v>8.5092056735213923E-6</v>
      </c>
      <c r="BH172" s="159">
        <f t="shared" si="29"/>
        <v>2.0370722728328566E-4</v>
      </c>
      <c r="BI172" s="159">
        <f t="shared" si="29"/>
        <v>5.1037027911642518E-4</v>
      </c>
      <c r="BJ172" s="159">
        <f t="shared" si="29"/>
        <v>1.4930713419079569E-5</v>
      </c>
      <c r="BK172" s="159">
        <f t="shared" si="29"/>
        <v>1.2332776569901803E-4</v>
      </c>
      <c r="BL172" s="159">
        <f t="shared" si="29"/>
        <v>1.1897201954355179E-4</v>
      </c>
      <c r="BM172" s="159">
        <f t="shared" si="29"/>
        <v>1.0314407280660122E-4</v>
      </c>
      <c r="BN172" s="159">
        <f t="shared" si="29"/>
        <v>4.0659114449134053E-5</v>
      </c>
      <c r="BO172" s="159">
        <f t="shared" ref="BO172:CA172" si="30">BO5/BO$84</f>
        <v>3.4513079983088064E-5</v>
      </c>
      <c r="BP172" s="159">
        <f t="shared" si="30"/>
        <v>3.0877710733033851E-5</v>
      </c>
      <c r="BQ172" s="159">
        <f t="shared" si="30"/>
        <v>2.5105134159112772E-5</v>
      </c>
      <c r="BR172" s="159">
        <f t="shared" si="30"/>
        <v>2.9667018635798524E-5</v>
      </c>
      <c r="BS172" s="159">
        <f t="shared" si="30"/>
        <v>4.1514812831540387E-5</v>
      </c>
      <c r="BT172" s="159">
        <f t="shared" si="30"/>
        <v>6.0856674728875712E-5</v>
      </c>
      <c r="BU172" s="159">
        <f t="shared" si="30"/>
        <v>2.155026475686507E-4</v>
      </c>
      <c r="BV172" s="159">
        <f t="shared" si="30"/>
        <v>1.4158196941023299E-4</v>
      </c>
      <c r="BW172" s="159">
        <f t="shared" si="30"/>
        <v>7.840171717993581E-5</v>
      </c>
      <c r="BX172" s="159">
        <f t="shared" si="30"/>
        <v>2.9260390065726668E-5</v>
      </c>
      <c r="BY172" s="159">
        <f t="shared" si="30"/>
        <v>5.0307470042533221E-5</v>
      </c>
      <c r="BZ172" s="159">
        <f t="shared" si="30"/>
        <v>1.0130322163316275E-4</v>
      </c>
      <c r="CA172" s="118">
        <f t="shared" si="30"/>
        <v>0</v>
      </c>
      <c r="CB172" s="18"/>
      <c r="CC172" s="271"/>
      <c r="CD172" s="147">
        <f t="shared" si="21"/>
        <v>3.8760937925280841E-3</v>
      </c>
      <c r="CE172" s="148">
        <f t="shared" si="21"/>
        <v>7.18625405398311E-5</v>
      </c>
      <c r="CF172" s="148">
        <f t="shared" si="21"/>
        <v>-5.6163121064051521E-3</v>
      </c>
      <c r="CG172" s="119">
        <f t="shared" si="21"/>
        <v>2.9249998586460867E-3</v>
      </c>
      <c r="CH172" s="18"/>
      <c r="CI172" s="18"/>
      <c r="CJ172" s="18"/>
    </row>
    <row r="173" spans="1:88" ht="28.2" customHeight="1" x14ac:dyDescent="0.25">
      <c r="A173" s="8" t="s">
        <v>4</v>
      </c>
      <c r="B173" s="256"/>
      <c r="C173" s="22">
        <f t="shared" ref="C173:AH173" si="31">C6/C$84</f>
        <v>5.9589433324269605E-4</v>
      </c>
      <c r="D173" s="159">
        <f t="shared" si="31"/>
        <v>1.0650335110213764E-3</v>
      </c>
      <c r="E173" s="159">
        <f t="shared" si="31"/>
        <v>1.4596755506169866E-5</v>
      </c>
      <c r="F173" s="159">
        <f t="shared" si="31"/>
        <v>6.8842978470284574E-2</v>
      </c>
      <c r="G173" s="159">
        <f t="shared" si="31"/>
        <v>0.10175418564306279</v>
      </c>
      <c r="H173" s="159">
        <f t="shared" si="31"/>
        <v>6.7989101585085981E-5</v>
      </c>
      <c r="I173" s="159">
        <f t="shared" si="31"/>
        <v>5.8534274540267726E-6</v>
      </c>
      <c r="J173" s="159">
        <f t="shared" si="31"/>
        <v>9.8003783913997693E-6</v>
      </c>
      <c r="K173" s="159">
        <f t="shared" si="31"/>
        <v>6.3959298566737172E-5</v>
      </c>
      <c r="L173" s="159">
        <f t="shared" si="31"/>
        <v>5.531672131547327E-5</v>
      </c>
      <c r="M173" s="159">
        <f t="shared" si="31"/>
        <v>1.8803186811977592E-4</v>
      </c>
      <c r="N173" s="159">
        <f t="shared" si="31"/>
        <v>2.6435923457060783E-5</v>
      </c>
      <c r="O173" s="159">
        <f t="shared" si="31"/>
        <v>1.1053242776140767E-4</v>
      </c>
      <c r="P173" s="159">
        <f t="shared" si="31"/>
        <v>3.0067884030484208E-5</v>
      </c>
      <c r="Q173" s="159">
        <f t="shared" si="31"/>
        <v>1.0028003349329464E-2</v>
      </c>
      <c r="R173" s="159">
        <f t="shared" si="31"/>
        <v>1.9143584183306993E-2</v>
      </c>
      <c r="S173" s="159">
        <f t="shared" si="31"/>
        <v>1.9489297815464428E-4</v>
      </c>
      <c r="T173" s="159">
        <f t="shared" si="31"/>
        <v>8.8056862758418208E-4</v>
      </c>
      <c r="U173" s="159">
        <f t="shared" si="31"/>
        <v>5.386047351344362E-2</v>
      </c>
      <c r="V173" s="159">
        <f t="shared" si="31"/>
        <v>4.4745593893428786E-3</v>
      </c>
      <c r="W173" s="159">
        <f t="shared" si="31"/>
        <v>6.3401835993048556E-4</v>
      </c>
      <c r="X173" s="159">
        <f t="shared" si="31"/>
        <v>2.6435760094838183E-4</v>
      </c>
      <c r="Y173" s="159">
        <f t="shared" si="31"/>
        <v>9.2561508678135941E-4</v>
      </c>
      <c r="Z173" s="159">
        <f t="shared" si="31"/>
        <v>3.864527966238285E-4</v>
      </c>
      <c r="AA173" s="159">
        <f t="shared" si="31"/>
        <v>6.7088351372154441E-5</v>
      </c>
      <c r="AB173" s="159">
        <f t="shared" si="31"/>
        <v>4.3696554501758758E-4</v>
      </c>
      <c r="AC173" s="159">
        <f t="shared" si="31"/>
        <v>2.2453143566761584E-4</v>
      </c>
      <c r="AD173" s="159">
        <f t="shared" si="31"/>
        <v>2.3849591837718138E-4</v>
      </c>
      <c r="AE173" s="159">
        <f t="shared" si="31"/>
        <v>2.0386784024452643E-4</v>
      </c>
      <c r="AF173" s="159">
        <f t="shared" si="31"/>
        <v>3.2876507855663852E-2</v>
      </c>
      <c r="AG173" s="159">
        <f t="shared" si="31"/>
        <v>2.5704439340277205E-5</v>
      </c>
      <c r="AH173" s="159">
        <f t="shared" si="31"/>
        <v>4.5813064128670351E-3</v>
      </c>
      <c r="AI173" s="159">
        <f t="shared" ref="AI173:BN173" si="32">AI6/AI$84</f>
        <v>4.4238468696626955E-4</v>
      </c>
      <c r="AJ173" s="159">
        <f t="shared" si="32"/>
        <v>7.3849547159529341E-3</v>
      </c>
      <c r="AK173" s="159">
        <f t="shared" si="32"/>
        <v>2.3203405267642407E-5</v>
      </c>
      <c r="AL173" s="159">
        <f t="shared" si="32"/>
        <v>2.4686761944345314E-4</v>
      </c>
      <c r="AM173" s="159">
        <f t="shared" si="32"/>
        <v>1.5825238359813344E-5</v>
      </c>
      <c r="AN173" s="159">
        <f t="shared" si="32"/>
        <v>5.9107910968758518E-4</v>
      </c>
      <c r="AO173" s="159">
        <f t="shared" si="32"/>
        <v>0</v>
      </c>
      <c r="AP173" s="159">
        <f t="shared" si="32"/>
        <v>2.2516182788277528E-4</v>
      </c>
      <c r="AQ173" s="159">
        <f t="shared" si="32"/>
        <v>7.3951477484195937E-5</v>
      </c>
      <c r="AR173" s="159">
        <f t="shared" si="32"/>
        <v>1.9880913329158342E-5</v>
      </c>
      <c r="AS173" s="159">
        <f t="shared" si="32"/>
        <v>2.6297969139333214E-6</v>
      </c>
      <c r="AT173" s="159">
        <f t="shared" si="32"/>
        <v>9.0327083401705921E-7</v>
      </c>
      <c r="AU173" s="159">
        <f t="shared" si="32"/>
        <v>0</v>
      </c>
      <c r="AV173" s="159">
        <f t="shared" si="32"/>
        <v>0</v>
      </c>
      <c r="AW173" s="159">
        <f t="shared" si="32"/>
        <v>0</v>
      </c>
      <c r="AX173" s="159">
        <f t="shared" si="32"/>
        <v>0</v>
      </c>
      <c r="AY173" s="159">
        <f t="shared" si="32"/>
        <v>2.6691479732622066E-4</v>
      </c>
      <c r="AZ173" s="159">
        <f t="shared" si="32"/>
        <v>0</v>
      </c>
      <c r="BA173" s="159">
        <f t="shared" si="32"/>
        <v>2.334364543009152E-6</v>
      </c>
      <c r="BB173" s="159">
        <f t="shared" si="32"/>
        <v>2.5432860042621565E-4</v>
      </c>
      <c r="BC173" s="159">
        <f t="shared" si="32"/>
        <v>1.9844491728159359E-5</v>
      </c>
      <c r="BD173" s="159">
        <f t="shared" si="32"/>
        <v>7.4355658510488396E-5</v>
      </c>
      <c r="BE173" s="159">
        <f t="shared" si="32"/>
        <v>2.7415861485165895E-3</v>
      </c>
      <c r="BF173" s="159">
        <f t="shared" si="32"/>
        <v>5.2563145192013286E-4</v>
      </c>
      <c r="BG173" s="159">
        <f t="shared" si="32"/>
        <v>1.4891109928662437E-7</v>
      </c>
      <c r="BH173" s="159">
        <f t="shared" si="32"/>
        <v>0</v>
      </c>
      <c r="BI173" s="159">
        <f t="shared" si="32"/>
        <v>0</v>
      </c>
      <c r="BJ173" s="159">
        <f t="shared" si="32"/>
        <v>7.817775350602744E-4</v>
      </c>
      <c r="BK173" s="159">
        <f t="shared" si="32"/>
        <v>0</v>
      </c>
      <c r="BL173" s="159">
        <f t="shared" si="32"/>
        <v>0</v>
      </c>
      <c r="BM173" s="159">
        <f t="shared" si="32"/>
        <v>3.4971148802238151E-5</v>
      </c>
      <c r="BN173" s="159">
        <f t="shared" si="32"/>
        <v>1.1392451530850509E-2</v>
      </c>
      <c r="BO173" s="159">
        <f t="shared" ref="BO173:CA173" si="33">BO6/BO$84</f>
        <v>3.2812718012012868E-3</v>
      </c>
      <c r="BP173" s="159">
        <f t="shared" si="33"/>
        <v>5.3187920479374248E-4</v>
      </c>
      <c r="BQ173" s="159">
        <f t="shared" si="33"/>
        <v>1.2052601003536608E-4</v>
      </c>
      <c r="BR173" s="159">
        <f t="shared" si="33"/>
        <v>1.4469744784217809E-5</v>
      </c>
      <c r="BS173" s="159">
        <f t="shared" si="33"/>
        <v>8.9649199831573484E-5</v>
      </c>
      <c r="BT173" s="159">
        <f t="shared" si="33"/>
        <v>2.4140732207683729E-5</v>
      </c>
      <c r="BU173" s="159">
        <f t="shared" si="33"/>
        <v>9.8854425490206739E-4</v>
      </c>
      <c r="BV173" s="159">
        <f t="shared" si="33"/>
        <v>0</v>
      </c>
      <c r="BW173" s="159">
        <f t="shared" si="33"/>
        <v>2.4090295075346557E-4</v>
      </c>
      <c r="BX173" s="159">
        <f t="shared" si="33"/>
        <v>8.6998145674294352E-4</v>
      </c>
      <c r="BY173" s="159">
        <f t="shared" si="33"/>
        <v>0</v>
      </c>
      <c r="BZ173" s="159">
        <f t="shared" si="33"/>
        <v>7.9673918055229445E-4</v>
      </c>
      <c r="CA173" s="118">
        <f t="shared" si="33"/>
        <v>0</v>
      </c>
      <c r="CB173" s="18"/>
      <c r="CC173" s="271"/>
      <c r="CD173" s="147">
        <f t="shared" si="21"/>
        <v>1.7952394869468838E-4</v>
      </c>
      <c r="CE173" s="148">
        <f t="shared" si="21"/>
        <v>1.6244309007722999E-3</v>
      </c>
      <c r="CF173" s="148">
        <f t="shared" si="21"/>
        <v>-9.0864245345408674E-3</v>
      </c>
      <c r="CG173" s="119">
        <f t="shared" si="21"/>
        <v>2.5796991643916491E-3</v>
      </c>
      <c r="CH173" s="18"/>
      <c r="CI173" s="18"/>
      <c r="CJ173" s="18"/>
    </row>
    <row r="174" spans="1:88" ht="13.95" customHeight="1" x14ac:dyDescent="0.25">
      <c r="A174" s="8" t="s">
        <v>5</v>
      </c>
      <c r="B174" s="256"/>
      <c r="C174" s="22">
        <f t="shared" ref="C174:AH174" si="34">C7/C$84</f>
        <v>0.14003246610789621</v>
      </c>
      <c r="D174" s="159">
        <f t="shared" si="34"/>
        <v>3.4484565224700958E-3</v>
      </c>
      <c r="E174" s="159">
        <f t="shared" si="34"/>
        <v>4.673151275300283E-2</v>
      </c>
      <c r="F174" s="159">
        <f t="shared" si="34"/>
        <v>1.8095490366651753E-5</v>
      </c>
      <c r="G174" s="159">
        <f t="shared" si="34"/>
        <v>1.8752905379706714E-4</v>
      </c>
      <c r="H174" s="159">
        <f t="shared" si="34"/>
        <v>0.1882007691683224</v>
      </c>
      <c r="I174" s="159">
        <f t="shared" si="34"/>
        <v>4.9296204755614866E-2</v>
      </c>
      <c r="J174" s="159">
        <f t="shared" si="34"/>
        <v>7.549921131152415E-5</v>
      </c>
      <c r="K174" s="159">
        <f t="shared" si="34"/>
        <v>3.2097935964997956E-3</v>
      </c>
      <c r="L174" s="159">
        <f t="shared" si="34"/>
        <v>7.783746713060345E-4</v>
      </c>
      <c r="M174" s="159">
        <f t="shared" si="34"/>
        <v>3.8874720003366811E-3</v>
      </c>
      <c r="N174" s="159">
        <f t="shared" si="34"/>
        <v>2.1876381015258816E-4</v>
      </c>
      <c r="O174" s="159">
        <f t="shared" si="34"/>
        <v>4.9557145569230853E-4</v>
      </c>
      <c r="P174" s="159">
        <f t="shared" si="34"/>
        <v>2.1726471041382138E-4</v>
      </c>
      <c r="Q174" s="159">
        <f t="shared" si="34"/>
        <v>5.953662052770683E-4</v>
      </c>
      <c r="R174" s="159">
        <f t="shared" si="34"/>
        <v>5.1428802235063448E-4</v>
      </c>
      <c r="S174" s="159">
        <f t="shared" si="34"/>
        <v>5.7456266758938029E-4</v>
      </c>
      <c r="T174" s="159">
        <f t="shared" si="34"/>
        <v>1.8893914204769685E-4</v>
      </c>
      <c r="U174" s="159">
        <f t="shared" si="34"/>
        <v>5.4509132186462523E-5</v>
      </c>
      <c r="V174" s="159">
        <f t="shared" si="34"/>
        <v>1.2079909081772287E-6</v>
      </c>
      <c r="W174" s="159">
        <f t="shared" si="34"/>
        <v>3.2640812356114485E-5</v>
      </c>
      <c r="X174" s="159">
        <f t="shared" si="34"/>
        <v>6.341288247048412E-5</v>
      </c>
      <c r="Y174" s="159">
        <f t="shared" si="34"/>
        <v>1.2888923615602028E-4</v>
      </c>
      <c r="Z174" s="159">
        <f t="shared" si="34"/>
        <v>4.0909618636284179E-4</v>
      </c>
      <c r="AA174" s="159">
        <f t="shared" si="34"/>
        <v>2.0141517722992663E-5</v>
      </c>
      <c r="AB174" s="159">
        <f t="shared" si="34"/>
        <v>2.2004547550180084E-5</v>
      </c>
      <c r="AC174" s="159">
        <f t="shared" si="34"/>
        <v>2.1839962623782933E-3</v>
      </c>
      <c r="AD174" s="159">
        <f t="shared" si="34"/>
        <v>2.261810232974103E-4</v>
      </c>
      <c r="AE174" s="159">
        <f t="shared" si="34"/>
        <v>5.1953417352637382E-4</v>
      </c>
      <c r="AF174" s="159">
        <f t="shared" si="34"/>
        <v>2.1905787172818152E-4</v>
      </c>
      <c r="AG174" s="159">
        <f t="shared" si="34"/>
        <v>4.7369609641367994E-5</v>
      </c>
      <c r="AH174" s="159">
        <f t="shared" si="34"/>
        <v>1.789684728368696E-3</v>
      </c>
      <c r="AI174" s="159">
        <f t="shared" ref="AI174:BN174" si="35">AI7/AI$84</f>
        <v>8.1062973446561039E-4</v>
      </c>
      <c r="AJ174" s="159">
        <f t="shared" si="35"/>
        <v>2.5320051370946687E-4</v>
      </c>
      <c r="AK174" s="159">
        <f t="shared" si="35"/>
        <v>3.8859979298975134E-4</v>
      </c>
      <c r="AL174" s="159">
        <f t="shared" si="35"/>
        <v>1.5743450516056731E-2</v>
      </c>
      <c r="AM174" s="159">
        <f t="shared" si="35"/>
        <v>2.002896624870721E-2</v>
      </c>
      <c r="AN174" s="159">
        <f t="shared" si="35"/>
        <v>1.4380736056642402E-4</v>
      </c>
      <c r="AO174" s="159">
        <f t="shared" si="35"/>
        <v>7.6513032840590169E-4</v>
      </c>
      <c r="AP174" s="159">
        <f t="shared" si="35"/>
        <v>2.9105888776208039E-4</v>
      </c>
      <c r="AQ174" s="159">
        <f t="shared" si="35"/>
        <v>5.8654465137151141E-2</v>
      </c>
      <c r="AR174" s="159">
        <f t="shared" si="35"/>
        <v>0.14205991636413673</v>
      </c>
      <c r="AS174" s="159">
        <f t="shared" si="35"/>
        <v>3.8441443124260613E-5</v>
      </c>
      <c r="AT174" s="159">
        <f t="shared" si="35"/>
        <v>1.3097427093247358E-5</v>
      </c>
      <c r="AU174" s="159">
        <f t="shared" si="35"/>
        <v>1.1089950253810146E-6</v>
      </c>
      <c r="AV174" s="159">
        <f t="shared" si="35"/>
        <v>1.5839711187261968E-4</v>
      </c>
      <c r="AW174" s="159">
        <f t="shared" si="35"/>
        <v>5.2138722114199035E-4</v>
      </c>
      <c r="AX174" s="159">
        <f t="shared" si="35"/>
        <v>8.3106629577230204E-4</v>
      </c>
      <c r="AY174" s="159">
        <f t="shared" si="35"/>
        <v>1.0992630988658275E-3</v>
      </c>
      <c r="AZ174" s="159">
        <f t="shared" si="35"/>
        <v>4.0696203909542207E-3</v>
      </c>
      <c r="BA174" s="159">
        <f t="shared" si="35"/>
        <v>1.604751454992036E-4</v>
      </c>
      <c r="BB174" s="159">
        <f t="shared" si="35"/>
        <v>5.6083831451832623E-4</v>
      </c>
      <c r="BC174" s="159">
        <f t="shared" si="35"/>
        <v>1.087190371596501E-3</v>
      </c>
      <c r="BD174" s="159">
        <f t="shared" si="35"/>
        <v>6.093781057036451E-4</v>
      </c>
      <c r="BE174" s="159">
        <f t="shared" si="35"/>
        <v>2.2125703198654382E-4</v>
      </c>
      <c r="BF174" s="159">
        <f t="shared" si="35"/>
        <v>9.9956979486027033E-4</v>
      </c>
      <c r="BG174" s="159">
        <f t="shared" si="35"/>
        <v>2.4487366626976185E-4</v>
      </c>
      <c r="BH174" s="159">
        <f t="shared" si="35"/>
        <v>8.1368906053923143E-4</v>
      </c>
      <c r="BI174" s="159">
        <f t="shared" si="35"/>
        <v>6.6411226950738476E-7</v>
      </c>
      <c r="BJ174" s="159">
        <f t="shared" si="35"/>
        <v>2.4524705622825966E-4</v>
      </c>
      <c r="BK174" s="159">
        <f t="shared" si="35"/>
        <v>3.2657752230941741E-3</v>
      </c>
      <c r="BL174" s="159">
        <f t="shared" si="35"/>
        <v>2.9351615453402625E-3</v>
      </c>
      <c r="BM174" s="159">
        <f t="shared" si="35"/>
        <v>5.6692811763628338E-4</v>
      </c>
      <c r="BN174" s="159">
        <f t="shared" si="35"/>
        <v>1.1031863270135904E-2</v>
      </c>
      <c r="BO174" s="159">
        <f t="shared" ref="BO174:CA174" si="36">BO7/BO$84</f>
        <v>2.4083806821175668E-3</v>
      </c>
      <c r="BP174" s="159">
        <f t="shared" si="36"/>
        <v>1.6303447953186555E-3</v>
      </c>
      <c r="BQ174" s="159">
        <f t="shared" si="36"/>
        <v>4.2805001553794146E-3</v>
      </c>
      <c r="BR174" s="159">
        <f t="shared" si="36"/>
        <v>2.4417088049144748E-3</v>
      </c>
      <c r="BS174" s="159">
        <f t="shared" si="36"/>
        <v>3.0153694675867728E-2</v>
      </c>
      <c r="BT174" s="159">
        <f t="shared" si="36"/>
        <v>1.424853939391158E-3</v>
      </c>
      <c r="BU174" s="159">
        <f t="shared" si="36"/>
        <v>3.5884156452945046E-4</v>
      </c>
      <c r="BV174" s="159">
        <f t="shared" si="36"/>
        <v>7.205061076748512E-5</v>
      </c>
      <c r="BW174" s="159">
        <f t="shared" si="36"/>
        <v>4.244290634253938E-3</v>
      </c>
      <c r="BX174" s="159">
        <f t="shared" si="36"/>
        <v>0.10992551582255593</v>
      </c>
      <c r="BY174" s="159">
        <f t="shared" si="36"/>
        <v>1.1057240092066385E-4</v>
      </c>
      <c r="BZ174" s="159">
        <f t="shared" si="36"/>
        <v>3.204345425811769E-3</v>
      </c>
      <c r="CA174" s="118">
        <f t="shared" si="36"/>
        <v>0</v>
      </c>
      <c r="CB174" s="18"/>
      <c r="CC174" s="271"/>
      <c r="CD174" s="147">
        <f t="shared" si="21"/>
        <v>8.0895132381175267E-2</v>
      </c>
      <c r="CE174" s="148">
        <f t="shared" si="21"/>
        <v>2.2422598819020112E-4</v>
      </c>
      <c r="CF174" s="148">
        <f t="shared" si="21"/>
        <v>-2.1960088968598877E-2</v>
      </c>
      <c r="CG174" s="119">
        <f t="shared" si="21"/>
        <v>6.7739711943657771E-2</v>
      </c>
      <c r="CH174" s="18"/>
      <c r="CI174" s="18"/>
      <c r="CJ174" s="18"/>
    </row>
    <row r="175" spans="1:88" ht="13.95" customHeight="1" x14ac:dyDescent="0.25">
      <c r="A175" s="8" t="s">
        <v>6</v>
      </c>
      <c r="B175" s="256"/>
      <c r="C175" s="22">
        <f t="shared" ref="C175:AH175" si="37">C8/C$84</f>
        <v>1.7615843734373023E-4</v>
      </c>
      <c r="D175" s="159">
        <f t="shared" si="37"/>
        <v>7.9238910266886555E-5</v>
      </c>
      <c r="E175" s="159">
        <f t="shared" si="37"/>
        <v>3.3207618776536445E-4</v>
      </c>
      <c r="F175" s="159">
        <f t="shared" si="37"/>
        <v>2.1786764185034277E-4</v>
      </c>
      <c r="G175" s="159">
        <f t="shared" si="37"/>
        <v>3.784443310285342E-4</v>
      </c>
      <c r="H175" s="159">
        <f t="shared" si="37"/>
        <v>1.2637604371180838E-3</v>
      </c>
      <c r="I175" s="159">
        <f t="shared" si="37"/>
        <v>4.1717921969728254E-2</v>
      </c>
      <c r="J175" s="159">
        <f t="shared" si="37"/>
        <v>8.469462807382517E-6</v>
      </c>
      <c r="K175" s="159">
        <f t="shared" si="37"/>
        <v>5.2553082838190913E-5</v>
      </c>
      <c r="L175" s="159">
        <f t="shared" si="37"/>
        <v>6.4320558615612808E-4</v>
      </c>
      <c r="M175" s="159">
        <f t="shared" si="37"/>
        <v>8.814717760111877E-4</v>
      </c>
      <c r="N175" s="159">
        <f t="shared" si="37"/>
        <v>2.2535970392603302E-5</v>
      </c>
      <c r="O175" s="159">
        <f t="shared" si="37"/>
        <v>6.5706232275408087E-4</v>
      </c>
      <c r="P175" s="159">
        <f t="shared" si="37"/>
        <v>1.5817348422984248E-4</v>
      </c>
      <c r="Q175" s="159">
        <f t="shared" si="37"/>
        <v>4.6352169058608706E-4</v>
      </c>
      <c r="R175" s="159">
        <f t="shared" si="37"/>
        <v>1.1615277224473412E-3</v>
      </c>
      <c r="S175" s="159">
        <f t="shared" si="37"/>
        <v>6.7097688453664613E-5</v>
      </c>
      <c r="T175" s="159">
        <f t="shared" si="37"/>
        <v>2.6595139099591593E-4</v>
      </c>
      <c r="U175" s="159">
        <f t="shared" si="37"/>
        <v>1.7882190031573566E-4</v>
      </c>
      <c r="V175" s="159">
        <f t="shared" si="37"/>
        <v>3.1266026012715151E-4</v>
      </c>
      <c r="W175" s="159">
        <f t="shared" si="37"/>
        <v>2.5417922917286747E-4</v>
      </c>
      <c r="X175" s="159">
        <f t="shared" si="37"/>
        <v>2.6211415369573149E-5</v>
      </c>
      <c r="Y175" s="159">
        <f t="shared" si="37"/>
        <v>3.8006863485707035E-4</v>
      </c>
      <c r="Z175" s="159">
        <f t="shared" si="37"/>
        <v>6.475672760677658E-4</v>
      </c>
      <c r="AA175" s="159">
        <f t="shared" si="37"/>
        <v>3.9507399359758282E-5</v>
      </c>
      <c r="AB175" s="159">
        <f t="shared" si="37"/>
        <v>1.0622156830845088E-4</v>
      </c>
      <c r="AC175" s="159">
        <f t="shared" si="37"/>
        <v>1.0512965780024967E-4</v>
      </c>
      <c r="AD175" s="159">
        <f t="shared" si="37"/>
        <v>2.2488069276103695E-5</v>
      </c>
      <c r="AE175" s="159">
        <f t="shared" si="37"/>
        <v>1.5175763497800733E-4</v>
      </c>
      <c r="AF175" s="159">
        <f t="shared" si="37"/>
        <v>5.5475867479056287E-5</v>
      </c>
      <c r="AG175" s="159">
        <f t="shared" si="37"/>
        <v>1.9890339965690694E-4</v>
      </c>
      <c r="AH175" s="159">
        <f t="shared" si="37"/>
        <v>3.7029582365073098E-4</v>
      </c>
      <c r="AI175" s="159">
        <f t="shared" ref="AI175:BN175" si="38">AI8/AI$84</f>
        <v>1.5963645409729628E-4</v>
      </c>
      <c r="AJ175" s="159">
        <f t="shared" si="38"/>
        <v>2.7096826029284735E-4</v>
      </c>
      <c r="AK175" s="159">
        <f t="shared" si="38"/>
        <v>5.1057032462689797E-4</v>
      </c>
      <c r="AL175" s="159">
        <f t="shared" si="38"/>
        <v>2.8554904312459422E-3</v>
      </c>
      <c r="AM175" s="159">
        <f t="shared" si="38"/>
        <v>1.1038260544989223E-3</v>
      </c>
      <c r="AN175" s="159">
        <f t="shared" si="38"/>
        <v>3.8036651584469127E-4</v>
      </c>
      <c r="AO175" s="159">
        <f t="shared" si="38"/>
        <v>1.7214479786632282E-3</v>
      </c>
      <c r="AP175" s="159">
        <f t="shared" si="38"/>
        <v>2.0099879888159296E-4</v>
      </c>
      <c r="AQ175" s="159">
        <f t="shared" si="38"/>
        <v>7.4080809664549465E-3</v>
      </c>
      <c r="AR175" s="159">
        <f t="shared" si="38"/>
        <v>7.6371580286714161E-2</v>
      </c>
      <c r="AS175" s="159">
        <f t="shared" si="38"/>
        <v>6.1258798701035013E-5</v>
      </c>
      <c r="AT175" s="159">
        <f t="shared" si="38"/>
        <v>3.853955558472786E-5</v>
      </c>
      <c r="AU175" s="159">
        <f t="shared" si="38"/>
        <v>4.7686786091383632E-6</v>
      </c>
      <c r="AV175" s="159">
        <f t="shared" si="38"/>
        <v>2.2806871743060554E-4</v>
      </c>
      <c r="AW175" s="159">
        <f t="shared" si="38"/>
        <v>1.5540449563625089E-4</v>
      </c>
      <c r="AX175" s="159">
        <f t="shared" si="38"/>
        <v>2.9396505348038926E-4</v>
      </c>
      <c r="AY175" s="159">
        <f t="shared" si="38"/>
        <v>1.0614881020827359E-3</v>
      </c>
      <c r="AZ175" s="159">
        <f t="shared" si="38"/>
        <v>3.6606830120015764E-4</v>
      </c>
      <c r="BA175" s="159">
        <f t="shared" si="38"/>
        <v>2.6174683280123892E-4</v>
      </c>
      <c r="BB175" s="159">
        <f t="shared" si="38"/>
        <v>1.7954035801996426E-5</v>
      </c>
      <c r="BC175" s="159">
        <f t="shared" si="38"/>
        <v>4.1079896471706327E-4</v>
      </c>
      <c r="BD175" s="159">
        <f t="shared" si="38"/>
        <v>3.5945472240933872E-4</v>
      </c>
      <c r="BE175" s="159">
        <f t="shared" si="38"/>
        <v>9.2841421623902825E-5</v>
      </c>
      <c r="BF175" s="159">
        <f t="shared" si="38"/>
        <v>4.5001234710964714E-4</v>
      </c>
      <c r="BG175" s="159">
        <f t="shared" si="38"/>
        <v>2.6357264573732513E-5</v>
      </c>
      <c r="BH175" s="159">
        <f t="shared" si="38"/>
        <v>8.2313352031735342E-5</v>
      </c>
      <c r="BI175" s="159">
        <f t="shared" si="38"/>
        <v>1.9923368085221544E-6</v>
      </c>
      <c r="BJ175" s="159">
        <f t="shared" si="38"/>
        <v>3.6523080730770991E-4</v>
      </c>
      <c r="BK175" s="159">
        <f t="shared" si="38"/>
        <v>2.9385600666871956E-4</v>
      </c>
      <c r="BL175" s="159">
        <f t="shared" si="38"/>
        <v>1.7729163696686149E-4</v>
      </c>
      <c r="BM175" s="159">
        <f t="shared" si="38"/>
        <v>2.0701671121324907E-4</v>
      </c>
      <c r="BN175" s="159">
        <f t="shared" si="38"/>
        <v>2.7005396587453419E-4</v>
      </c>
      <c r="BO175" s="159">
        <f t="shared" ref="BO175:CA175" si="39">BO8/BO$84</f>
        <v>9.126206798581455E-5</v>
      </c>
      <c r="BP175" s="159">
        <f t="shared" si="39"/>
        <v>6.3743575604863147E-4</v>
      </c>
      <c r="BQ175" s="159">
        <f t="shared" si="39"/>
        <v>8.2443123971363862E-4</v>
      </c>
      <c r="BR175" s="159">
        <f t="shared" si="39"/>
        <v>1.2814616155967196E-4</v>
      </c>
      <c r="BS175" s="159">
        <f t="shared" si="39"/>
        <v>2.6846537885992961E-4</v>
      </c>
      <c r="BT175" s="159">
        <f t="shared" si="39"/>
        <v>2.6453836586518822E-4</v>
      </c>
      <c r="BU175" s="159">
        <f t="shared" si="39"/>
        <v>1.0132578612746191E-4</v>
      </c>
      <c r="BV175" s="159">
        <f t="shared" si="39"/>
        <v>4.9881192069797389E-5</v>
      </c>
      <c r="BW175" s="159">
        <f t="shared" si="39"/>
        <v>4.2938614874127637E-4</v>
      </c>
      <c r="BX175" s="159">
        <f t="shared" si="39"/>
        <v>1.854531764729155E-6</v>
      </c>
      <c r="BY175" s="159">
        <f t="shared" si="39"/>
        <v>2.771740963938684E-5</v>
      </c>
      <c r="BZ175" s="159">
        <f t="shared" si="39"/>
        <v>3.1613785001356878E-4</v>
      </c>
      <c r="CA175" s="118">
        <f t="shared" si="39"/>
        <v>0</v>
      </c>
      <c r="CB175" s="18"/>
      <c r="CC175" s="271"/>
      <c r="CD175" s="147">
        <f t="shared" si="21"/>
        <v>1.5591711232167193E-2</v>
      </c>
      <c r="CE175" s="148">
        <f t="shared" si="21"/>
        <v>0</v>
      </c>
      <c r="CF175" s="148">
        <f t="shared" si="21"/>
        <v>-2.9862598001408652E-3</v>
      </c>
      <c r="CG175" s="119">
        <f t="shared" si="21"/>
        <v>3.8210046102862966E-3</v>
      </c>
      <c r="CH175" s="18"/>
      <c r="CI175" s="18"/>
      <c r="CJ175" s="18"/>
    </row>
    <row r="176" spans="1:88" ht="13.95" customHeight="1" x14ac:dyDescent="0.25">
      <c r="A176" s="8" t="s">
        <v>7</v>
      </c>
      <c r="B176" s="256"/>
      <c r="C176" s="22">
        <f t="shared" ref="C176:AH176" si="40">C9/C$84</f>
        <v>2.2356365165291593E-7</v>
      </c>
      <c r="D176" s="159">
        <f t="shared" si="40"/>
        <v>0</v>
      </c>
      <c r="E176" s="159">
        <f t="shared" si="40"/>
        <v>0</v>
      </c>
      <c r="F176" s="159">
        <f t="shared" si="40"/>
        <v>4.1243282886955561E-6</v>
      </c>
      <c r="G176" s="159">
        <f t="shared" si="40"/>
        <v>7.1110692122398163E-6</v>
      </c>
      <c r="H176" s="159">
        <f t="shared" si="40"/>
        <v>1.855091448433451E-6</v>
      </c>
      <c r="I176" s="159">
        <f t="shared" si="40"/>
        <v>6.3525569268507609E-7</v>
      </c>
      <c r="J176" s="159">
        <f t="shared" si="40"/>
        <v>1.6444550971465532E-2</v>
      </c>
      <c r="K176" s="159">
        <f t="shared" si="40"/>
        <v>1.0071266035871956E-4</v>
      </c>
      <c r="L176" s="159">
        <f t="shared" si="40"/>
        <v>9.1302330343281146E-5</v>
      </c>
      <c r="M176" s="159">
        <f t="shared" si="40"/>
        <v>0</v>
      </c>
      <c r="N176" s="159">
        <f t="shared" si="40"/>
        <v>0</v>
      </c>
      <c r="O176" s="159">
        <f t="shared" si="40"/>
        <v>0</v>
      </c>
      <c r="P176" s="159">
        <f t="shared" si="40"/>
        <v>0</v>
      </c>
      <c r="Q176" s="159">
        <f t="shared" si="40"/>
        <v>8.866477114390127E-7</v>
      </c>
      <c r="R176" s="159">
        <f t="shared" si="40"/>
        <v>0</v>
      </c>
      <c r="S176" s="159">
        <f t="shared" si="40"/>
        <v>0</v>
      </c>
      <c r="T176" s="159">
        <f t="shared" si="40"/>
        <v>0</v>
      </c>
      <c r="U176" s="159">
        <f t="shared" si="40"/>
        <v>9.7836903924419923E-7</v>
      </c>
      <c r="V176" s="159">
        <f t="shared" si="40"/>
        <v>0</v>
      </c>
      <c r="W176" s="159">
        <f t="shared" si="40"/>
        <v>1.0322837557278458E-6</v>
      </c>
      <c r="X176" s="159">
        <f t="shared" si="40"/>
        <v>0</v>
      </c>
      <c r="Y176" s="159">
        <f t="shared" si="40"/>
        <v>0</v>
      </c>
      <c r="Z176" s="159">
        <f t="shared" si="40"/>
        <v>9.0489382786019527E-7</v>
      </c>
      <c r="AA176" s="159">
        <f t="shared" si="40"/>
        <v>1.2510259455274946E-6</v>
      </c>
      <c r="AB176" s="159">
        <f t="shared" si="40"/>
        <v>4.8148146271027433E-6</v>
      </c>
      <c r="AC176" s="159">
        <f t="shared" si="40"/>
        <v>7.0139214466130429E-5</v>
      </c>
      <c r="AD176" s="159">
        <f t="shared" si="40"/>
        <v>0</v>
      </c>
      <c r="AE176" s="159">
        <f t="shared" si="40"/>
        <v>1.6114313371175985E-6</v>
      </c>
      <c r="AF176" s="159">
        <f t="shared" si="40"/>
        <v>2.5707896402886421E-7</v>
      </c>
      <c r="AG176" s="159">
        <f t="shared" si="40"/>
        <v>1.4688251051586973E-6</v>
      </c>
      <c r="AH176" s="159">
        <f t="shared" si="40"/>
        <v>0</v>
      </c>
      <c r="AI176" s="159">
        <f t="shared" ref="AI176:BN176" si="41">AI9/AI$84</f>
        <v>0</v>
      </c>
      <c r="AJ176" s="159">
        <f t="shared" si="41"/>
        <v>9.3149045910917006E-7</v>
      </c>
      <c r="AK176" s="159">
        <f t="shared" si="41"/>
        <v>1.526539820239632E-7</v>
      </c>
      <c r="AL176" s="159">
        <f t="shared" si="41"/>
        <v>8.9892884898001058E-7</v>
      </c>
      <c r="AM176" s="159">
        <f t="shared" si="41"/>
        <v>3.6584104530612091E-7</v>
      </c>
      <c r="AN176" s="159">
        <f t="shared" si="41"/>
        <v>1.2687384621705257E-6</v>
      </c>
      <c r="AO176" s="159">
        <f t="shared" si="41"/>
        <v>4.448653677360011E-5</v>
      </c>
      <c r="AP176" s="159">
        <f t="shared" si="41"/>
        <v>0</v>
      </c>
      <c r="AQ176" s="159">
        <f t="shared" si="41"/>
        <v>8.0550734891978446E-4</v>
      </c>
      <c r="AR176" s="159">
        <f t="shared" si="41"/>
        <v>3.9318756961589556E-3</v>
      </c>
      <c r="AS176" s="159">
        <f t="shared" si="41"/>
        <v>0</v>
      </c>
      <c r="AT176" s="159">
        <f t="shared" si="41"/>
        <v>0</v>
      </c>
      <c r="AU176" s="159">
        <f t="shared" si="41"/>
        <v>0</v>
      </c>
      <c r="AV176" s="159">
        <f t="shared" si="41"/>
        <v>0</v>
      </c>
      <c r="AW176" s="159">
        <f t="shared" si="41"/>
        <v>0</v>
      </c>
      <c r="AX176" s="159">
        <f t="shared" si="41"/>
        <v>0</v>
      </c>
      <c r="AY176" s="159">
        <f t="shared" si="41"/>
        <v>0</v>
      </c>
      <c r="AZ176" s="159">
        <f t="shared" si="41"/>
        <v>0</v>
      </c>
      <c r="BA176" s="159">
        <f t="shared" si="41"/>
        <v>5.4634063772554618E-7</v>
      </c>
      <c r="BB176" s="159">
        <f t="shared" si="41"/>
        <v>5.113288943252809E-8</v>
      </c>
      <c r="BC176" s="159">
        <f t="shared" si="41"/>
        <v>0</v>
      </c>
      <c r="BD176" s="159">
        <f t="shared" si="41"/>
        <v>2.1057080636674985E-6</v>
      </c>
      <c r="BE176" s="159">
        <f t="shared" si="41"/>
        <v>0</v>
      </c>
      <c r="BF176" s="159">
        <f t="shared" si="41"/>
        <v>5.6459796737327183E-6</v>
      </c>
      <c r="BG176" s="159">
        <f t="shared" si="41"/>
        <v>1.9145712765423131E-7</v>
      </c>
      <c r="BH176" s="159">
        <f t="shared" si="41"/>
        <v>3.8266345652735517E-6</v>
      </c>
      <c r="BI176" s="159">
        <f t="shared" si="41"/>
        <v>0</v>
      </c>
      <c r="BJ176" s="159">
        <f t="shared" si="41"/>
        <v>0</v>
      </c>
      <c r="BK176" s="159">
        <f t="shared" si="41"/>
        <v>0</v>
      </c>
      <c r="BL176" s="159">
        <f t="shared" si="41"/>
        <v>4.1471727945464676E-6</v>
      </c>
      <c r="BM176" s="159">
        <f t="shared" si="41"/>
        <v>0</v>
      </c>
      <c r="BN176" s="159">
        <f t="shared" si="41"/>
        <v>5.3437693276004758E-6</v>
      </c>
      <c r="BO176" s="159">
        <f t="shared" ref="BO176:CA176" si="42">BO9/BO$84</f>
        <v>0</v>
      </c>
      <c r="BP176" s="159">
        <f t="shared" si="42"/>
        <v>9.1773795748006573E-8</v>
      </c>
      <c r="BQ176" s="159">
        <f t="shared" si="42"/>
        <v>3.952723250583713E-7</v>
      </c>
      <c r="BR176" s="159">
        <f t="shared" si="42"/>
        <v>0</v>
      </c>
      <c r="BS176" s="159">
        <f t="shared" si="42"/>
        <v>0</v>
      </c>
      <c r="BT176" s="159">
        <f t="shared" si="42"/>
        <v>7.3431885042383971E-7</v>
      </c>
      <c r="BU176" s="159">
        <f t="shared" si="42"/>
        <v>0</v>
      </c>
      <c r="BV176" s="159">
        <f t="shared" si="42"/>
        <v>0</v>
      </c>
      <c r="BW176" s="159">
        <f t="shared" si="42"/>
        <v>6.8373590563897511E-7</v>
      </c>
      <c r="BX176" s="159">
        <f t="shared" si="42"/>
        <v>8.4484224837661496E-6</v>
      </c>
      <c r="BY176" s="159">
        <f t="shared" si="42"/>
        <v>0</v>
      </c>
      <c r="BZ176" s="159">
        <f t="shared" si="42"/>
        <v>2.0193333215912841E-5</v>
      </c>
      <c r="CA176" s="118">
        <f t="shared" si="42"/>
        <v>0</v>
      </c>
      <c r="CB176" s="18"/>
      <c r="CC176" s="271"/>
      <c r="CD176" s="147">
        <f t="shared" si="21"/>
        <v>1.2343745747040653E-3</v>
      </c>
      <c r="CE176" s="148">
        <f t="shared" si="21"/>
        <v>0</v>
      </c>
      <c r="CF176" s="148">
        <f t="shared" si="21"/>
        <v>1.4355926630872291E-5</v>
      </c>
      <c r="CG176" s="119">
        <f t="shared" si="21"/>
        <v>7.8426250305322735E-3</v>
      </c>
      <c r="CH176" s="18"/>
      <c r="CI176" s="18"/>
      <c r="CJ176" s="18"/>
    </row>
    <row r="177" spans="1:88" ht="13.95" customHeight="1" x14ac:dyDescent="0.25">
      <c r="A177" s="8" t="s">
        <v>8</v>
      </c>
      <c r="B177" s="256"/>
      <c r="C177" s="22">
        <f t="shared" ref="C177:AH177" si="43">C10/C$84</f>
        <v>4.2185489051028478E-6</v>
      </c>
      <c r="D177" s="159">
        <f t="shared" si="43"/>
        <v>2.0609067450992862E-4</v>
      </c>
      <c r="E177" s="159">
        <f t="shared" si="43"/>
        <v>2.0982836040119184E-4</v>
      </c>
      <c r="F177" s="159">
        <f t="shared" si="43"/>
        <v>1.4074270285173587E-4</v>
      </c>
      <c r="G177" s="159">
        <f t="shared" si="43"/>
        <v>1.5617262479452397E-4</v>
      </c>
      <c r="H177" s="159">
        <f t="shared" si="43"/>
        <v>7.9835921696054044E-5</v>
      </c>
      <c r="I177" s="159">
        <f t="shared" si="43"/>
        <v>8.5305764446281637E-6</v>
      </c>
      <c r="J177" s="159">
        <f t="shared" si="43"/>
        <v>3.8959528913959577E-5</v>
      </c>
      <c r="K177" s="159">
        <f t="shared" si="43"/>
        <v>0.10329384473284615</v>
      </c>
      <c r="L177" s="159">
        <f t="shared" si="43"/>
        <v>0.1005173228699475</v>
      </c>
      <c r="M177" s="159">
        <f t="shared" si="43"/>
        <v>1.0506039317193351E-2</v>
      </c>
      <c r="N177" s="159">
        <f t="shared" si="43"/>
        <v>1.224689958966212E-4</v>
      </c>
      <c r="O177" s="159">
        <f t="shared" si="43"/>
        <v>3.0397684626910738E-4</v>
      </c>
      <c r="P177" s="159">
        <f t="shared" si="43"/>
        <v>1.8622689464041834E-4</v>
      </c>
      <c r="Q177" s="159">
        <f t="shared" si="43"/>
        <v>1.8495471260617804E-5</v>
      </c>
      <c r="R177" s="159">
        <f t="shared" si="43"/>
        <v>1.9924905799126135E-4</v>
      </c>
      <c r="S177" s="159">
        <f t="shared" si="43"/>
        <v>4.2804884326337831E-5</v>
      </c>
      <c r="T177" s="159">
        <f t="shared" si="43"/>
        <v>3.6850796255866827E-3</v>
      </c>
      <c r="U177" s="159">
        <f t="shared" si="43"/>
        <v>1.8065883810370437E-4</v>
      </c>
      <c r="V177" s="159">
        <f t="shared" si="43"/>
        <v>6.44261817694522E-6</v>
      </c>
      <c r="W177" s="159">
        <f t="shared" si="43"/>
        <v>4.1198444691098324E-5</v>
      </c>
      <c r="X177" s="159">
        <f t="shared" si="43"/>
        <v>2.9136416217965384E-5</v>
      </c>
      <c r="Y177" s="159">
        <f t="shared" si="43"/>
        <v>6.9981275387754748E-5</v>
      </c>
      <c r="Z177" s="159">
        <f t="shared" si="43"/>
        <v>2.8664090300659811E-4</v>
      </c>
      <c r="AA177" s="159">
        <f t="shared" si="43"/>
        <v>1.863611650187458E-3</v>
      </c>
      <c r="AB177" s="159">
        <f t="shared" si="43"/>
        <v>3.8091941334947055E-4</v>
      </c>
      <c r="AC177" s="159">
        <f t="shared" si="43"/>
        <v>9.661818156814727E-3</v>
      </c>
      <c r="AD177" s="159">
        <f t="shared" si="43"/>
        <v>3.7977300665256752E-4</v>
      </c>
      <c r="AE177" s="159">
        <f t="shared" si="43"/>
        <v>2.2952008504350659E-5</v>
      </c>
      <c r="AF177" s="159">
        <f t="shared" si="43"/>
        <v>1.9378435012658524E-5</v>
      </c>
      <c r="AG177" s="159">
        <f t="shared" si="43"/>
        <v>1.7625901261904369E-5</v>
      </c>
      <c r="AH177" s="159">
        <f t="shared" si="43"/>
        <v>2.2997759822667875E-4</v>
      </c>
      <c r="AI177" s="159">
        <f t="shared" ref="AI177:BN177" si="44">AI10/AI$84</f>
        <v>4.7427563482520584E-5</v>
      </c>
      <c r="AJ177" s="159">
        <f t="shared" si="44"/>
        <v>7.7452563826673653E-5</v>
      </c>
      <c r="AK177" s="159">
        <f t="shared" si="44"/>
        <v>2.413841090753918E-5</v>
      </c>
      <c r="AL177" s="159">
        <f t="shared" si="44"/>
        <v>6.9456281454279077E-4</v>
      </c>
      <c r="AM177" s="159">
        <f t="shared" si="44"/>
        <v>3.7462123039346782E-4</v>
      </c>
      <c r="AN177" s="159">
        <f t="shared" si="44"/>
        <v>7.4823691417252714E-5</v>
      </c>
      <c r="AO177" s="159">
        <f t="shared" si="44"/>
        <v>6.3538586783707223E-5</v>
      </c>
      <c r="AP177" s="159">
        <f t="shared" si="44"/>
        <v>3.2832473124084906E-5</v>
      </c>
      <c r="AQ177" s="159">
        <f t="shared" si="44"/>
        <v>1.2710368739974269E-3</v>
      </c>
      <c r="AR177" s="159">
        <f t="shared" si="44"/>
        <v>3.034128203639149E-4</v>
      </c>
      <c r="AS177" s="159">
        <f t="shared" si="44"/>
        <v>1.1679392176586222E-5</v>
      </c>
      <c r="AT177" s="159">
        <f t="shared" si="44"/>
        <v>1.415124306626726E-5</v>
      </c>
      <c r="AU177" s="159">
        <f t="shared" si="44"/>
        <v>3.3269850761430439E-7</v>
      </c>
      <c r="AV177" s="159">
        <f t="shared" si="44"/>
        <v>2.797963581983501E-6</v>
      </c>
      <c r="AW177" s="159">
        <f t="shared" si="44"/>
        <v>1.918292084268196E-6</v>
      </c>
      <c r="AX177" s="159">
        <f t="shared" si="44"/>
        <v>3.7331934502556759E-6</v>
      </c>
      <c r="AY177" s="159">
        <f t="shared" si="44"/>
        <v>9.2413558648485467E-6</v>
      </c>
      <c r="AZ177" s="159">
        <f t="shared" si="44"/>
        <v>1.0170898839315517E-5</v>
      </c>
      <c r="BA177" s="159">
        <f t="shared" si="44"/>
        <v>3.9733864561857905E-7</v>
      </c>
      <c r="BB177" s="159">
        <f t="shared" si="44"/>
        <v>2.3527520750141986E-5</v>
      </c>
      <c r="BC177" s="159">
        <f t="shared" si="44"/>
        <v>4.6463689091611792E-6</v>
      </c>
      <c r="BD177" s="159">
        <f t="shared" si="44"/>
        <v>2.9341833674055307E-6</v>
      </c>
      <c r="BE177" s="159">
        <f t="shared" si="44"/>
        <v>1.9199245442612913E-5</v>
      </c>
      <c r="BF177" s="159">
        <f t="shared" si="44"/>
        <v>2.3296607932434839E-4</v>
      </c>
      <c r="BG177" s="159">
        <f t="shared" si="44"/>
        <v>1.0870510247923578E-5</v>
      </c>
      <c r="BH177" s="159">
        <f t="shared" si="44"/>
        <v>1.0478465288312897E-4</v>
      </c>
      <c r="BI177" s="159">
        <f t="shared" si="44"/>
        <v>0</v>
      </c>
      <c r="BJ177" s="159">
        <f t="shared" si="44"/>
        <v>1.0925650427610252E-4</v>
      </c>
      <c r="BK177" s="159">
        <f t="shared" si="44"/>
        <v>2.192839213563877E-5</v>
      </c>
      <c r="BL177" s="159">
        <f t="shared" si="44"/>
        <v>1.8921475875118259E-5</v>
      </c>
      <c r="BM177" s="159">
        <f t="shared" si="44"/>
        <v>3.5283391202258136E-5</v>
      </c>
      <c r="BN177" s="159">
        <f t="shared" si="44"/>
        <v>1.1291616927016657E-4</v>
      </c>
      <c r="BO177" s="159">
        <f t="shared" ref="BO177:CA177" si="45">BO10/BO$84</f>
        <v>5.3271334141835165E-5</v>
      </c>
      <c r="BP177" s="159">
        <f t="shared" si="45"/>
        <v>1.4592867831167118E-4</v>
      </c>
      <c r="BQ177" s="159">
        <f t="shared" si="45"/>
        <v>1.1569727784816652E-5</v>
      </c>
      <c r="BR177" s="159">
        <f t="shared" si="45"/>
        <v>3.140500474116547E-5</v>
      </c>
      <c r="BS177" s="159">
        <f t="shared" si="45"/>
        <v>1.9113472433528626E-5</v>
      </c>
      <c r="BT177" s="159">
        <f t="shared" si="45"/>
        <v>7.7287059007109129E-5</v>
      </c>
      <c r="BU177" s="159">
        <f t="shared" si="45"/>
        <v>3.3956495155886013E-4</v>
      </c>
      <c r="BV177" s="159">
        <f t="shared" si="45"/>
        <v>2.6200222097267318E-5</v>
      </c>
      <c r="BW177" s="159">
        <f t="shared" si="45"/>
        <v>1.3674718112779503E-5</v>
      </c>
      <c r="BX177" s="159">
        <f t="shared" si="45"/>
        <v>2.0047488376722165E-3</v>
      </c>
      <c r="BY177" s="159">
        <f t="shared" si="45"/>
        <v>0</v>
      </c>
      <c r="BZ177" s="159">
        <f t="shared" si="45"/>
        <v>6.7058694054510559E-4</v>
      </c>
      <c r="CA177" s="118">
        <f t="shared" si="45"/>
        <v>0</v>
      </c>
      <c r="CB177" s="18"/>
      <c r="CC177" s="271"/>
      <c r="CD177" s="147">
        <f t="shared" si="21"/>
        <v>1.6257668961515304E-3</v>
      </c>
      <c r="CE177" s="148">
        <f t="shared" si="21"/>
        <v>1.8097223156196155E-5</v>
      </c>
      <c r="CF177" s="148">
        <f t="shared" si="21"/>
        <v>2.7952334486255968E-4</v>
      </c>
      <c r="CG177" s="119">
        <f t="shared" si="21"/>
        <v>7.1291648260527665E-3</v>
      </c>
      <c r="CH177" s="18"/>
      <c r="CI177" s="18"/>
      <c r="CJ177" s="18"/>
    </row>
    <row r="178" spans="1:88" ht="13.95" customHeight="1" x14ac:dyDescent="0.25">
      <c r="A178" s="8" t="s">
        <v>9</v>
      </c>
      <c r="B178" s="256"/>
      <c r="C178" s="22">
        <f t="shared" ref="C178:AH178" si="46">C11/C$84</f>
        <v>1.9780523091899298E-5</v>
      </c>
      <c r="D178" s="159">
        <f t="shared" si="46"/>
        <v>6.5215708384128341E-4</v>
      </c>
      <c r="E178" s="159">
        <f t="shared" si="46"/>
        <v>2.8281213793204113E-4</v>
      </c>
      <c r="F178" s="159">
        <f t="shared" si="46"/>
        <v>4.8259796388098878E-4</v>
      </c>
      <c r="G178" s="159">
        <f t="shared" si="46"/>
        <v>1.9443694960324297E-4</v>
      </c>
      <c r="H178" s="159">
        <f t="shared" si="46"/>
        <v>1.4619151220015834E-4</v>
      </c>
      <c r="I178" s="159">
        <f t="shared" si="46"/>
        <v>7.795494857378291E-5</v>
      </c>
      <c r="J178" s="159">
        <f t="shared" si="46"/>
        <v>2.9860906012314358E-4</v>
      </c>
      <c r="K178" s="159">
        <f t="shared" si="46"/>
        <v>6.0410698117856123E-4</v>
      </c>
      <c r="L178" s="159">
        <f t="shared" si="46"/>
        <v>2.9304330518599465E-2</v>
      </c>
      <c r="M178" s="159">
        <f t="shared" si="46"/>
        <v>7.3552506933916451E-4</v>
      </c>
      <c r="N178" s="159">
        <f t="shared" si="46"/>
        <v>2.6959407089873871E-4</v>
      </c>
      <c r="O178" s="159">
        <f t="shared" si="46"/>
        <v>1.1993351228673601E-4</v>
      </c>
      <c r="P178" s="159">
        <f t="shared" si="46"/>
        <v>4.1632454811439673E-5</v>
      </c>
      <c r="Q178" s="159">
        <f t="shared" si="46"/>
        <v>9.2406424486173909E-5</v>
      </c>
      <c r="R178" s="159">
        <f t="shared" si="46"/>
        <v>1.3479575023382542E-4</v>
      </c>
      <c r="S178" s="159">
        <f t="shared" si="46"/>
        <v>2.6336702944838408E-4</v>
      </c>
      <c r="T178" s="159">
        <f t="shared" si="46"/>
        <v>1.7178056878734986E-4</v>
      </c>
      <c r="U178" s="159">
        <f t="shared" si="46"/>
        <v>5.2458550547067025E-4</v>
      </c>
      <c r="V178" s="159">
        <f t="shared" si="46"/>
        <v>6.8232158457482588E-4</v>
      </c>
      <c r="W178" s="159">
        <f t="shared" si="46"/>
        <v>3.6121673180428777E-4</v>
      </c>
      <c r="X178" s="159">
        <f t="shared" si="46"/>
        <v>4.9867004755114246E-5</v>
      </c>
      <c r="Y178" s="159">
        <f t="shared" si="46"/>
        <v>3.1333507108938425E-4</v>
      </c>
      <c r="Z178" s="159">
        <f t="shared" si="46"/>
        <v>2.639554251825681E-4</v>
      </c>
      <c r="AA178" s="159">
        <f t="shared" si="46"/>
        <v>1.3102411736157961E-4</v>
      </c>
      <c r="AB178" s="159">
        <f t="shared" si="46"/>
        <v>7.4257956819053015E-4</v>
      </c>
      <c r="AC178" s="159">
        <f t="shared" si="46"/>
        <v>2.8985296142646291E-4</v>
      </c>
      <c r="AD178" s="159">
        <f t="shared" si="46"/>
        <v>3.7633095523275571E-4</v>
      </c>
      <c r="AE178" s="159">
        <f t="shared" si="46"/>
        <v>5.045304412118599E-4</v>
      </c>
      <c r="AF178" s="159">
        <f t="shared" si="46"/>
        <v>2.2778969171329984E-4</v>
      </c>
      <c r="AG178" s="159">
        <f t="shared" si="46"/>
        <v>2.5031227833746135E-4</v>
      </c>
      <c r="AH178" s="159">
        <f t="shared" si="46"/>
        <v>2.0148526109698111E-4</v>
      </c>
      <c r="AI178" s="159">
        <f t="shared" ref="AI178:BN178" si="47">AI11/AI$84</f>
        <v>5.0153285521745898E-4</v>
      </c>
      <c r="AJ178" s="159">
        <f t="shared" si="47"/>
        <v>1.93148307372053E-4</v>
      </c>
      <c r="AK178" s="159">
        <f t="shared" si="47"/>
        <v>3.263932953149863E-4</v>
      </c>
      <c r="AL178" s="159">
        <f t="shared" si="47"/>
        <v>2.4220120535479891E-4</v>
      </c>
      <c r="AM178" s="159">
        <f t="shared" si="47"/>
        <v>7.346610819811631E-5</v>
      </c>
      <c r="AN178" s="159">
        <f t="shared" si="47"/>
        <v>2.2562505245101878E-4</v>
      </c>
      <c r="AO178" s="159">
        <f t="shared" si="47"/>
        <v>1.9280674610228397E-4</v>
      </c>
      <c r="AP178" s="159">
        <f t="shared" si="47"/>
        <v>9.1247350103744343E-4</v>
      </c>
      <c r="AQ178" s="159">
        <f t="shared" si="47"/>
        <v>2.4639438462223129E-4</v>
      </c>
      <c r="AR178" s="159">
        <f t="shared" si="47"/>
        <v>2.4811903016719327E-4</v>
      </c>
      <c r="AS178" s="159">
        <f t="shared" si="47"/>
        <v>2.9005113021323397E-5</v>
      </c>
      <c r="AT178" s="159">
        <f t="shared" si="47"/>
        <v>3.729003093100426E-4</v>
      </c>
      <c r="AU178" s="159">
        <f t="shared" si="47"/>
        <v>4.1032815939097538E-6</v>
      </c>
      <c r="AV178" s="159">
        <f t="shared" si="47"/>
        <v>1.6556544832232947E-5</v>
      </c>
      <c r="AW178" s="159">
        <f t="shared" si="47"/>
        <v>1.8292285232128871E-5</v>
      </c>
      <c r="AX178" s="159">
        <f t="shared" si="47"/>
        <v>1.4549882165099044E-5</v>
      </c>
      <c r="AY178" s="159">
        <f t="shared" si="47"/>
        <v>2.6476102678581794E-4</v>
      </c>
      <c r="AZ178" s="159">
        <f t="shared" si="47"/>
        <v>0</v>
      </c>
      <c r="BA178" s="159">
        <f t="shared" si="47"/>
        <v>9.4367928334412522E-7</v>
      </c>
      <c r="BB178" s="159">
        <f t="shared" si="47"/>
        <v>1.5190942289286188E-4</v>
      </c>
      <c r="BC178" s="159">
        <f t="shared" si="47"/>
        <v>7.9138154323777509E-6</v>
      </c>
      <c r="BD178" s="159">
        <f t="shared" si="47"/>
        <v>3.0273868390760596E-5</v>
      </c>
      <c r="BE178" s="159">
        <f t="shared" si="47"/>
        <v>5.858924665586101E-5</v>
      </c>
      <c r="BF178" s="159">
        <f t="shared" si="47"/>
        <v>2.710533028610863E-4</v>
      </c>
      <c r="BG178" s="159">
        <f t="shared" si="47"/>
        <v>4.5034971027111965E-5</v>
      </c>
      <c r="BH178" s="159">
        <f t="shared" si="47"/>
        <v>8.7931177244583745E-6</v>
      </c>
      <c r="BI178" s="159">
        <f t="shared" si="47"/>
        <v>4.283524138322632E-5</v>
      </c>
      <c r="BJ178" s="159">
        <f t="shared" si="47"/>
        <v>7.837279435699739E-4</v>
      </c>
      <c r="BK178" s="159">
        <f t="shared" si="47"/>
        <v>1.2744905925642533E-4</v>
      </c>
      <c r="BL178" s="159">
        <f t="shared" si="47"/>
        <v>3.0023803043852034E-4</v>
      </c>
      <c r="BM178" s="159">
        <f t="shared" si="47"/>
        <v>1.7458513393117344E-3</v>
      </c>
      <c r="BN178" s="159">
        <f t="shared" si="47"/>
        <v>5.2190813766231315E-4</v>
      </c>
      <c r="BO178" s="159">
        <f t="shared" ref="BO178:CA178" si="48">BO11/BO$84</f>
        <v>8.1356023654790798E-5</v>
      </c>
      <c r="BP178" s="159">
        <f t="shared" si="48"/>
        <v>8.1271536285498335E-4</v>
      </c>
      <c r="BQ178" s="159">
        <f t="shared" si="48"/>
        <v>2.3983415398811988E-5</v>
      </c>
      <c r="BR178" s="159">
        <f t="shared" si="48"/>
        <v>1.0085371696318293E-4</v>
      </c>
      <c r="BS178" s="159">
        <f t="shared" si="48"/>
        <v>8.8640920322465323E-5</v>
      </c>
      <c r="BT178" s="159">
        <f t="shared" si="48"/>
        <v>1.9064753154128937E-4</v>
      </c>
      <c r="BU178" s="159">
        <f t="shared" si="48"/>
        <v>2.3675634904904514E-4</v>
      </c>
      <c r="BV178" s="159">
        <f t="shared" si="48"/>
        <v>2.9223324646952006E-5</v>
      </c>
      <c r="BW178" s="159">
        <f t="shared" si="48"/>
        <v>5.6634984623919046E-3</v>
      </c>
      <c r="BX178" s="159">
        <f t="shared" si="48"/>
        <v>8.0919402667682129E-4</v>
      </c>
      <c r="BY178" s="159">
        <f t="shared" si="48"/>
        <v>2.2292822766262875E-5</v>
      </c>
      <c r="BZ178" s="159">
        <f t="shared" si="48"/>
        <v>6.2739564449995871E-4</v>
      </c>
      <c r="CA178" s="118">
        <f t="shared" si="48"/>
        <v>0</v>
      </c>
      <c r="CB178" s="18"/>
      <c r="CC178" s="271"/>
      <c r="CD178" s="147">
        <f t="shared" si="21"/>
        <v>3.5028563740896997E-3</v>
      </c>
      <c r="CE178" s="148">
        <f t="shared" si="21"/>
        <v>1.4493878706379031E-4</v>
      </c>
      <c r="CF178" s="148">
        <f t="shared" si="21"/>
        <v>-1.4257552487529858E-3</v>
      </c>
      <c r="CG178" s="119">
        <f t="shared" si="21"/>
        <v>1.0709202048400595E-2</v>
      </c>
      <c r="CH178" s="18"/>
      <c r="CI178" s="18"/>
      <c r="CJ178" s="18"/>
    </row>
    <row r="179" spans="1:88" ht="13.95" customHeight="1" x14ac:dyDescent="0.25">
      <c r="A179" s="8" t="s">
        <v>10</v>
      </c>
      <c r="B179" s="256"/>
      <c r="C179" s="22">
        <f t="shared" ref="C179:AH179" si="49">C12/C$84</f>
        <v>6.3472636751893083E-6</v>
      </c>
      <c r="D179" s="159">
        <f t="shared" si="49"/>
        <v>8.9925736980512699E-5</v>
      </c>
      <c r="E179" s="159">
        <f t="shared" si="49"/>
        <v>9.1229721913561662E-5</v>
      </c>
      <c r="F179" s="159">
        <f t="shared" si="49"/>
        <v>3.3515322756012264E-4</v>
      </c>
      <c r="G179" s="159">
        <f t="shared" si="49"/>
        <v>1.1601201486254099E-4</v>
      </c>
      <c r="H179" s="159">
        <f t="shared" si="49"/>
        <v>2.880544776873053E-5</v>
      </c>
      <c r="I179" s="159">
        <f t="shared" si="49"/>
        <v>2.1644068957912949E-5</v>
      </c>
      <c r="J179" s="159">
        <f t="shared" si="49"/>
        <v>4.1137390778715083E-6</v>
      </c>
      <c r="K179" s="159">
        <f t="shared" si="49"/>
        <v>3.2317611230881069E-4</v>
      </c>
      <c r="L179" s="159">
        <f t="shared" si="49"/>
        <v>8.0915575010254788E-4</v>
      </c>
      <c r="M179" s="159">
        <f t="shared" si="49"/>
        <v>6.3791645246027345E-2</v>
      </c>
      <c r="N179" s="159">
        <f t="shared" si="49"/>
        <v>5.2845672732480914E-5</v>
      </c>
      <c r="O179" s="159">
        <f t="shared" si="49"/>
        <v>4.1734733728344437E-5</v>
      </c>
      <c r="P179" s="159">
        <f t="shared" si="49"/>
        <v>7.6102336752094022E-5</v>
      </c>
      <c r="Q179" s="159">
        <f t="shared" si="49"/>
        <v>3.8125851591877546E-5</v>
      </c>
      <c r="R179" s="159">
        <f t="shared" si="49"/>
        <v>9.0121607062773832E-6</v>
      </c>
      <c r="S179" s="159">
        <f t="shared" si="49"/>
        <v>6.2624509223420296E-6</v>
      </c>
      <c r="T179" s="159">
        <f t="shared" si="49"/>
        <v>2.8588962714628131E-5</v>
      </c>
      <c r="U179" s="159">
        <f t="shared" si="49"/>
        <v>4.2009968542240716E-5</v>
      </c>
      <c r="V179" s="159">
        <f t="shared" si="49"/>
        <v>1.8619166531371686E-5</v>
      </c>
      <c r="W179" s="159">
        <f t="shared" si="49"/>
        <v>1.7228815883097744E-5</v>
      </c>
      <c r="X179" s="159">
        <f t="shared" si="49"/>
        <v>1.6470878563762108E-6</v>
      </c>
      <c r="Y179" s="159">
        <f t="shared" si="49"/>
        <v>5.8787035335603406E-5</v>
      </c>
      <c r="Z179" s="159">
        <f t="shared" si="49"/>
        <v>2.86409418539006E-5</v>
      </c>
      <c r="AA179" s="159">
        <f t="shared" si="49"/>
        <v>2.7770273938819325E-4</v>
      </c>
      <c r="AB179" s="159">
        <f t="shared" si="49"/>
        <v>5.9424948950294387E-5</v>
      </c>
      <c r="AC179" s="159">
        <f t="shared" si="49"/>
        <v>2.0383573065745481E-3</v>
      </c>
      <c r="AD179" s="159">
        <f t="shared" si="49"/>
        <v>4.9106600255981537E-5</v>
      </c>
      <c r="AE179" s="159">
        <f t="shared" si="49"/>
        <v>1.4328673240856483E-5</v>
      </c>
      <c r="AF179" s="159">
        <f t="shared" si="49"/>
        <v>2.3837425319779859E-5</v>
      </c>
      <c r="AG179" s="159">
        <f t="shared" si="49"/>
        <v>6.8545171574072538E-5</v>
      </c>
      <c r="AH179" s="159">
        <f t="shared" si="49"/>
        <v>4.1405377993982625E-5</v>
      </c>
      <c r="AI179" s="159">
        <f t="shared" ref="AI179:BN179" si="50">AI12/AI$84</f>
        <v>3.925039736484462E-5</v>
      </c>
      <c r="AJ179" s="159">
        <f t="shared" si="50"/>
        <v>6.450426787955364E-5</v>
      </c>
      <c r="AK179" s="159">
        <f t="shared" si="50"/>
        <v>9.1210754259318014E-6</v>
      </c>
      <c r="AL179" s="159">
        <f t="shared" si="50"/>
        <v>7.916299532482565E-5</v>
      </c>
      <c r="AM179" s="159">
        <f t="shared" si="50"/>
        <v>8.3552868447270777E-5</v>
      </c>
      <c r="AN179" s="159">
        <f t="shared" si="50"/>
        <v>4.4507855298554975E-5</v>
      </c>
      <c r="AO179" s="159">
        <f t="shared" si="50"/>
        <v>3.3245827267636912E-5</v>
      </c>
      <c r="AP179" s="159">
        <f t="shared" si="50"/>
        <v>1.1972421093957579E-4</v>
      </c>
      <c r="AQ179" s="159">
        <f t="shared" si="50"/>
        <v>6.2145770764745819E-5</v>
      </c>
      <c r="AR179" s="159">
        <f t="shared" si="50"/>
        <v>1.3406536948939013E-6</v>
      </c>
      <c r="AS179" s="159">
        <f t="shared" si="50"/>
        <v>2.0110211694784223E-5</v>
      </c>
      <c r="AT179" s="159">
        <f t="shared" si="50"/>
        <v>4.5163541700852961E-7</v>
      </c>
      <c r="AU179" s="159">
        <f t="shared" si="50"/>
        <v>1.1089950253810146E-7</v>
      </c>
      <c r="AV179" s="159">
        <f t="shared" si="50"/>
        <v>1.3180489601079303E-6</v>
      </c>
      <c r="AW179" s="159">
        <f t="shared" si="50"/>
        <v>5.2524664212105378E-7</v>
      </c>
      <c r="AX179" s="159">
        <f t="shared" si="50"/>
        <v>9.5722908980914758E-7</v>
      </c>
      <c r="AY179" s="159">
        <f t="shared" si="50"/>
        <v>8.44705750952272E-6</v>
      </c>
      <c r="AZ179" s="159">
        <f t="shared" si="50"/>
        <v>0</v>
      </c>
      <c r="BA179" s="159">
        <f t="shared" si="50"/>
        <v>1.4900199210696713E-7</v>
      </c>
      <c r="BB179" s="159">
        <f t="shared" si="50"/>
        <v>3.4450784255165798E-6</v>
      </c>
      <c r="BC179" s="159">
        <f t="shared" si="50"/>
        <v>8.3934406100976143E-7</v>
      </c>
      <c r="BD179" s="159">
        <f t="shared" si="50"/>
        <v>3.141302193340039E-6</v>
      </c>
      <c r="BE179" s="159">
        <f t="shared" si="50"/>
        <v>2.0130664235603526E-6</v>
      </c>
      <c r="BF179" s="159">
        <f t="shared" si="50"/>
        <v>2.0547663730633827E-5</v>
      </c>
      <c r="BG179" s="159">
        <f t="shared" si="50"/>
        <v>1.7018411347042783E-6</v>
      </c>
      <c r="BH179" s="159">
        <f t="shared" si="50"/>
        <v>3.4195457817338122E-6</v>
      </c>
      <c r="BI179" s="159">
        <f t="shared" si="50"/>
        <v>0</v>
      </c>
      <c r="BJ179" s="159">
        <f t="shared" si="50"/>
        <v>3.8604637398881409E-5</v>
      </c>
      <c r="BK179" s="159">
        <f t="shared" si="50"/>
        <v>7.3094640452129229E-6</v>
      </c>
      <c r="BL179" s="159">
        <f t="shared" si="50"/>
        <v>4.3199716609859039E-7</v>
      </c>
      <c r="BM179" s="159">
        <f t="shared" si="50"/>
        <v>5.1936319203323921E-5</v>
      </c>
      <c r="BN179" s="159">
        <f t="shared" si="50"/>
        <v>5.1811328698039398E-5</v>
      </c>
      <c r="BO179" s="159">
        <f t="shared" ref="BO179:CA179" si="51">BO12/BO$84</f>
        <v>5.7960897681521936E-6</v>
      </c>
      <c r="BP179" s="159">
        <f t="shared" si="51"/>
        <v>5.0058434044367225E-6</v>
      </c>
      <c r="BQ179" s="159">
        <f t="shared" si="51"/>
        <v>1.0469375096140645E-6</v>
      </c>
      <c r="BR179" s="159">
        <f t="shared" si="51"/>
        <v>5.7899188277631318E-6</v>
      </c>
      <c r="BS179" s="159">
        <f t="shared" si="51"/>
        <v>5.1729122641201326E-6</v>
      </c>
      <c r="BT179" s="159">
        <f t="shared" si="51"/>
        <v>2.7904116316105906E-5</v>
      </c>
      <c r="BU179" s="159">
        <f t="shared" si="51"/>
        <v>2.6196422754904784E-5</v>
      </c>
      <c r="BV179" s="159">
        <f t="shared" si="51"/>
        <v>2.519252124737242E-6</v>
      </c>
      <c r="BW179" s="159">
        <f t="shared" si="51"/>
        <v>4.3987009929440731E-5</v>
      </c>
      <c r="BX179" s="159">
        <f t="shared" si="51"/>
        <v>3.9151226144282159E-5</v>
      </c>
      <c r="BY179" s="159">
        <f t="shared" si="51"/>
        <v>2.7219536597606969E-4</v>
      </c>
      <c r="BZ179" s="159">
        <f t="shared" si="51"/>
        <v>2.092253691537636E-5</v>
      </c>
      <c r="CA179" s="118">
        <f t="shared" si="51"/>
        <v>0</v>
      </c>
      <c r="CB179" s="18"/>
      <c r="CC179" s="271"/>
      <c r="CD179" s="147">
        <f t="shared" si="21"/>
        <v>1.4348082668656169E-3</v>
      </c>
      <c r="CE179" s="148">
        <f t="shared" si="21"/>
        <v>5.9564478884328765E-5</v>
      </c>
      <c r="CF179" s="148">
        <f t="shared" si="21"/>
        <v>3.3377955156002003E-5</v>
      </c>
      <c r="CG179" s="119">
        <f t="shared" si="21"/>
        <v>3.6941591293465762E-3</v>
      </c>
      <c r="CH179" s="18"/>
      <c r="CI179" s="18"/>
      <c r="CJ179" s="18"/>
    </row>
    <row r="180" spans="1:88" ht="13.95" customHeight="1" x14ac:dyDescent="0.25">
      <c r="A180" s="8" t="s">
        <v>11</v>
      </c>
      <c r="B180" s="256"/>
      <c r="C180" s="22">
        <f t="shared" ref="C180:AH180" si="52">C13/C$84</f>
        <v>1.8527983433116919E-3</v>
      </c>
      <c r="D180" s="159">
        <f t="shared" si="52"/>
        <v>1.0909859918291824E-2</v>
      </c>
      <c r="E180" s="159">
        <f t="shared" si="52"/>
        <v>2.5179403248143021E-4</v>
      </c>
      <c r="F180" s="159">
        <f t="shared" si="52"/>
        <v>3.2286788467017075E-3</v>
      </c>
      <c r="G180" s="159">
        <f t="shared" si="52"/>
        <v>1.1761708477044657E-3</v>
      </c>
      <c r="H180" s="159">
        <f t="shared" si="52"/>
        <v>4.7458392282728881E-4</v>
      </c>
      <c r="I180" s="159">
        <f t="shared" si="52"/>
        <v>7.1606929187594188E-4</v>
      </c>
      <c r="J180" s="159">
        <f t="shared" si="52"/>
        <v>1.9588657550217563E-4</v>
      </c>
      <c r="K180" s="159">
        <f t="shared" si="52"/>
        <v>1.4656564758747553E-3</v>
      </c>
      <c r="L180" s="159">
        <f t="shared" si="52"/>
        <v>6.8134735770832933E-4</v>
      </c>
      <c r="M180" s="159">
        <f t="shared" si="52"/>
        <v>2.7363076989011335E-3</v>
      </c>
      <c r="N180" s="159">
        <f t="shared" si="52"/>
        <v>0.16881831526843666</v>
      </c>
      <c r="O180" s="159">
        <f t="shared" si="52"/>
        <v>5.2243676516334119E-3</v>
      </c>
      <c r="P180" s="159">
        <f t="shared" si="52"/>
        <v>8.5801654181282482E-4</v>
      </c>
      <c r="Q180" s="159">
        <f t="shared" si="52"/>
        <v>2.0625199063494315E-4</v>
      </c>
      <c r="R180" s="159">
        <f t="shared" si="52"/>
        <v>1.0129311716600084E-3</v>
      </c>
      <c r="S180" s="159">
        <f t="shared" si="52"/>
        <v>2.3886777089504602E-4</v>
      </c>
      <c r="T180" s="159">
        <f t="shared" si="52"/>
        <v>1.7084015947315672E-3</v>
      </c>
      <c r="U180" s="159">
        <f t="shared" si="52"/>
        <v>5.89980490722356E-3</v>
      </c>
      <c r="V180" s="159">
        <f t="shared" si="52"/>
        <v>2.5778525980502061E-4</v>
      </c>
      <c r="W180" s="159">
        <f t="shared" si="52"/>
        <v>3.4187379878945941E-3</v>
      </c>
      <c r="X180" s="159">
        <f t="shared" si="52"/>
        <v>1.5958293463631235E-3</v>
      </c>
      <c r="Y180" s="159">
        <f t="shared" si="52"/>
        <v>3.5641907524071978E-3</v>
      </c>
      <c r="Z180" s="159">
        <f t="shared" si="52"/>
        <v>2.1593081577420182E-3</v>
      </c>
      <c r="AA180" s="159">
        <f t="shared" si="52"/>
        <v>1.479404901970024E-3</v>
      </c>
      <c r="AB180" s="159">
        <f t="shared" si="52"/>
        <v>5.7828880136625857E-3</v>
      </c>
      <c r="AC180" s="159">
        <f t="shared" si="52"/>
        <v>0.13386083782727939</v>
      </c>
      <c r="AD180" s="159">
        <f t="shared" si="52"/>
        <v>2.9751027242001227E-2</v>
      </c>
      <c r="AE180" s="159">
        <f t="shared" si="52"/>
        <v>4.6267677864510285E-4</v>
      </c>
      <c r="AF180" s="159">
        <f t="shared" si="52"/>
        <v>4.0541352627351888E-4</v>
      </c>
      <c r="AG180" s="159">
        <f t="shared" si="52"/>
        <v>1.5092177955505616E-4</v>
      </c>
      <c r="AH180" s="159">
        <f t="shared" si="52"/>
        <v>1.8308809882920021E-3</v>
      </c>
      <c r="AI180" s="159">
        <f t="shared" ref="AI180:BN180" si="53">AI13/AI$84</f>
        <v>2.7793279059967519E-4</v>
      </c>
      <c r="AJ180" s="159">
        <f t="shared" si="53"/>
        <v>1.4915036802566081E-2</v>
      </c>
      <c r="AK180" s="159">
        <f t="shared" si="53"/>
        <v>2.0070182286600563E-4</v>
      </c>
      <c r="AL180" s="159">
        <f t="shared" si="53"/>
        <v>2.9107602413045667E-3</v>
      </c>
      <c r="AM180" s="159">
        <f t="shared" si="53"/>
        <v>2.753074070843446E-3</v>
      </c>
      <c r="AN180" s="159">
        <f t="shared" si="53"/>
        <v>2.4903104562850839E-3</v>
      </c>
      <c r="AO180" s="159">
        <f t="shared" si="53"/>
        <v>4.2552753697574233E-4</v>
      </c>
      <c r="AP180" s="159">
        <f t="shared" si="53"/>
        <v>8.936722969154861E-4</v>
      </c>
      <c r="AQ180" s="159">
        <f t="shared" si="53"/>
        <v>9.169319966089765E-4</v>
      </c>
      <c r="AR180" s="159">
        <f t="shared" si="53"/>
        <v>4.4849770924792077E-4</v>
      </c>
      <c r="AS180" s="159">
        <f t="shared" si="53"/>
        <v>1.8485925365590113E-5</v>
      </c>
      <c r="AT180" s="159">
        <f t="shared" si="53"/>
        <v>1.8547161125150282E-4</v>
      </c>
      <c r="AU180" s="159">
        <f t="shared" si="53"/>
        <v>1.1089950253810146E-7</v>
      </c>
      <c r="AV180" s="159">
        <f t="shared" si="53"/>
        <v>1.4937888214556542E-4</v>
      </c>
      <c r="AW180" s="159">
        <f t="shared" si="53"/>
        <v>5.3575157496347481E-5</v>
      </c>
      <c r="AX180" s="159">
        <f t="shared" si="53"/>
        <v>1.0529519987900624E-6</v>
      </c>
      <c r="AY180" s="159">
        <f t="shared" si="53"/>
        <v>2.850156348466265E-4</v>
      </c>
      <c r="AZ180" s="159">
        <f t="shared" si="53"/>
        <v>0</v>
      </c>
      <c r="BA180" s="159">
        <f t="shared" si="53"/>
        <v>1.3410179289627042E-6</v>
      </c>
      <c r="BB180" s="159">
        <f t="shared" si="53"/>
        <v>3.3753395559417906E-3</v>
      </c>
      <c r="BC180" s="159">
        <f t="shared" si="53"/>
        <v>2.7218728835602265E-5</v>
      </c>
      <c r="BD180" s="159">
        <f t="shared" si="53"/>
        <v>1.3566283098710277E-4</v>
      </c>
      <c r="BE180" s="159">
        <f t="shared" si="53"/>
        <v>2.1518778694834694E-4</v>
      </c>
      <c r="BF180" s="159">
        <f t="shared" si="53"/>
        <v>3.1001981831422522E-4</v>
      </c>
      <c r="BG180" s="159">
        <f t="shared" si="53"/>
        <v>1.7082230389594196E-5</v>
      </c>
      <c r="BH180" s="159">
        <f t="shared" si="53"/>
        <v>1.1840584358036865E-3</v>
      </c>
      <c r="BI180" s="159">
        <f t="shared" si="53"/>
        <v>0</v>
      </c>
      <c r="BJ180" s="159">
        <f t="shared" si="53"/>
        <v>6.412808668960526E-4</v>
      </c>
      <c r="BK180" s="159">
        <f t="shared" si="53"/>
        <v>8.4292117287349035E-5</v>
      </c>
      <c r="BL180" s="159">
        <f t="shared" si="53"/>
        <v>3.3954977255349202E-5</v>
      </c>
      <c r="BM180" s="159">
        <f t="shared" si="53"/>
        <v>1.3218261600845969E-5</v>
      </c>
      <c r="BN180" s="159">
        <f t="shared" si="53"/>
        <v>2.5533149414733347E-3</v>
      </c>
      <c r="BO180" s="159">
        <f t="shared" ref="BO180:CA180" si="54">BO13/BO$84</f>
        <v>4.5609957302841266E-4</v>
      </c>
      <c r="BP180" s="159">
        <f t="shared" si="54"/>
        <v>6.6596906345392081E-4</v>
      </c>
      <c r="BQ180" s="159">
        <f t="shared" si="54"/>
        <v>1.8720951957629456E-4</v>
      </c>
      <c r="BR180" s="159">
        <f t="shared" si="54"/>
        <v>7.9199622638756416E-5</v>
      </c>
      <c r="BS180" s="159">
        <f t="shared" si="54"/>
        <v>2.216899772852162E-4</v>
      </c>
      <c r="BT180" s="159">
        <f t="shared" si="54"/>
        <v>4.3921446240975908E-4</v>
      </c>
      <c r="BU180" s="159">
        <f t="shared" si="54"/>
        <v>9.6877336980402608E-4</v>
      </c>
      <c r="BV180" s="159">
        <f t="shared" si="54"/>
        <v>6.5500555243168295E-6</v>
      </c>
      <c r="BW180" s="159">
        <f t="shared" si="54"/>
        <v>1.2154545282575516E-3</v>
      </c>
      <c r="BX180" s="159">
        <f t="shared" si="54"/>
        <v>4.8617580507799643E-3</v>
      </c>
      <c r="BY180" s="159">
        <f t="shared" si="54"/>
        <v>3.0789360616577865E-3</v>
      </c>
      <c r="BZ180" s="159">
        <f t="shared" si="54"/>
        <v>1.1380345581973546E-2</v>
      </c>
      <c r="CA180" s="118">
        <f t="shared" si="54"/>
        <v>0</v>
      </c>
      <c r="CB180" s="18"/>
      <c r="CC180" s="271"/>
      <c r="CD180" s="147">
        <f t="shared" si="21"/>
        <v>3.2918519072849227E-3</v>
      </c>
      <c r="CE180" s="148">
        <f t="shared" si="21"/>
        <v>0</v>
      </c>
      <c r="CF180" s="148">
        <f t="shared" si="21"/>
        <v>-7.320330511917868E-4</v>
      </c>
      <c r="CG180" s="119">
        <f t="shared" si="21"/>
        <v>1.4326686866582812E-2</v>
      </c>
      <c r="CH180" s="18"/>
      <c r="CI180" s="18"/>
      <c r="CJ180" s="18"/>
    </row>
    <row r="181" spans="1:88" ht="13.95" customHeight="1" x14ac:dyDescent="0.25">
      <c r="A181" s="8" t="s">
        <v>12</v>
      </c>
      <c r="B181" s="256"/>
      <c r="C181" s="22">
        <f t="shared" ref="C181:AH181" si="55">C14/C$84</f>
        <v>4.3806811533450498E-4</v>
      </c>
      <c r="D181" s="159">
        <f t="shared" si="55"/>
        <v>1.9013863073251594E-3</v>
      </c>
      <c r="E181" s="159">
        <f t="shared" si="55"/>
        <v>8.5938398042575092E-4</v>
      </c>
      <c r="F181" s="159">
        <f t="shared" si="55"/>
        <v>4.2903325023155525E-4</v>
      </c>
      <c r="G181" s="159">
        <f t="shared" si="55"/>
        <v>1.5537347606400559E-3</v>
      </c>
      <c r="H181" s="159">
        <f t="shared" si="55"/>
        <v>7.3176813290312115E-3</v>
      </c>
      <c r="I181" s="159">
        <f t="shared" si="55"/>
        <v>1.9431791008137172E-2</v>
      </c>
      <c r="J181" s="159">
        <f t="shared" si="55"/>
        <v>5.0443515519141169E-2</v>
      </c>
      <c r="K181" s="159">
        <f t="shared" si="55"/>
        <v>8.4644259564238631E-3</v>
      </c>
      <c r="L181" s="159">
        <f t="shared" si="55"/>
        <v>2.3290272785043012E-3</v>
      </c>
      <c r="M181" s="159">
        <f t="shared" si="55"/>
        <v>9.2425192177642626E-3</v>
      </c>
      <c r="N181" s="159">
        <f t="shared" si="55"/>
        <v>1.3681925272292629E-2</v>
      </c>
      <c r="O181" s="159">
        <f t="shared" si="55"/>
        <v>0.18353970445422879</v>
      </c>
      <c r="P181" s="159">
        <f t="shared" si="55"/>
        <v>0.11931675023623434</v>
      </c>
      <c r="Q181" s="159">
        <f t="shared" si="55"/>
        <v>9.427193127104159E-4</v>
      </c>
      <c r="R181" s="159">
        <f t="shared" si="55"/>
        <v>5.5233242749716709E-3</v>
      </c>
      <c r="S181" s="159">
        <f t="shared" si="55"/>
        <v>1.1200083792969703E-2</v>
      </c>
      <c r="T181" s="159">
        <f t="shared" si="55"/>
        <v>6.7065731870366444E-3</v>
      </c>
      <c r="U181" s="159">
        <f t="shared" si="55"/>
        <v>1.1212947791772159E-2</v>
      </c>
      <c r="V181" s="159">
        <f t="shared" si="55"/>
        <v>8.2248074301426914E-4</v>
      </c>
      <c r="W181" s="159">
        <f t="shared" si="55"/>
        <v>1.8729033865297025E-3</v>
      </c>
      <c r="X181" s="159">
        <f t="shared" si="55"/>
        <v>7.3514074720708561E-4</v>
      </c>
      <c r="Y181" s="159">
        <f t="shared" si="55"/>
        <v>3.8899120428135458E-3</v>
      </c>
      <c r="Z181" s="159">
        <f t="shared" si="55"/>
        <v>2.5525581800960521E-3</v>
      </c>
      <c r="AA181" s="159">
        <f t="shared" si="55"/>
        <v>1.3792060639062419E-3</v>
      </c>
      <c r="AB181" s="159">
        <f t="shared" si="55"/>
        <v>1.726575631192633E-3</v>
      </c>
      <c r="AC181" s="159">
        <f t="shared" si="55"/>
        <v>1.6270081166971772E-2</v>
      </c>
      <c r="AD181" s="159">
        <f t="shared" si="55"/>
        <v>1.0077255696767203E-2</v>
      </c>
      <c r="AE181" s="159">
        <f t="shared" si="55"/>
        <v>1.6754530686192975E-3</v>
      </c>
      <c r="AF181" s="159">
        <f t="shared" si="55"/>
        <v>3.6170123759674889E-4</v>
      </c>
      <c r="AG181" s="159">
        <f t="shared" si="55"/>
        <v>1.8382346191061097E-3</v>
      </c>
      <c r="AH181" s="159">
        <f t="shared" si="55"/>
        <v>5.1117866786561028E-3</v>
      </c>
      <c r="AI181" s="159">
        <f t="shared" ref="AI181:BN181" si="56">AI14/AI$84</f>
        <v>1.1837810816355569E-3</v>
      </c>
      <c r="AJ181" s="159">
        <f t="shared" si="56"/>
        <v>9.2126142102404575E-4</v>
      </c>
      <c r="AK181" s="159">
        <f t="shared" si="56"/>
        <v>1.9472923581931806E-3</v>
      </c>
      <c r="AL181" s="159">
        <f t="shared" si="56"/>
        <v>5.2963112826850097E-3</v>
      </c>
      <c r="AM181" s="159">
        <f t="shared" si="56"/>
        <v>3.0264514050987686E-3</v>
      </c>
      <c r="AN181" s="159">
        <f t="shared" si="56"/>
        <v>1.6466440079328159E-3</v>
      </c>
      <c r="AO181" s="159">
        <f t="shared" si="56"/>
        <v>6.0023483556842462E-4</v>
      </c>
      <c r="AP181" s="159">
        <f t="shared" si="56"/>
        <v>4.3022609701370259E-3</v>
      </c>
      <c r="AQ181" s="159">
        <f t="shared" si="56"/>
        <v>2.5499000030111186E-3</v>
      </c>
      <c r="AR181" s="159">
        <f t="shared" si="56"/>
        <v>5.2771726306790742E-3</v>
      </c>
      <c r="AS181" s="159">
        <f t="shared" si="56"/>
        <v>5.169940957191934E-2</v>
      </c>
      <c r="AT181" s="159">
        <f t="shared" si="56"/>
        <v>1.2309473835706478E-2</v>
      </c>
      <c r="AU181" s="159">
        <f t="shared" si="56"/>
        <v>1.9961910456858262E-5</v>
      </c>
      <c r="AV181" s="159">
        <f t="shared" si="56"/>
        <v>9.1276046670772507E-4</v>
      </c>
      <c r="AW181" s="159">
        <f t="shared" si="56"/>
        <v>6.7647200143086325E-4</v>
      </c>
      <c r="AX181" s="159">
        <f t="shared" si="56"/>
        <v>3.4660308112899429E-3</v>
      </c>
      <c r="AY181" s="159">
        <f t="shared" si="56"/>
        <v>2.0980780057196814E-3</v>
      </c>
      <c r="AZ181" s="159">
        <f t="shared" si="56"/>
        <v>9.3864787734602075E-3</v>
      </c>
      <c r="BA181" s="159">
        <f t="shared" si="56"/>
        <v>6.1879533975409406E-3</v>
      </c>
      <c r="BB181" s="159">
        <f t="shared" si="56"/>
        <v>1.8354214577917748E-3</v>
      </c>
      <c r="BC181" s="159">
        <f t="shared" si="56"/>
        <v>6.0933381171947938E-4</v>
      </c>
      <c r="BD181" s="159">
        <f t="shared" si="56"/>
        <v>1.0522326753559458E-3</v>
      </c>
      <c r="BE181" s="159">
        <f t="shared" si="56"/>
        <v>1.0534947464074125E-3</v>
      </c>
      <c r="BF181" s="159">
        <f t="shared" si="56"/>
        <v>6.2292741639599905E-3</v>
      </c>
      <c r="BG181" s="159">
        <f t="shared" si="56"/>
        <v>3.2281799023921782E-3</v>
      </c>
      <c r="BH181" s="159">
        <f t="shared" si="56"/>
        <v>1.905338342479397E-3</v>
      </c>
      <c r="BI181" s="159">
        <f t="shared" si="56"/>
        <v>3.187738893635447E-5</v>
      </c>
      <c r="BJ181" s="159">
        <f t="shared" si="56"/>
        <v>8.5723816774589266E-4</v>
      </c>
      <c r="BK181" s="159">
        <f t="shared" si="56"/>
        <v>4.7604828600844167E-4</v>
      </c>
      <c r="BL181" s="159">
        <f t="shared" si="56"/>
        <v>1.0371387963694959E-3</v>
      </c>
      <c r="BM181" s="159">
        <f t="shared" si="56"/>
        <v>1.0217612136653928E-3</v>
      </c>
      <c r="BN181" s="159">
        <f t="shared" si="56"/>
        <v>3.0996959937374122E-3</v>
      </c>
      <c r="BO181" s="159">
        <f t="shared" ref="BO181:CA181" si="57">BO14/BO$84</f>
        <v>4.2663277956437852E-2</v>
      </c>
      <c r="BP181" s="159">
        <f t="shared" si="57"/>
        <v>1.7867940878519843E-3</v>
      </c>
      <c r="BQ181" s="159">
        <f t="shared" si="57"/>
        <v>1.9046357228474807E-3</v>
      </c>
      <c r="BR181" s="159">
        <f t="shared" si="57"/>
        <v>8.0217152876026481E-4</v>
      </c>
      <c r="BS181" s="159">
        <f t="shared" si="57"/>
        <v>6.6191357860974473E-4</v>
      </c>
      <c r="BT181" s="159">
        <f t="shared" si="57"/>
        <v>6.265300221672503E-3</v>
      </c>
      <c r="BU181" s="159">
        <f t="shared" si="57"/>
        <v>1.0033724187255984E-2</v>
      </c>
      <c r="BV181" s="159">
        <f t="shared" si="57"/>
        <v>5.7937760364707089E-3</v>
      </c>
      <c r="BW181" s="159">
        <f t="shared" si="57"/>
        <v>5.0095050686482247E-4</v>
      </c>
      <c r="BX181" s="159">
        <f t="shared" si="57"/>
        <v>3.3256287841463082E-2</v>
      </c>
      <c r="BY181" s="159">
        <f t="shared" si="57"/>
        <v>2.0903236813832489E-4</v>
      </c>
      <c r="BZ181" s="159">
        <f t="shared" si="57"/>
        <v>3.7642616818152189E-3</v>
      </c>
      <c r="CA181" s="118">
        <f t="shared" si="57"/>
        <v>0</v>
      </c>
      <c r="CB181" s="18"/>
      <c r="CC181" s="271"/>
      <c r="CD181" s="147">
        <f t="shared" si="21"/>
        <v>1.6545515984338242E-3</v>
      </c>
      <c r="CE181" s="148">
        <f t="shared" si="21"/>
        <v>5.5697339154287878E-5</v>
      </c>
      <c r="CF181" s="148">
        <f t="shared" si="21"/>
        <v>1.5262637647380489E-3</v>
      </c>
      <c r="CG181" s="119">
        <f t="shared" si="21"/>
        <v>1.765042069094027E-2</v>
      </c>
      <c r="CH181" s="18"/>
      <c r="CI181" s="18"/>
      <c r="CJ181" s="18"/>
    </row>
    <row r="182" spans="1:88" ht="13.95" customHeight="1" x14ac:dyDescent="0.25">
      <c r="A182" s="8" t="s">
        <v>13</v>
      </c>
      <c r="B182" s="256"/>
      <c r="C182" s="22">
        <f t="shared" ref="C182:AH182" si="58">C15/C$84</f>
        <v>3.7150446809454115E-5</v>
      </c>
      <c r="D182" s="159">
        <f t="shared" si="58"/>
        <v>2.9228036637917365E-4</v>
      </c>
      <c r="E182" s="159">
        <f t="shared" si="58"/>
        <v>8.210674972220549E-5</v>
      </c>
      <c r="F182" s="159">
        <f t="shared" si="58"/>
        <v>1.3919607974347502E-6</v>
      </c>
      <c r="G182" s="159">
        <f t="shared" si="58"/>
        <v>1.4222138424479632E-4</v>
      </c>
      <c r="H182" s="159">
        <f t="shared" si="58"/>
        <v>3.1422157317381939E-4</v>
      </c>
      <c r="I182" s="159">
        <f t="shared" si="58"/>
        <v>1.0969504550472652E-3</v>
      </c>
      <c r="J182" s="159">
        <f t="shared" si="58"/>
        <v>6.8832534158855903E-4</v>
      </c>
      <c r="K182" s="159">
        <f t="shared" si="58"/>
        <v>7.0921314685494302E-4</v>
      </c>
      <c r="L182" s="159">
        <f t="shared" si="58"/>
        <v>4.7093563550027915E-4</v>
      </c>
      <c r="M182" s="159">
        <f t="shared" si="58"/>
        <v>1.0507776777987066E-3</v>
      </c>
      <c r="N182" s="159">
        <f t="shared" si="58"/>
        <v>2.2774155445533256E-4</v>
      </c>
      <c r="O182" s="159">
        <f t="shared" si="58"/>
        <v>6.7447333401379275E-3</v>
      </c>
      <c r="P182" s="159">
        <f t="shared" si="58"/>
        <v>4.9876576185713575E-2</v>
      </c>
      <c r="Q182" s="159">
        <f t="shared" si="58"/>
        <v>5.7862629648509969E-5</v>
      </c>
      <c r="R182" s="159">
        <f t="shared" si="58"/>
        <v>1.8930593810971505E-3</v>
      </c>
      <c r="S182" s="159">
        <f t="shared" si="58"/>
        <v>4.1852441241005817E-3</v>
      </c>
      <c r="T182" s="159">
        <f t="shared" si="58"/>
        <v>8.6434526800645815E-4</v>
      </c>
      <c r="U182" s="159">
        <f t="shared" si="58"/>
        <v>7.1878177640310049E-4</v>
      </c>
      <c r="V182" s="159">
        <f t="shared" si="58"/>
        <v>1.5526709806437978E-5</v>
      </c>
      <c r="W182" s="159">
        <f t="shared" si="58"/>
        <v>3.4643442842226507E-4</v>
      </c>
      <c r="X182" s="159">
        <f t="shared" si="58"/>
        <v>9.1498570228347434E-5</v>
      </c>
      <c r="Y182" s="159">
        <f t="shared" si="58"/>
        <v>5.8432896568521458E-4</v>
      </c>
      <c r="Z182" s="159">
        <f t="shared" si="58"/>
        <v>2.3619833311401932E-4</v>
      </c>
      <c r="AA182" s="159">
        <f t="shared" si="58"/>
        <v>2.6973787420166823E-4</v>
      </c>
      <c r="AB182" s="159">
        <f t="shared" si="58"/>
        <v>7.7966208786242667E-5</v>
      </c>
      <c r="AC182" s="159">
        <f t="shared" si="58"/>
        <v>1.8483639491042176E-4</v>
      </c>
      <c r="AD182" s="159">
        <f t="shared" si="58"/>
        <v>9.8174955496187384E-4</v>
      </c>
      <c r="AE182" s="159">
        <f t="shared" si="58"/>
        <v>1.0637624434891174E-4</v>
      </c>
      <c r="AF182" s="159">
        <f t="shared" si="58"/>
        <v>3.2655233785969901E-4</v>
      </c>
      <c r="AG182" s="159">
        <f t="shared" si="58"/>
        <v>2.7870956370386281E-4</v>
      </c>
      <c r="AH182" s="159">
        <f t="shared" si="58"/>
        <v>5.2065171646726389E-4</v>
      </c>
      <c r="AI182" s="159">
        <f t="shared" ref="AI182:BN182" si="59">AI15/AI$84</f>
        <v>1.7562735672741817E-4</v>
      </c>
      <c r="AJ182" s="159">
        <f t="shared" si="59"/>
        <v>2.3507405651450393E-4</v>
      </c>
      <c r="AK182" s="159">
        <f t="shared" si="59"/>
        <v>9.3179990627427142E-4</v>
      </c>
      <c r="AL182" s="159">
        <f t="shared" si="59"/>
        <v>7.4585443502006932E-3</v>
      </c>
      <c r="AM182" s="159">
        <f t="shared" si="59"/>
        <v>3.2762947075396127E-3</v>
      </c>
      <c r="AN182" s="159">
        <f t="shared" si="59"/>
        <v>5.5544604805406216E-4</v>
      </c>
      <c r="AO182" s="159">
        <f t="shared" si="59"/>
        <v>4.8258842675601317E-4</v>
      </c>
      <c r="AP182" s="159">
        <f t="shared" si="59"/>
        <v>2.5591688400819945E-4</v>
      </c>
      <c r="AQ182" s="159">
        <f t="shared" si="59"/>
        <v>5.1852255692506173E-4</v>
      </c>
      <c r="AR182" s="159">
        <f t="shared" si="59"/>
        <v>3.4588865328262654E-4</v>
      </c>
      <c r="AS182" s="159">
        <f t="shared" si="59"/>
        <v>7.2786590820229785E-2</v>
      </c>
      <c r="AT182" s="159">
        <f t="shared" si="59"/>
        <v>2.0244858657685345E-2</v>
      </c>
      <c r="AU182" s="159">
        <f t="shared" si="59"/>
        <v>1.9729021501528252E-4</v>
      </c>
      <c r="AV182" s="159">
        <f t="shared" si="59"/>
        <v>1.389732324605028E-3</v>
      </c>
      <c r="AW182" s="159">
        <f t="shared" si="59"/>
        <v>5.9620061242845004E-4</v>
      </c>
      <c r="AX182" s="159">
        <f t="shared" si="59"/>
        <v>2.0246352478553282E-3</v>
      </c>
      <c r="AY182" s="159">
        <f t="shared" si="59"/>
        <v>6.4458228032793037E-3</v>
      </c>
      <c r="AZ182" s="159">
        <f t="shared" si="59"/>
        <v>4.7609178925191523E-2</v>
      </c>
      <c r="BA182" s="159">
        <f t="shared" si="59"/>
        <v>3.9479567828662014E-3</v>
      </c>
      <c r="BB182" s="159">
        <f t="shared" si="59"/>
        <v>2.134350721025513E-4</v>
      </c>
      <c r="BC182" s="159">
        <f t="shared" si="59"/>
        <v>7.2384432290009681E-4</v>
      </c>
      <c r="BD182" s="159">
        <f t="shared" si="59"/>
        <v>2.5573997032263384E-3</v>
      </c>
      <c r="BE182" s="159">
        <f t="shared" si="59"/>
        <v>6.9159347667928654E-4</v>
      </c>
      <c r="BF182" s="159">
        <f t="shared" si="59"/>
        <v>2.8863451333691467E-3</v>
      </c>
      <c r="BG182" s="159">
        <f t="shared" si="59"/>
        <v>1.508526872911801E-2</v>
      </c>
      <c r="BH182" s="159">
        <f t="shared" si="59"/>
        <v>2.2201156734636653E-2</v>
      </c>
      <c r="BI182" s="159">
        <f t="shared" si="59"/>
        <v>6.2758609468447862E-5</v>
      </c>
      <c r="BJ182" s="159">
        <f t="shared" si="59"/>
        <v>2.7179615137322209E-3</v>
      </c>
      <c r="BK182" s="159">
        <f t="shared" si="59"/>
        <v>7.8856675406919422E-4</v>
      </c>
      <c r="BL182" s="159">
        <f t="shared" si="59"/>
        <v>8.0653870910606822E-4</v>
      </c>
      <c r="BM182" s="159">
        <f t="shared" si="59"/>
        <v>4.088293824261651E-4</v>
      </c>
      <c r="BN182" s="159">
        <f t="shared" si="59"/>
        <v>5.2485108308910754E-4</v>
      </c>
      <c r="BO182" s="159">
        <f t="shared" ref="BO182:CA182" si="60">BO15/BO$84</f>
        <v>2.026576441571832E-3</v>
      </c>
      <c r="BP182" s="159">
        <f t="shared" si="60"/>
        <v>2.2356513797831437E-3</v>
      </c>
      <c r="BQ182" s="159">
        <f t="shared" si="60"/>
        <v>7.554455359551405E-3</v>
      </c>
      <c r="BR182" s="159">
        <f t="shared" si="60"/>
        <v>7.5907553608939261E-4</v>
      </c>
      <c r="BS182" s="159">
        <f t="shared" si="60"/>
        <v>4.2224992311868742E-4</v>
      </c>
      <c r="BT182" s="159">
        <f t="shared" si="60"/>
        <v>1.0974028060159072E-2</v>
      </c>
      <c r="BU182" s="159">
        <f t="shared" si="60"/>
        <v>1.3104636915109257E-2</v>
      </c>
      <c r="BV182" s="159">
        <f t="shared" si="60"/>
        <v>7.4877211651440305E-3</v>
      </c>
      <c r="BW182" s="159">
        <f t="shared" si="60"/>
        <v>1.3510621495426149E-3</v>
      </c>
      <c r="BX182" s="159">
        <f t="shared" si="60"/>
        <v>1.9632691438677744E-2</v>
      </c>
      <c r="BY182" s="159">
        <f t="shared" si="60"/>
        <v>1.18895054753402E-5</v>
      </c>
      <c r="BZ182" s="159">
        <f t="shared" si="60"/>
        <v>1.0536432531325188E-3</v>
      </c>
      <c r="CA182" s="118">
        <f t="shared" si="60"/>
        <v>0</v>
      </c>
      <c r="CB182" s="18"/>
      <c r="CC182" s="271"/>
      <c r="CD182" s="147">
        <f t="shared" si="21"/>
        <v>4.0616350339562311E-3</v>
      </c>
      <c r="CE182" s="148">
        <f t="shared" si="21"/>
        <v>0</v>
      </c>
      <c r="CF182" s="148">
        <f t="shared" si="21"/>
        <v>7.2205372378290056E-6</v>
      </c>
      <c r="CG182" s="119">
        <f t="shared" si="21"/>
        <v>4.1058749282805367E-4</v>
      </c>
      <c r="CH182" s="18"/>
      <c r="CI182" s="18"/>
      <c r="CJ182" s="18"/>
    </row>
    <row r="183" spans="1:88" ht="13.95" customHeight="1" x14ac:dyDescent="0.25">
      <c r="A183" s="8" t="s">
        <v>14</v>
      </c>
      <c r="B183" s="256"/>
      <c r="C183" s="22">
        <f t="shared" ref="C183:AH183" si="61">C16/C$84</f>
        <v>1.3232460376890602E-2</v>
      </c>
      <c r="D183" s="159">
        <f t="shared" si="61"/>
        <v>3.7473401313715101E-3</v>
      </c>
      <c r="E183" s="159">
        <f t="shared" si="61"/>
        <v>4.1511348065108825E-2</v>
      </c>
      <c r="F183" s="159">
        <f t="shared" si="61"/>
        <v>2.2592039283402085E-3</v>
      </c>
      <c r="G183" s="159">
        <f t="shared" si="61"/>
        <v>1.4206832694556144E-2</v>
      </c>
      <c r="H183" s="159">
        <f t="shared" si="61"/>
        <v>1.5227878866692066E-3</v>
      </c>
      <c r="I183" s="159">
        <f t="shared" si="61"/>
        <v>9.1404219096058378E-3</v>
      </c>
      <c r="J183" s="159">
        <f t="shared" si="61"/>
        <v>1.7168811033822558E-3</v>
      </c>
      <c r="K183" s="159">
        <f t="shared" si="61"/>
        <v>2.0879289117321123E-3</v>
      </c>
      <c r="L183" s="159">
        <f t="shared" si="61"/>
        <v>2.172593969837963E-3</v>
      </c>
      <c r="M183" s="159">
        <f t="shared" si="61"/>
        <v>1.8893920875649353E-3</v>
      </c>
      <c r="N183" s="159">
        <f t="shared" si="61"/>
        <v>1.7376777449413943E-3</v>
      </c>
      <c r="O183" s="159">
        <f t="shared" si="61"/>
        <v>2.3892184815084466E-3</v>
      </c>
      <c r="P183" s="159">
        <f t="shared" si="61"/>
        <v>1.2569569286887531E-3</v>
      </c>
      <c r="Q183" s="159">
        <f t="shared" si="61"/>
        <v>1.3824345122443654E-2</v>
      </c>
      <c r="R183" s="159">
        <f t="shared" si="61"/>
        <v>9.3959657285671641E-3</v>
      </c>
      <c r="S183" s="159">
        <f t="shared" si="61"/>
        <v>4.7370279866867171E-3</v>
      </c>
      <c r="T183" s="159">
        <f t="shared" si="61"/>
        <v>3.3602617289012187E-3</v>
      </c>
      <c r="U183" s="159">
        <f t="shared" si="61"/>
        <v>1.027317441279039E-2</v>
      </c>
      <c r="V183" s="159">
        <f t="shared" si="61"/>
        <v>3.7773585780883981E-2</v>
      </c>
      <c r="W183" s="159">
        <f t="shared" si="61"/>
        <v>1.6096090917937581E-3</v>
      </c>
      <c r="X183" s="159">
        <f t="shared" si="61"/>
        <v>7.3428880521240829E-4</v>
      </c>
      <c r="Y183" s="159">
        <f t="shared" si="61"/>
        <v>2.0167252656917464E-3</v>
      </c>
      <c r="Z183" s="159">
        <f t="shared" si="61"/>
        <v>2.3168859480447424E-3</v>
      </c>
      <c r="AA183" s="159">
        <f t="shared" si="61"/>
        <v>5.1419668413071082E-4</v>
      </c>
      <c r="AB183" s="159">
        <f t="shared" si="61"/>
        <v>1.5164976666732553E-3</v>
      </c>
      <c r="AC183" s="159">
        <f t="shared" si="61"/>
        <v>1.6212314138998054E-3</v>
      </c>
      <c r="AD183" s="159">
        <f t="shared" si="61"/>
        <v>1.3134026827654726E-2</v>
      </c>
      <c r="AE183" s="159">
        <f t="shared" si="61"/>
        <v>1.9006614860310571E-3</v>
      </c>
      <c r="AF183" s="159">
        <f t="shared" si="61"/>
        <v>3.398592769253448E-3</v>
      </c>
      <c r="AG183" s="159">
        <f t="shared" si="61"/>
        <v>2.4125452352231604E-4</v>
      </c>
      <c r="AH183" s="159">
        <f t="shared" si="61"/>
        <v>1.8739436269960972E-2</v>
      </c>
      <c r="AI183" s="159">
        <f t="shared" ref="AI183:BN183" si="62">AI16/AI$84</f>
        <v>1.5842532493786716E-2</v>
      </c>
      <c r="AJ183" s="159">
        <f t="shared" si="62"/>
        <v>1.1154870173618511E-2</v>
      </c>
      <c r="AK183" s="159">
        <f t="shared" si="62"/>
        <v>6.3279845985870992E-3</v>
      </c>
      <c r="AL183" s="159">
        <f t="shared" si="62"/>
        <v>9.2313866332486526E-3</v>
      </c>
      <c r="AM183" s="159">
        <f t="shared" si="62"/>
        <v>2.5109761459617967E-3</v>
      </c>
      <c r="AN183" s="159">
        <f t="shared" si="62"/>
        <v>7.3186177225791391E-2</v>
      </c>
      <c r="AO183" s="159">
        <f t="shared" si="62"/>
        <v>2.3992818139228191E-2</v>
      </c>
      <c r="AP183" s="159">
        <f t="shared" si="62"/>
        <v>7.663776998964332E-3</v>
      </c>
      <c r="AQ183" s="159">
        <f t="shared" si="62"/>
        <v>6.288329581373619E-3</v>
      </c>
      <c r="AR183" s="159">
        <f t="shared" si="62"/>
        <v>4.0543329665828007E-3</v>
      </c>
      <c r="AS183" s="159">
        <f t="shared" si="62"/>
        <v>7.1948149686493397E-4</v>
      </c>
      <c r="AT183" s="159">
        <f t="shared" si="62"/>
        <v>1.2707515183229994E-3</v>
      </c>
      <c r="AU183" s="159">
        <f t="shared" si="62"/>
        <v>2.3854482995945626E-4</v>
      </c>
      <c r="AV183" s="159">
        <f t="shared" si="62"/>
        <v>1.0240315473399946E-3</v>
      </c>
      <c r="AW183" s="159">
        <f t="shared" si="62"/>
        <v>9.3509888064916469E-4</v>
      </c>
      <c r="AX183" s="159">
        <f t="shared" si="62"/>
        <v>1.0976545972841496E-3</v>
      </c>
      <c r="AY183" s="159">
        <f t="shared" si="62"/>
        <v>2.75876621269868E-3</v>
      </c>
      <c r="AZ183" s="159">
        <f t="shared" si="62"/>
        <v>3.6220714220690182E-2</v>
      </c>
      <c r="BA183" s="159">
        <f t="shared" si="62"/>
        <v>1.9098082001657002E-3</v>
      </c>
      <c r="BB183" s="159">
        <f t="shared" si="62"/>
        <v>1.3995263586018311E-3</v>
      </c>
      <c r="BC183" s="159">
        <f t="shared" si="62"/>
        <v>5.9560454100724824E-4</v>
      </c>
      <c r="BD183" s="159">
        <f t="shared" si="62"/>
        <v>1.3999161444913401E-3</v>
      </c>
      <c r="BE183" s="159">
        <f t="shared" si="62"/>
        <v>1.2631841579003632E-3</v>
      </c>
      <c r="BF183" s="159">
        <f t="shared" si="62"/>
        <v>1.4281551863228826E-3</v>
      </c>
      <c r="BG183" s="159">
        <f t="shared" si="62"/>
        <v>1.6851205455558089E-3</v>
      </c>
      <c r="BH183" s="159">
        <f t="shared" si="62"/>
        <v>2.5631123989229084E-3</v>
      </c>
      <c r="BI183" s="159">
        <f t="shared" si="62"/>
        <v>2.0956062664305528E-3</v>
      </c>
      <c r="BJ183" s="159">
        <f t="shared" si="62"/>
        <v>9.3488460307169161E-3</v>
      </c>
      <c r="BK183" s="159">
        <f t="shared" si="62"/>
        <v>2.7777518576925109E-3</v>
      </c>
      <c r="BL183" s="159">
        <f t="shared" si="62"/>
        <v>2.4405247901573765E-3</v>
      </c>
      <c r="BM183" s="159">
        <f t="shared" si="62"/>
        <v>1.1362813179127219E-2</v>
      </c>
      <c r="BN183" s="159">
        <f t="shared" si="62"/>
        <v>1.0548213423021919E-2</v>
      </c>
      <c r="BO183" s="159">
        <f t="shared" ref="BO183:CA183" si="63">BO16/BO$84</f>
        <v>2.2488301383178861E-3</v>
      </c>
      <c r="BP183" s="159">
        <f t="shared" si="63"/>
        <v>3.7155705807984758E-3</v>
      </c>
      <c r="BQ183" s="159">
        <f t="shared" si="63"/>
        <v>1.2750844224234314E-3</v>
      </c>
      <c r="BR183" s="159">
        <f t="shared" si="63"/>
        <v>1.3005592536149959E-3</v>
      </c>
      <c r="BS183" s="159">
        <f t="shared" si="63"/>
        <v>2.1882295642018691E-3</v>
      </c>
      <c r="BT183" s="159">
        <f t="shared" si="63"/>
        <v>1.9268526635121553E-3</v>
      </c>
      <c r="BU183" s="159">
        <f t="shared" si="63"/>
        <v>2.320113366255152E-3</v>
      </c>
      <c r="BV183" s="159">
        <f t="shared" si="63"/>
        <v>5.4264690766840195E-4</v>
      </c>
      <c r="BW183" s="159">
        <f t="shared" si="63"/>
        <v>2.7930611745352134E-3</v>
      </c>
      <c r="BX183" s="159">
        <f t="shared" si="63"/>
        <v>5.8160176732755999E-3</v>
      </c>
      <c r="BY183" s="159">
        <f t="shared" si="63"/>
        <v>6.0785096742676766E-4</v>
      </c>
      <c r="BZ183" s="159">
        <f t="shared" si="63"/>
        <v>5.028139970762297E-3</v>
      </c>
      <c r="CA183" s="118">
        <f t="shared" si="63"/>
        <v>0</v>
      </c>
      <c r="CB183" s="18"/>
      <c r="CC183" s="271"/>
      <c r="CD183" s="147">
        <f t="shared" si="21"/>
        <v>1.1028152208298623E-2</v>
      </c>
      <c r="CE183" s="148">
        <f t="shared" si="21"/>
        <v>1.3883619906706447E-4</v>
      </c>
      <c r="CF183" s="148">
        <f t="shared" si="21"/>
        <v>-1.0966778450081824E-2</v>
      </c>
      <c r="CG183" s="119">
        <f t="shared" si="21"/>
        <v>2.1854645344936481E-2</v>
      </c>
      <c r="CH183" s="18"/>
      <c r="CI183" s="18"/>
      <c r="CJ183" s="18"/>
    </row>
    <row r="184" spans="1:88" ht="13.95" customHeight="1" x14ac:dyDescent="0.25">
      <c r="A184" s="8" t="s">
        <v>15</v>
      </c>
      <c r="B184" s="256"/>
      <c r="C184" s="22">
        <f t="shared" ref="C184:AH184" si="64">C17/C$84</f>
        <v>3.9046694262456612E-2</v>
      </c>
      <c r="D184" s="159">
        <f t="shared" si="64"/>
        <v>4.5012392809173152E-3</v>
      </c>
      <c r="E184" s="159">
        <f t="shared" si="64"/>
        <v>3.9611945254868471E-3</v>
      </c>
      <c r="F184" s="159">
        <f t="shared" si="64"/>
        <v>3.3507589640470962E-3</v>
      </c>
      <c r="G184" s="159">
        <f t="shared" si="64"/>
        <v>2.7453467872053852E-3</v>
      </c>
      <c r="H184" s="159">
        <f t="shared" si="64"/>
        <v>2.413077190963227E-3</v>
      </c>
      <c r="I184" s="159">
        <f t="shared" si="64"/>
        <v>3.7797713714762026E-3</v>
      </c>
      <c r="J184" s="159">
        <f t="shared" si="64"/>
        <v>2.2872389272965581E-3</v>
      </c>
      <c r="K184" s="159">
        <f t="shared" si="64"/>
        <v>7.6428404620210192E-3</v>
      </c>
      <c r="L184" s="159">
        <f t="shared" si="64"/>
        <v>2.1425563953602058E-3</v>
      </c>
      <c r="M184" s="159">
        <f t="shared" si="64"/>
        <v>1.7055301253500743E-2</v>
      </c>
      <c r="N184" s="159">
        <f t="shared" si="64"/>
        <v>1.0801430408556989E-2</v>
      </c>
      <c r="O184" s="159">
        <f t="shared" si="64"/>
        <v>1.6836075392339438E-2</v>
      </c>
      <c r="P184" s="159">
        <f t="shared" si="64"/>
        <v>1.2918371663667961E-2</v>
      </c>
      <c r="Q184" s="159">
        <f t="shared" si="64"/>
        <v>8.1519986555583426E-3</v>
      </c>
      <c r="R184" s="159">
        <f t="shared" si="64"/>
        <v>0.10024178764624908</v>
      </c>
      <c r="S184" s="159">
        <f t="shared" si="64"/>
        <v>6.4222466480747574E-3</v>
      </c>
      <c r="T184" s="159">
        <f t="shared" si="64"/>
        <v>5.1417827456270868E-2</v>
      </c>
      <c r="U184" s="159">
        <f t="shared" si="64"/>
        <v>1.4776786800867218E-2</v>
      </c>
      <c r="V184" s="159">
        <f t="shared" si="64"/>
        <v>2.5367486940812956E-3</v>
      </c>
      <c r="W184" s="159">
        <f t="shared" si="64"/>
        <v>6.3762103023797577E-3</v>
      </c>
      <c r="X184" s="159">
        <f t="shared" si="64"/>
        <v>3.0809914276176591E-3</v>
      </c>
      <c r="Y184" s="159">
        <f t="shared" si="64"/>
        <v>7.7923312303767173E-3</v>
      </c>
      <c r="Z184" s="159">
        <f t="shared" si="64"/>
        <v>4.281221051946651E-3</v>
      </c>
      <c r="AA184" s="159">
        <f t="shared" si="64"/>
        <v>5.9371939938411156E-3</v>
      </c>
      <c r="AB184" s="159">
        <f t="shared" si="64"/>
        <v>5.7975436336240296E-3</v>
      </c>
      <c r="AC184" s="159">
        <f t="shared" si="64"/>
        <v>9.3188801465807804E-3</v>
      </c>
      <c r="AD184" s="159">
        <f t="shared" si="64"/>
        <v>1.079626199335011E-2</v>
      </c>
      <c r="AE184" s="159">
        <f t="shared" si="64"/>
        <v>2.9407750858430159E-3</v>
      </c>
      <c r="AF184" s="159">
        <f t="shared" si="64"/>
        <v>6.4934600396945874E-4</v>
      </c>
      <c r="AG184" s="159">
        <f t="shared" si="64"/>
        <v>7.5770567070532367E-3</v>
      </c>
      <c r="AH184" s="159">
        <f t="shared" si="64"/>
        <v>2.9736066855047196E-3</v>
      </c>
      <c r="AI184" s="159">
        <f t="shared" ref="AI184:BN184" si="65">AI17/AI$84</f>
        <v>4.6616206888844512E-3</v>
      </c>
      <c r="AJ184" s="159">
        <f t="shared" si="65"/>
        <v>3.4619739689321261E-3</v>
      </c>
      <c r="AK184" s="159">
        <f t="shared" si="65"/>
        <v>3.4980659980791166E-3</v>
      </c>
      <c r="AL184" s="159">
        <f t="shared" si="65"/>
        <v>3.5629130814244596E-3</v>
      </c>
      <c r="AM184" s="159">
        <f t="shared" si="65"/>
        <v>1.2521536931679655E-3</v>
      </c>
      <c r="AN184" s="159">
        <f t="shared" si="65"/>
        <v>1.118383391048076E-3</v>
      </c>
      <c r="AO184" s="159">
        <f t="shared" si="65"/>
        <v>3.4627100893369676E-4</v>
      </c>
      <c r="AP184" s="159">
        <f t="shared" si="65"/>
        <v>5.9337528663422172E-4</v>
      </c>
      <c r="AQ184" s="159">
        <f t="shared" si="65"/>
        <v>3.7326593733928819E-3</v>
      </c>
      <c r="AR184" s="159">
        <f t="shared" si="65"/>
        <v>2.130854601986731E-3</v>
      </c>
      <c r="AS184" s="159">
        <f t="shared" si="65"/>
        <v>1.6802855340672788E-3</v>
      </c>
      <c r="AT184" s="159">
        <f t="shared" si="65"/>
        <v>5.9295213899049851E-3</v>
      </c>
      <c r="AU184" s="159">
        <f t="shared" si="65"/>
        <v>6.9866686599003921E-6</v>
      </c>
      <c r="AV184" s="159">
        <f t="shared" si="65"/>
        <v>5.0062736818134544E-5</v>
      </c>
      <c r="AW184" s="159">
        <f t="shared" si="65"/>
        <v>7.3214814549569485E-5</v>
      </c>
      <c r="AX184" s="159">
        <f t="shared" si="65"/>
        <v>4.0155760317493744E-4</v>
      </c>
      <c r="AY184" s="159">
        <f t="shared" si="65"/>
        <v>9.9262854466333544E-4</v>
      </c>
      <c r="AZ184" s="159">
        <f t="shared" si="65"/>
        <v>8.3972958185753725E-5</v>
      </c>
      <c r="BA184" s="159">
        <f t="shared" si="65"/>
        <v>2.9015654596296735E-4</v>
      </c>
      <c r="BB184" s="159">
        <f t="shared" si="65"/>
        <v>3.5905642791744805E-3</v>
      </c>
      <c r="BC184" s="159">
        <f t="shared" si="65"/>
        <v>5.2851696927368229E-4</v>
      </c>
      <c r="BD184" s="159">
        <f t="shared" si="65"/>
        <v>2.6117683950341466E-4</v>
      </c>
      <c r="BE184" s="159">
        <f t="shared" si="65"/>
        <v>9.3421304936958268E-4</v>
      </c>
      <c r="BF184" s="159">
        <f t="shared" si="65"/>
        <v>8.9797918355061408E-3</v>
      </c>
      <c r="BG184" s="159">
        <f t="shared" si="65"/>
        <v>5.0127730622714515E-4</v>
      </c>
      <c r="BH184" s="159">
        <f t="shared" si="65"/>
        <v>1.0443455652928478E-3</v>
      </c>
      <c r="BI184" s="159">
        <f t="shared" si="65"/>
        <v>5.3600501271941024E-3</v>
      </c>
      <c r="BJ184" s="159">
        <f t="shared" si="65"/>
        <v>9.5603644708205438E-4</v>
      </c>
      <c r="BK184" s="159">
        <f t="shared" si="65"/>
        <v>2.9362272590131914E-4</v>
      </c>
      <c r="BL184" s="159">
        <f t="shared" si="65"/>
        <v>1.9085634798235725E-4</v>
      </c>
      <c r="BM184" s="159">
        <f t="shared" si="65"/>
        <v>1.6001382193024088E-3</v>
      </c>
      <c r="BN184" s="159">
        <f t="shared" si="65"/>
        <v>1.9224093987144284E-2</v>
      </c>
      <c r="BO184" s="159">
        <f t="shared" ref="BO184:CA184" si="66">BO17/BO$84</f>
        <v>1.6059910913046429E-3</v>
      </c>
      <c r="BP184" s="159">
        <f t="shared" si="66"/>
        <v>4.2431197310473803E-4</v>
      </c>
      <c r="BQ184" s="159">
        <f t="shared" si="66"/>
        <v>4.4718119607076661E-4</v>
      </c>
      <c r="BR184" s="159">
        <f t="shared" si="66"/>
        <v>3.5560913492772273E-3</v>
      </c>
      <c r="BS184" s="159">
        <f t="shared" si="66"/>
        <v>9.7250750565458489E-4</v>
      </c>
      <c r="BT184" s="159">
        <f t="shared" si="66"/>
        <v>6.5657284213521563E-4</v>
      </c>
      <c r="BU184" s="159">
        <f t="shared" si="66"/>
        <v>3.390706794314091E-4</v>
      </c>
      <c r="BV184" s="159">
        <f t="shared" si="66"/>
        <v>9.8754683289699883E-5</v>
      </c>
      <c r="BW184" s="159">
        <f t="shared" si="66"/>
        <v>1.1105010667419688E-3</v>
      </c>
      <c r="BX184" s="159">
        <f t="shared" si="66"/>
        <v>7.4061756319883654E-3</v>
      </c>
      <c r="BY184" s="159">
        <f t="shared" si="66"/>
        <v>4.3092026407186138E-4</v>
      </c>
      <c r="BZ184" s="159">
        <f t="shared" si="66"/>
        <v>5.49780324580907E-3</v>
      </c>
      <c r="CA184" s="118">
        <f t="shared" si="66"/>
        <v>0</v>
      </c>
      <c r="CB184" s="18"/>
      <c r="CC184" s="271"/>
      <c r="CD184" s="147">
        <f t="shared" si="21"/>
        <v>4.5772355672242309E-3</v>
      </c>
      <c r="CE184" s="148">
        <f t="shared" si="21"/>
        <v>1.0344366563704252E-5</v>
      </c>
      <c r="CF184" s="148">
        <f t="shared" si="21"/>
        <v>-4.1913175117322518E-4</v>
      </c>
      <c r="CG184" s="119">
        <f t="shared" si="21"/>
        <v>4.2527987483740544E-2</v>
      </c>
      <c r="CH184" s="18"/>
      <c r="CI184" s="18"/>
      <c r="CJ184" s="18"/>
    </row>
    <row r="185" spans="1:88" ht="13.95" customHeight="1" x14ac:dyDescent="0.25">
      <c r="A185" s="8" t="s">
        <v>16</v>
      </c>
      <c r="B185" s="256"/>
      <c r="C185" s="22">
        <f t="shared" ref="C185:AH185" si="67">C18/C$84</f>
        <v>9.1107048127946988E-5</v>
      </c>
      <c r="D185" s="159">
        <f t="shared" si="67"/>
        <v>8.7753617729775672E-6</v>
      </c>
      <c r="E185" s="159">
        <f t="shared" si="67"/>
        <v>5.455537370430987E-4</v>
      </c>
      <c r="F185" s="159">
        <f t="shared" si="67"/>
        <v>3.8150036670433899E-6</v>
      </c>
      <c r="G185" s="159">
        <f t="shared" si="67"/>
        <v>2.4922604477183355E-5</v>
      </c>
      <c r="H185" s="159">
        <f t="shared" si="67"/>
        <v>1.0757469188193534E-4</v>
      </c>
      <c r="I185" s="159">
        <f t="shared" si="67"/>
        <v>8.2129485982856272E-6</v>
      </c>
      <c r="J185" s="159">
        <f t="shared" si="67"/>
        <v>2.4198465163950044E-7</v>
      </c>
      <c r="K185" s="159">
        <f t="shared" si="67"/>
        <v>6.1475278252520434E-4</v>
      </c>
      <c r="L185" s="159">
        <f t="shared" si="67"/>
        <v>2.3197334745198467E-5</v>
      </c>
      <c r="M185" s="159">
        <f t="shared" si="67"/>
        <v>4.440177583937214E-6</v>
      </c>
      <c r="N185" s="159">
        <f t="shared" si="67"/>
        <v>4.9730945117243057E-7</v>
      </c>
      <c r="O185" s="159">
        <f t="shared" si="67"/>
        <v>5.0172903935714622E-6</v>
      </c>
      <c r="P185" s="159">
        <f t="shared" si="67"/>
        <v>4.2527776420287841E-6</v>
      </c>
      <c r="Q185" s="159">
        <f t="shared" si="67"/>
        <v>1.9151590567082674E-6</v>
      </c>
      <c r="R185" s="159">
        <f t="shared" si="67"/>
        <v>9.2264597752170815E-4</v>
      </c>
      <c r="S185" s="159">
        <f t="shared" si="67"/>
        <v>0.12632127391740117</v>
      </c>
      <c r="T185" s="159">
        <f t="shared" si="67"/>
        <v>8.9858448005360016E-5</v>
      </c>
      <c r="U185" s="159">
        <f t="shared" si="67"/>
        <v>1.7111474829230177E-5</v>
      </c>
      <c r="V185" s="159">
        <f t="shared" si="67"/>
        <v>5.3151599959798062E-7</v>
      </c>
      <c r="W185" s="159">
        <f t="shared" si="67"/>
        <v>1.6175886452255343E-5</v>
      </c>
      <c r="X185" s="159">
        <f t="shared" si="67"/>
        <v>7.3550992207144581E-6</v>
      </c>
      <c r="Y185" s="159">
        <f t="shared" si="67"/>
        <v>2.902210383891088E-6</v>
      </c>
      <c r="Z185" s="159">
        <f t="shared" si="67"/>
        <v>2.3548283566873452E-5</v>
      </c>
      <c r="AA185" s="159">
        <f t="shared" si="67"/>
        <v>2.3215705479802227E-4</v>
      </c>
      <c r="AB185" s="159">
        <f t="shared" si="67"/>
        <v>4.857049843129961E-6</v>
      </c>
      <c r="AC185" s="159">
        <f t="shared" si="67"/>
        <v>4.093904488348793E-6</v>
      </c>
      <c r="AD185" s="159">
        <f t="shared" si="67"/>
        <v>1.0280260240504547E-4</v>
      </c>
      <c r="AE185" s="159">
        <f t="shared" si="67"/>
        <v>6.5981580425220584E-6</v>
      </c>
      <c r="AF185" s="159">
        <f t="shared" si="67"/>
        <v>9.5739752121094269E-7</v>
      </c>
      <c r="AG185" s="159">
        <f t="shared" si="67"/>
        <v>1.1750600841269578E-5</v>
      </c>
      <c r="AH185" s="159">
        <f t="shared" si="67"/>
        <v>1.3540395076315025E-5</v>
      </c>
      <c r="AI185" s="159">
        <f t="shared" ref="AI185:BN185" si="68">AI18/AI$84</f>
        <v>3.0618944240631103E-5</v>
      </c>
      <c r="AJ185" s="159">
        <f t="shared" si="68"/>
        <v>2.9593625455549099E-6</v>
      </c>
      <c r="AK185" s="159">
        <f t="shared" si="68"/>
        <v>2.3279732258654387E-6</v>
      </c>
      <c r="AL185" s="159">
        <f t="shared" si="68"/>
        <v>1.0502008247128251E-4</v>
      </c>
      <c r="AM185" s="159">
        <f t="shared" si="68"/>
        <v>4.4313803187865698E-5</v>
      </c>
      <c r="AN185" s="159">
        <f t="shared" si="68"/>
        <v>8.8365402440620544E-6</v>
      </c>
      <c r="AO185" s="159">
        <f t="shared" si="68"/>
        <v>1.0135690605376984E-4</v>
      </c>
      <c r="AP185" s="159">
        <f t="shared" si="68"/>
        <v>4.3579334245648226E-5</v>
      </c>
      <c r="AQ185" s="159">
        <f t="shared" si="68"/>
        <v>9.0996795612840212E-5</v>
      </c>
      <c r="AR185" s="159">
        <f t="shared" si="68"/>
        <v>2.1581254600731094E-5</v>
      </c>
      <c r="AS185" s="159">
        <f t="shared" si="68"/>
        <v>7.7346968056862395E-8</v>
      </c>
      <c r="AT185" s="159">
        <f t="shared" si="68"/>
        <v>2.8603576410540205E-6</v>
      </c>
      <c r="AU185" s="159">
        <f t="shared" si="68"/>
        <v>0</v>
      </c>
      <c r="AV185" s="159">
        <f t="shared" si="68"/>
        <v>3.931023214356985E-7</v>
      </c>
      <c r="AW185" s="159">
        <f t="shared" si="68"/>
        <v>2.3932977432298447E-5</v>
      </c>
      <c r="AX185" s="159">
        <f t="shared" si="68"/>
        <v>9.2946944620468232E-5</v>
      </c>
      <c r="AY185" s="159">
        <f t="shared" si="68"/>
        <v>1.4052970901918451E-6</v>
      </c>
      <c r="AZ185" s="159">
        <f t="shared" si="68"/>
        <v>2.5217104560286405E-6</v>
      </c>
      <c r="BA185" s="159">
        <f t="shared" si="68"/>
        <v>5.6620757000647513E-6</v>
      </c>
      <c r="BB185" s="159">
        <f t="shared" si="68"/>
        <v>1.0865739004412219E-7</v>
      </c>
      <c r="BC185" s="159">
        <f t="shared" si="68"/>
        <v>9.4426206863598161E-6</v>
      </c>
      <c r="BD185" s="159">
        <f t="shared" si="68"/>
        <v>5.6923157327667296E-5</v>
      </c>
      <c r="BE185" s="159">
        <f t="shared" si="68"/>
        <v>3.3170527337472079E-5</v>
      </c>
      <c r="BF185" s="159">
        <f t="shared" si="68"/>
        <v>1.5114102472494823E-3</v>
      </c>
      <c r="BG185" s="159">
        <f t="shared" si="68"/>
        <v>8.0263082515490535E-5</v>
      </c>
      <c r="BH185" s="159">
        <f t="shared" si="68"/>
        <v>8.1417756707947913E-7</v>
      </c>
      <c r="BI185" s="159">
        <f t="shared" si="68"/>
        <v>3.812402894334093E-2</v>
      </c>
      <c r="BJ185" s="159">
        <f t="shared" si="68"/>
        <v>3.7225900348921357E-5</v>
      </c>
      <c r="BK185" s="159">
        <f t="shared" si="68"/>
        <v>6.2208204640109982E-6</v>
      </c>
      <c r="BL185" s="159">
        <f t="shared" si="68"/>
        <v>4.5618900740011145E-5</v>
      </c>
      <c r="BM185" s="159">
        <f t="shared" si="68"/>
        <v>2.1336564001365539E-5</v>
      </c>
      <c r="BN185" s="159">
        <f t="shared" si="68"/>
        <v>1.8044902222187113E-4</v>
      </c>
      <c r="BO185" s="159">
        <f t="shared" ref="BO185:CA185" si="69">BO18/BO$84</f>
        <v>6.1122401191423135E-6</v>
      </c>
      <c r="BP185" s="159">
        <f t="shared" si="69"/>
        <v>2.8043569058888593E-4</v>
      </c>
      <c r="BQ185" s="159">
        <f t="shared" si="69"/>
        <v>1.0245031344080488E-4</v>
      </c>
      <c r="BR185" s="159">
        <f t="shared" si="69"/>
        <v>7.1625640864693358E-3</v>
      </c>
      <c r="BS185" s="159">
        <f t="shared" si="69"/>
        <v>1.820996631688866E-3</v>
      </c>
      <c r="BT185" s="159">
        <f t="shared" si="69"/>
        <v>3.4329406257314501E-5</v>
      </c>
      <c r="BU185" s="159">
        <f t="shared" si="69"/>
        <v>1.9770885098041349E-5</v>
      </c>
      <c r="BV185" s="159">
        <f t="shared" si="69"/>
        <v>1.0077008498948968E-6</v>
      </c>
      <c r="BW185" s="159">
        <f t="shared" si="69"/>
        <v>2.5229854918078183E-4</v>
      </c>
      <c r="BX185" s="159">
        <f t="shared" si="69"/>
        <v>2.0605908496990611E-7</v>
      </c>
      <c r="BY185" s="159">
        <f t="shared" si="69"/>
        <v>4.4585645532525748E-7</v>
      </c>
      <c r="BZ185" s="159">
        <f t="shared" si="69"/>
        <v>6.4618666290921088E-5</v>
      </c>
      <c r="CA185" s="118">
        <f t="shared" si="69"/>
        <v>0</v>
      </c>
      <c r="CB185" s="18"/>
      <c r="CC185" s="271"/>
      <c r="CD185" s="147">
        <f t="shared" si="21"/>
        <v>1.9296106668761847E-3</v>
      </c>
      <c r="CE185" s="148">
        <f t="shared" si="21"/>
        <v>3.1273828365260617E-3</v>
      </c>
      <c r="CF185" s="148">
        <f t="shared" si="21"/>
        <v>-7.4924710714596645E-4</v>
      </c>
      <c r="CG185" s="119">
        <f t="shared" si="21"/>
        <v>1.0346354644643618E-2</v>
      </c>
      <c r="CH185" s="18"/>
      <c r="CI185" s="18"/>
      <c r="CJ185" s="18"/>
    </row>
    <row r="186" spans="1:88" ht="13.95" customHeight="1" x14ac:dyDescent="0.25">
      <c r="A186" s="8" t="s">
        <v>17</v>
      </c>
      <c r="B186" s="256"/>
      <c r="C186" s="22">
        <f t="shared" ref="C186:AH186" si="70">C19/C$84</f>
        <v>9.6076965305778991E-4</v>
      </c>
      <c r="D186" s="159">
        <f t="shared" si="70"/>
        <v>2.3720411065748571E-3</v>
      </c>
      <c r="E186" s="159">
        <f t="shared" si="70"/>
        <v>7.2071480311713715E-4</v>
      </c>
      <c r="F186" s="159">
        <f t="shared" si="70"/>
        <v>5.2870795414860514E-3</v>
      </c>
      <c r="G186" s="159">
        <f t="shared" si="70"/>
        <v>2.4917186519688318E-3</v>
      </c>
      <c r="H186" s="159">
        <f t="shared" si="70"/>
        <v>4.775469161129811E-3</v>
      </c>
      <c r="I186" s="159">
        <f t="shared" si="70"/>
        <v>3.2426808334736192E-2</v>
      </c>
      <c r="J186" s="159">
        <f t="shared" si="70"/>
        <v>8.9292336454975668E-5</v>
      </c>
      <c r="K186" s="159">
        <f t="shared" si="70"/>
        <v>1.1086250254738817E-2</v>
      </c>
      <c r="L186" s="159">
        <f t="shared" si="70"/>
        <v>2.1741553289073511E-3</v>
      </c>
      <c r="M186" s="159">
        <f t="shared" si="70"/>
        <v>2.3997229329187623E-2</v>
      </c>
      <c r="N186" s="159">
        <f t="shared" si="70"/>
        <v>6.7669682246481845E-3</v>
      </c>
      <c r="O186" s="159">
        <f t="shared" si="70"/>
        <v>6.26162909087813E-3</v>
      </c>
      <c r="P186" s="159">
        <f t="shared" si="70"/>
        <v>1.113414491750171E-2</v>
      </c>
      <c r="Q186" s="159">
        <f t="shared" si="70"/>
        <v>1.1584407009035277E-3</v>
      </c>
      <c r="R186" s="159">
        <f t="shared" si="70"/>
        <v>1.6385297888197928E-2</v>
      </c>
      <c r="S186" s="159">
        <f t="shared" si="70"/>
        <v>7.5254702825370114E-3</v>
      </c>
      <c r="T186" s="159">
        <f t="shared" si="70"/>
        <v>0.1252585849596104</v>
      </c>
      <c r="U186" s="159">
        <f t="shared" si="70"/>
        <v>4.4394792992186165E-3</v>
      </c>
      <c r="V186" s="159">
        <f t="shared" si="70"/>
        <v>1.3836005731353131E-3</v>
      </c>
      <c r="W186" s="159">
        <f t="shared" si="70"/>
        <v>5.0573645760618622E-3</v>
      </c>
      <c r="X186" s="159">
        <f t="shared" si="70"/>
        <v>2.2603923789244886E-2</v>
      </c>
      <c r="Y186" s="159">
        <f t="shared" si="70"/>
        <v>2.8225568013965436E-2</v>
      </c>
      <c r="Z186" s="159">
        <f t="shared" si="70"/>
        <v>1.3273656076413612E-2</v>
      </c>
      <c r="AA186" s="159">
        <f t="shared" si="70"/>
        <v>2.4268360411233914E-2</v>
      </c>
      <c r="AB186" s="159">
        <f t="shared" si="70"/>
        <v>5.0692818036667262E-3</v>
      </c>
      <c r="AC186" s="159">
        <f t="shared" si="70"/>
        <v>1.8048871358030901E-2</v>
      </c>
      <c r="AD186" s="159">
        <f t="shared" si="70"/>
        <v>4.0719621276436579E-2</v>
      </c>
      <c r="AE186" s="159">
        <f t="shared" si="70"/>
        <v>5.9516692109497981E-3</v>
      </c>
      <c r="AF186" s="159">
        <f t="shared" si="70"/>
        <v>7.6936642100348615E-4</v>
      </c>
      <c r="AG186" s="159">
        <f t="shared" si="70"/>
        <v>1.5792317922297928E-3</v>
      </c>
      <c r="AH186" s="159">
        <f t="shared" si="70"/>
        <v>9.6750043784096049E-3</v>
      </c>
      <c r="AI186" s="159">
        <f t="shared" ref="AI186:BN186" si="71">AI19/AI$84</f>
        <v>5.5006887899593125E-3</v>
      </c>
      <c r="AJ186" s="159">
        <f t="shared" si="71"/>
        <v>3.1370553433745327E-2</v>
      </c>
      <c r="AK186" s="159">
        <f t="shared" si="71"/>
        <v>3.0769509069182611E-3</v>
      </c>
      <c r="AL186" s="159">
        <f t="shared" si="71"/>
        <v>1.0566874265791275E-2</v>
      </c>
      <c r="AM186" s="159">
        <f t="shared" si="71"/>
        <v>6.5503107479970334E-3</v>
      </c>
      <c r="AN186" s="159">
        <f t="shared" si="71"/>
        <v>4.5758550897168002E-3</v>
      </c>
      <c r="AO186" s="159">
        <f t="shared" si="71"/>
        <v>5.0059261401556442E-4</v>
      </c>
      <c r="AP186" s="159">
        <f t="shared" si="71"/>
        <v>2.0180423318163238E-3</v>
      </c>
      <c r="AQ186" s="159">
        <f t="shared" si="71"/>
        <v>4.4079060032283966E-4</v>
      </c>
      <c r="AR186" s="159">
        <f t="shared" si="71"/>
        <v>7.664942259026327E-4</v>
      </c>
      <c r="AS186" s="159">
        <f t="shared" si="71"/>
        <v>2.2641777959285327E-3</v>
      </c>
      <c r="AT186" s="159">
        <f t="shared" si="71"/>
        <v>1.3907359941082654E-2</v>
      </c>
      <c r="AU186" s="159">
        <f t="shared" si="71"/>
        <v>7.7740551279209129E-5</v>
      </c>
      <c r="AV186" s="159">
        <f t="shared" si="71"/>
        <v>7.9704964220982891E-4</v>
      </c>
      <c r="AW186" s="159">
        <f t="shared" si="71"/>
        <v>1.1989325526676226E-4</v>
      </c>
      <c r="AX186" s="159">
        <f t="shared" si="71"/>
        <v>2.6237649351668735E-4</v>
      </c>
      <c r="AY186" s="159">
        <f t="shared" si="71"/>
        <v>8.6741962892091635E-4</v>
      </c>
      <c r="AZ186" s="159">
        <f t="shared" si="71"/>
        <v>8.1165874163117852E-3</v>
      </c>
      <c r="BA186" s="159">
        <f t="shared" si="71"/>
        <v>1.4304191242268846E-5</v>
      </c>
      <c r="BB186" s="159">
        <f t="shared" si="71"/>
        <v>6.7949218444650762E-4</v>
      </c>
      <c r="BC186" s="159">
        <f t="shared" si="71"/>
        <v>1.7584258078154504E-4</v>
      </c>
      <c r="BD186" s="159">
        <f t="shared" si="71"/>
        <v>5.8255621774512632E-4</v>
      </c>
      <c r="BE186" s="159">
        <f t="shared" si="71"/>
        <v>1.0242902603820295E-3</v>
      </c>
      <c r="BF186" s="159">
        <f t="shared" si="71"/>
        <v>1.8150436295393214E-3</v>
      </c>
      <c r="BG186" s="159">
        <f t="shared" si="71"/>
        <v>5.2093357133297963E-4</v>
      </c>
      <c r="BH186" s="159">
        <f t="shared" si="71"/>
        <v>2.1534996649252223E-4</v>
      </c>
      <c r="BI186" s="159">
        <f t="shared" si="71"/>
        <v>8.0357584610393559E-5</v>
      </c>
      <c r="BJ186" s="159">
        <f t="shared" si="71"/>
        <v>1.7295751875754943E-3</v>
      </c>
      <c r="BK186" s="159">
        <f t="shared" si="71"/>
        <v>2.3452493149321463E-4</v>
      </c>
      <c r="BL186" s="159">
        <f t="shared" si="71"/>
        <v>8.93370139491885E-5</v>
      </c>
      <c r="BM186" s="159">
        <f t="shared" si="71"/>
        <v>3.6959092082365381E-4</v>
      </c>
      <c r="BN186" s="159">
        <f t="shared" si="71"/>
        <v>4.9467040327800752E-3</v>
      </c>
      <c r="BO186" s="159">
        <f t="shared" ref="BO186:CA186" si="72">BO19/BO$84</f>
        <v>1.063208361207256E-2</v>
      </c>
      <c r="BP186" s="159">
        <f t="shared" si="72"/>
        <v>1.2865935287359857E-3</v>
      </c>
      <c r="BQ186" s="159">
        <f t="shared" si="72"/>
        <v>2.6927660068706236E-4</v>
      </c>
      <c r="BR186" s="159">
        <f t="shared" si="72"/>
        <v>4.9228456434518674E-4</v>
      </c>
      <c r="BS186" s="159">
        <f t="shared" si="72"/>
        <v>1.9236219504202662E-4</v>
      </c>
      <c r="BT186" s="159">
        <f t="shared" si="72"/>
        <v>7.9306435845774689E-5</v>
      </c>
      <c r="BU186" s="159">
        <f t="shared" si="72"/>
        <v>5.4468788445103918E-4</v>
      </c>
      <c r="BV186" s="159">
        <f t="shared" si="72"/>
        <v>1.6173598640813094E-4</v>
      </c>
      <c r="BW186" s="159">
        <f t="shared" si="72"/>
        <v>4.6231942819622033E-4</v>
      </c>
      <c r="BX186" s="159">
        <f t="shared" si="72"/>
        <v>3.8277535624009758E-3</v>
      </c>
      <c r="BY186" s="159">
        <f t="shared" si="72"/>
        <v>1.0161811710954827E-3</v>
      </c>
      <c r="BZ186" s="159">
        <f t="shared" si="72"/>
        <v>4.1143355501499744E-3</v>
      </c>
      <c r="CA186" s="118">
        <f t="shared" si="72"/>
        <v>0</v>
      </c>
      <c r="CB186" s="18"/>
      <c r="CC186" s="271"/>
      <c r="CD186" s="147">
        <f t="shared" si="21"/>
        <v>2.274678312359237E-3</v>
      </c>
      <c r="CE186" s="148">
        <f t="shared" si="21"/>
        <v>0</v>
      </c>
      <c r="CF186" s="148">
        <f t="shared" si="21"/>
        <v>1.0490782129899201E-3</v>
      </c>
      <c r="CG186" s="119">
        <f t="shared" si="21"/>
        <v>4.0803034715977085E-2</v>
      </c>
      <c r="CH186" s="18"/>
      <c r="CI186" s="18"/>
      <c r="CJ186" s="18"/>
    </row>
    <row r="187" spans="1:88" ht="13.95" customHeight="1" x14ac:dyDescent="0.25">
      <c r="A187" s="8" t="s">
        <v>18</v>
      </c>
      <c r="B187" s="256"/>
      <c r="C187" s="22">
        <f t="shared" ref="C187:AH187" si="73">C20/C$84</f>
        <v>3.11760484245868E-3</v>
      </c>
      <c r="D187" s="159">
        <f t="shared" si="73"/>
        <v>1.7365658985792343E-3</v>
      </c>
      <c r="E187" s="159">
        <f t="shared" si="73"/>
        <v>1.4359558229194605E-3</v>
      </c>
      <c r="F187" s="159">
        <f t="shared" si="73"/>
        <v>2.2673494767103822E-3</v>
      </c>
      <c r="G187" s="159">
        <f t="shared" si="73"/>
        <v>9.7251659791278613E-3</v>
      </c>
      <c r="H187" s="159">
        <f t="shared" si="73"/>
        <v>1.9579820344080919E-3</v>
      </c>
      <c r="I187" s="159">
        <f t="shared" si="73"/>
        <v>1.7613371587826141E-2</v>
      </c>
      <c r="J187" s="159">
        <f t="shared" si="73"/>
        <v>9.7314127656825111E-4</v>
      </c>
      <c r="K187" s="159">
        <f t="shared" si="73"/>
        <v>2.9801484531650642E-3</v>
      </c>
      <c r="L187" s="159">
        <f t="shared" si="73"/>
        <v>1.879578917816081E-3</v>
      </c>
      <c r="M187" s="159">
        <f t="shared" si="73"/>
        <v>5.6544696275443911E-3</v>
      </c>
      <c r="N187" s="159">
        <f t="shared" si="73"/>
        <v>1.052900952604106E-2</v>
      </c>
      <c r="O187" s="159">
        <f t="shared" si="73"/>
        <v>1.7233125509394343E-3</v>
      </c>
      <c r="P187" s="159">
        <f t="shared" si="73"/>
        <v>1.8994994033054529E-3</v>
      </c>
      <c r="Q187" s="159">
        <f t="shared" si="73"/>
        <v>1.5518640234232464E-3</v>
      </c>
      <c r="R187" s="159">
        <f t="shared" si="73"/>
        <v>3.8368158840551914E-3</v>
      </c>
      <c r="S187" s="159">
        <f t="shared" si="73"/>
        <v>2.3720237185855505E-3</v>
      </c>
      <c r="T187" s="159">
        <f t="shared" si="73"/>
        <v>1.3273305950363299E-2</v>
      </c>
      <c r="U187" s="159">
        <f t="shared" si="73"/>
        <v>0.10950093974342891</v>
      </c>
      <c r="V187" s="159">
        <f t="shared" si="73"/>
        <v>6.8999313216902341E-3</v>
      </c>
      <c r="W187" s="159">
        <f t="shared" si="73"/>
        <v>9.1204437614442208E-3</v>
      </c>
      <c r="X187" s="159">
        <f t="shared" si="73"/>
        <v>2.836058104147921E-3</v>
      </c>
      <c r="Y187" s="159">
        <f t="shared" si="73"/>
        <v>1.0216644304387073E-2</v>
      </c>
      <c r="Z187" s="159">
        <f t="shared" si="73"/>
        <v>5.9015491929641263E-3</v>
      </c>
      <c r="AA187" s="159">
        <f t="shared" si="73"/>
        <v>3.3148851487290534E-3</v>
      </c>
      <c r="AB187" s="159">
        <f t="shared" si="73"/>
        <v>4.3238724760023724E-3</v>
      </c>
      <c r="AC187" s="159">
        <f t="shared" si="73"/>
        <v>8.9018673451902453E-3</v>
      </c>
      <c r="AD187" s="159">
        <f t="shared" si="73"/>
        <v>1.6955239333866674E-2</v>
      </c>
      <c r="AE187" s="159">
        <f t="shared" si="73"/>
        <v>4.096084250159733E-3</v>
      </c>
      <c r="AF187" s="159">
        <f t="shared" si="73"/>
        <v>1.4564232495584202E-3</v>
      </c>
      <c r="AG187" s="159">
        <f t="shared" si="73"/>
        <v>3.4428036443998901E-3</v>
      </c>
      <c r="AH187" s="159">
        <f t="shared" si="73"/>
        <v>1.1134334834626817E-2</v>
      </c>
      <c r="AI187" s="159">
        <f t="shared" ref="AI187:BN187" si="74">AI20/AI$84</f>
        <v>1.4774322026614314E-3</v>
      </c>
      <c r="AJ187" s="159">
        <f t="shared" si="74"/>
        <v>4.9309196695269723E-2</v>
      </c>
      <c r="AK187" s="159">
        <f t="shared" si="74"/>
        <v>1.0518431813883655E-3</v>
      </c>
      <c r="AL187" s="159">
        <f t="shared" si="74"/>
        <v>3.7149236674854174E-3</v>
      </c>
      <c r="AM187" s="159">
        <f t="shared" si="74"/>
        <v>3.9027922713256976E-3</v>
      </c>
      <c r="AN187" s="159">
        <f t="shared" si="74"/>
        <v>2.0493823994747755E-3</v>
      </c>
      <c r="AO187" s="159">
        <f t="shared" si="74"/>
        <v>3.7837371320072725E-4</v>
      </c>
      <c r="AP187" s="159">
        <f t="shared" si="74"/>
        <v>3.5615515561396874E-4</v>
      </c>
      <c r="AQ187" s="159">
        <f t="shared" si="74"/>
        <v>3.8291610771951285E-3</v>
      </c>
      <c r="AR187" s="159">
        <f t="shared" si="74"/>
        <v>6.1156697696586923E-4</v>
      </c>
      <c r="AS187" s="159">
        <f t="shared" si="74"/>
        <v>2.2306865587599114E-4</v>
      </c>
      <c r="AT187" s="159">
        <f t="shared" si="74"/>
        <v>1.3564117024156172E-4</v>
      </c>
      <c r="AU187" s="159">
        <f t="shared" si="74"/>
        <v>4.4359801015240585E-7</v>
      </c>
      <c r="AV187" s="159">
        <f t="shared" si="74"/>
        <v>1.13518700964243E-3</v>
      </c>
      <c r="AW187" s="159">
        <f t="shared" si="74"/>
        <v>2.4880705069169046E-4</v>
      </c>
      <c r="AX187" s="159">
        <f t="shared" si="74"/>
        <v>1.2080231113391444E-4</v>
      </c>
      <c r="AY187" s="159">
        <f t="shared" si="74"/>
        <v>1.7236732559621562E-3</v>
      </c>
      <c r="AZ187" s="159">
        <f t="shared" si="74"/>
        <v>1.2356381234540339E-5</v>
      </c>
      <c r="BA187" s="159">
        <f t="shared" si="74"/>
        <v>1.2988006978657303E-4</v>
      </c>
      <c r="BB187" s="159">
        <f t="shared" si="74"/>
        <v>4.3632972875012029E-3</v>
      </c>
      <c r="BC187" s="159">
        <f t="shared" si="74"/>
        <v>4.9311463584323486E-5</v>
      </c>
      <c r="BD187" s="159">
        <f t="shared" si="74"/>
        <v>4.9653631735409286E-3</v>
      </c>
      <c r="BE187" s="159">
        <f t="shared" si="74"/>
        <v>4.1028096458210934E-3</v>
      </c>
      <c r="BF187" s="159">
        <f t="shared" si="74"/>
        <v>1.8490583431474653E-3</v>
      </c>
      <c r="BG187" s="159">
        <f t="shared" si="74"/>
        <v>4.5928437622831715E-5</v>
      </c>
      <c r="BH187" s="159">
        <f t="shared" si="74"/>
        <v>2.0621489418989046E-3</v>
      </c>
      <c r="BI187" s="159">
        <f t="shared" si="74"/>
        <v>0</v>
      </c>
      <c r="BJ187" s="159">
        <f t="shared" si="74"/>
        <v>3.909257580363556E-3</v>
      </c>
      <c r="BK187" s="159">
        <f t="shared" si="74"/>
        <v>3.1368487189775457E-4</v>
      </c>
      <c r="BL187" s="159">
        <f t="shared" si="74"/>
        <v>4.501410470747312E-5</v>
      </c>
      <c r="BM187" s="159">
        <f t="shared" si="74"/>
        <v>1.2958059600829316E-4</v>
      </c>
      <c r="BN187" s="159">
        <f t="shared" si="74"/>
        <v>2.0803526330145502E-3</v>
      </c>
      <c r="BO187" s="159">
        <f t="shared" ref="BO187:CA187" si="75">BO20/BO$84</f>
        <v>1.3641360727972014E-3</v>
      </c>
      <c r="BP187" s="159">
        <f t="shared" si="75"/>
        <v>6.0652467302623478E-4</v>
      </c>
      <c r="BQ187" s="159">
        <f t="shared" si="75"/>
        <v>6.206950637355792E-4</v>
      </c>
      <c r="BR187" s="159">
        <f t="shared" si="75"/>
        <v>9.0069108996565842E-4</v>
      </c>
      <c r="BS187" s="159">
        <f t="shared" si="75"/>
        <v>8.2626313859437506E-4</v>
      </c>
      <c r="BT187" s="159">
        <f t="shared" si="75"/>
        <v>2.4333490905919988E-4</v>
      </c>
      <c r="BU187" s="159">
        <f t="shared" si="75"/>
        <v>2.5712036070002775E-3</v>
      </c>
      <c r="BV187" s="159">
        <f t="shared" si="75"/>
        <v>4.4590762607849184E-4</v>
      </c>
      <c r="BW187" s="159">
        <f t="shared" si="75"/>
        <v>7.0436193879241753E-4</v>
      </c>
      <c r="BX187" s="159">
        <f t="shared" si="75"/>
        <v>3.6090836614309112E-2</v>
      </c>
      <c r="BY187" s="159">
        <f t="shared" si="75"/>
        <v>9.6230684941034736E-5</v>
      </c>
      <c r="BZ187" s="159">
        <f t="shared" si="75"/>
        <v>4.0591404393598134E-3</v>
      </c>
      <c r="CA187" s="118">
        <f t="shared" si="75"/>
        <v>0</v>
      </c>
      <c r="CB187" s="18"/>
      <c r="CC187" s="271"/>
      <c r="CD187" s="147">
        <f t="shared" si="21"/>
        <v>5.8524852347822225E-3</v>
      </c>
      <c r="CE187" s="148">
        <f t="shared" si="21"/>
        <v>0</v>
      </c>
      <c r="CF187" s="148">
        <f t="shared" si="21"/>
        <v>-5.7691099138731253E-3</v>
      </c>
      <c r="CG187" s="119">
        <f t="shared" si="21"/>
        <v>1.4988666239774405E-2</v>
      </c>
      <c r="CH187" s="18"/>
      <c r="CI187" s="18"/>
      <c r="CJ187" s="18"/>
    </row>
    <row r="188" spans="1:88" ht="13.95" customHeight="1" x14ac:dyDescent="0.25">
      <c r="A188" s="8" t="s">
        <v>19</v>
      </c>
      <c r="B188" s="256"/>
      <c r="C188" s="22">
        <f t="shared" ref="C188:AH188" si="76">C21/C$84</f>
        <v>1.2363069936406249E-4</v>
      </c>
      <c r="D188" s="159">
        <f t="shared" si="76"/>
        <v>1.3206485044481092E-4</v>
      </c>
      <c r="E188" s="159">
        <f t="shared" si="76"/>
        <v>3.0653186562956718E-4</v>
      </c>
      <c r="F188" s="159">
        <f t="shared" si="76"/>
        <v>2.4809381279612031E-3</v>
      </c>
      <c r="G188" s="159">
        <f t="shared" si="76"/>
        <v>2.3284349579620676E-3</v>
      </c>
      <c r="H188" s="159">
        <f t="shared" si="76"/>
        <v>3.2045674165327628E-4</v>
      </c>
      <c r="I188" s="159">
        <f t="shared" si="76"/>
        <v>4.4321789678637754E-3</v>
      </c>
      <c r="J188" s="159">
        <f t="shared" si="76"/>
        <v>3.9721780566624E-4</v>
      </c>
      <c r="K188" s="159">
        <f t="shared" si="76"/>
        <v>2.5554147756287528E-3</v>
      </c>
      <c r="L188" s="159">
        <f t="shared" si="76"/>
        <v>7.334670104531503E-4</v>
      </c>
      <c r="M188" s="159">
        <f t="shared" si="76"/>
        <v>9.1448353109176443E-4</v>
      </c>
      <c r="N188" s="159">
        <f t="shared" si="76"/>
        <v>1.2301080145658274E-3</v>
      </c>
      <c r="O188" s="159">
        <f t="shared" si="76"/>
        <v>5.7556936363425352E-4</v>
      </c>
      <c r="P188" s="159">
        <f t="shared" si="76"/>
        <v>1.3746917202522868E-3</v>
      </c>
      <c r="Q188" s="159">
        <f t="shared" si="76"/>
        <v>4.1681308914747991E-4</v>
      </c>
      <c r="R188" s="159">
        <f t="shared" si="76"/>
        <v>1.1339409928926472E-3</v>
      </c>
      <c r="S188" s="159">
        <f t="shared" si="76"/>
        <v>3.3073999047006369E-4</v>
      </c>
      <c r="T188" s="159">
        <f t="shared" si="76"/>
        <v>3.5772702705065313E-3</v>
      </c>
      <c r="U188" s="159">
        <f t="shared" si="76"/>
        <v>2.8573766959004003E-3</v>
      </c>
      <c r="V188" s="159">
        <f t="shared" si="76"/>
        <v>0.12435480400266982</v>
      </c>
      <c r="W188" s="159">
        <f t="shared" si="76"/>
        <v>6.6284106435928955E-2</v>
      </c>
      <c r="X188" s="159">
        <f t="shared" si="76"/>
        <v>1.9630135062624125E-2</v>
      </c>
      <c r="Y188" s="159">
        <f t="shared" si="76"/>
        <v>4.0386105923458038E-2</v>
      </c>
      <c r="Z188" s="159">
        <f t="shared" si="76"/>
        <v>2.784836008090761E-2</v>
      </c>
      <c r="AA188" s="159">
        <f t="shared" si="76"/>
        <v>2.0334551026387558E-2</v>
      </c>
      <c r="AB188" s="159">
        <f t="shared" si="76"/>
        <v>2.2695895801329597E-2</v>
      </c>
      <c r="AC188" s="159">
        <f t="shared" si="76"/>
        <v>7.6164944271329329E-3</v>
      </c>
      <c r="AD188" s="159">
        <f t="shared" si="76"/>
        <v>2.0422302993995761E-2</v>
      </c>
      <c r="AE188" s="159">
        <f t="shared" si="76"/>
        <v>8.4847521685020612E-3</v>
      </c>
      <c r="AF188" s="159">
        <f t="shared" si="76"/>
        <v>6.847697122542636E-4</v>
      </c>
      <c r="AG188" s="159">
        <f t="shared" si="76"/>
        <v>6.1115364583811467E-4</v>
      </c>
      <c r="AH188" s="159">
        <f t="shared" si="76"/>
        <v>5.2806808884381232E-2</v>
      </c>
      <c r="AI188" s="159">
        <f t="shared" ref="AI188:BN188" si="77">AI21/AI$84</f>
        <v>7.5002784779350077E-4</v>
      </c>
      <c r="AJ188" s="159">
        <f t="shared" si="77"/>
        <v>4.7391717799538467E-3</v>
      </c>
      <c r="AK188" s="159">
        <f t="shared" si="77"/>
        <v>8.1446623934110262E-4</v>
      </c>
      <c r="AL188" s="159">
        <f t="shared" si="77"/>
        <v>1.3829419147104323E-3</v>
      </c>
      <c r="AM188" s="159">
        <f t="shared" si="77"/>
        <v>4.7311086609052276E-4</v>
      </c>
      <c r="AN188" s="159">
        <f t="shared" si="77"/>
        <v>8.8591735181359503E-4</v>
      </c>
      <c r="AO188" s="159">
        <f t="shared" si="77"/>
        <v>4.0504658321487721E-4</v>
      </c>
      <c r="AP188" s="159">
        <f t="shared" si="77"/>
        <v>1.2177841657512299E-4</v>
      </c>
      <c r="AQ188" s="159">
        <f t="shared" si="77"/>
        <v>1.0837373471674992E-4</v>
      </c>
      <c r="AR188" s="159">
        <f t="shared" si="77"/>
        <v>4.9898476546538866E-5</v>
      </c>
      <c r="AS188" s="159">
        <f t="shared" si="77"/>
        <v>1.2638494580491315E-4</v>
      </c>
      <c r="AT188" s="159">
        <f t="shared" si="77"/>
        <v>3.3722111136636878E-4</v>
      </c>
      <c r="AU188" s="159">
        <f t="shared" si="77"/>
        <v>0</v>
      </c>
      <c r="AV188" s="159">
        <f t="shared" si="77"/>
        <v>3.1919908500578718E-4</v>
      </c>
      <c r="AW188" s="159">
        <f t="shared" si="77"/>
        <v>1.4706905979389504E-4</v>
      </c>
      <c r="AX188" s="159">
        <f t="shared" si="77"/>
        <v>0</v>
      </c>
      <c r="AY188" s="159">
        <f t="shared" si="77"/>
        <v>4.1043840014624869E-5</v>
      </c>
      <c r="AZ188" s="159">
        <f t="shared" si="77"/>
        <v>0</v>
      </c>
      <c r="BA188" s="159">
        <f t="shared" si="77"/>
        <v>6.4567529913019096E-7</v>
      </c>
      <c r="BB188" s="159">
        <f t="shared" si="77"/>
        <v>1.5145561849914818E-4</v>
      </c>
      <c r="BC188" s="159">
        <f t="shared" si="77"/>
        <v>3.7051044978859472E-5</v>
      </c>
      <c r="BD188" s="159">
        <f t="shared" si="77"/>
        <v>1.1681501782706255E-4</v>
      </c>
      <c r="BE188" s="159">
        <f t="shared" si="77"/>
        <v>1.2497236540532732E-3</v>
      </c>
      <c r="BF188" s="159">
        <f t="shared" si="77"/>
        <v>2.194018445508151E-3</v>
      </c>
      <c r="BG188" s="159">
        <f t="shared" si="77"/>
        <v>5.9232580693382411E-4</v>
      </c>
      <c r="BH188" s="159">
        <f t="shared" si="77"/>
        <v>2.3830977388416354E-4</v>
      </c>
      <c r="BI188" s="159">
        <f t="shared" si="77"/>
        <v>2.8888883723571238E-5</v>
      </c>
      <c r="BJ188" s="159">
        <f t="shared" si="77"/>
        <v>1.8454227275050644E-3</v>
      </c>
      <c r="BK188" s="159">
        <f t="shared" si="77"/>
        <v>5.0310885502688947E-5</v>
      </c>
      <c r="BL188" s="159">
        <f t="shared" si="77"/>
        <v>8.6399433219718079E-7</v>
      </c>
      <c r="BM188" s="159">
        <f t="shared" si="77"/>
        <v>6.1928076003963398E-5</v>
      </c>
      <c r="BN188" s="159">
        <f t="shared" si="77"/>
        <v>1.0794414041752961E-3</v>
      </c>
      <c r="BO188" s="159">
        <f t="shared" ref="BO188:CA188" si="78">BO21/BO$84</f>
        <v>3.862303454595962E-4</v>
      </c>
      <c r="BP188" s="159">
        <f t="shared" si="78"/>
        <v>2.88895565942384E-4</v>
      </c>
      <c r="BQ188" s="159">
        <f t="shared" si="78"/>
        <v>5.3789085315375664E-5</v>
      </c>
      <c r="BR188" s="159">
        <f t="shared" si="78"/>
        <v>1.6251180542218926E-4</v>
      </c>
      <c r="BS188" s="159">
        <f t="shared" si="78"/>
        <v>1.4028236648461376E-6</v>
      </c>
      <c r="BT188" s="159">
        <f t="shared" si="78"/>
        <v>2.4094837279532239E-4</v>
      </c>
      <c r="BU188" s="159">
        <f t="shared" si="78"/>
        <v>4.7697260299024751E-4</v>
      </c>
      <c r="BV188" s="159">
        <f t="shared" si="78"/>
        <v>0</v>
      </c>
      <c r="BW188" s="159">
        <f t="shared" si="78"/>
        <v>6.5068867019975801E-5</v>
      </c>
      <c r="BX188" s="159">
        <f t="shared" si="78"/>
        <v>3.2246186206940607E-3</v>
      </c>
      <c r="BY188" s="159">
        <f t="shared" si="78"/>
        <v>3.7570837302075029E-4</v>
      </c>
      <c r="BZ188" s="159">
        <f t="shared" si="78"/>
        <v>9.296225316314542E-4</v>
      </c>
      <c r="CA188" s="118">
        <f t="shared" si="78"/>
        <v>0</v>
      </c>
      <c r="CB188" s="18"/>
      <c r="CC188" s="271"/>
      <c r="CD188" s="147">
        <f t="shared" si="21"/>
        <v>7.1005556699935813E-5</v>
      </c>
      <c r="CE188" s="148">
        <f t="shared" si="21"/>
        <v>0</v>
      </c>
      <c r="CF188" s="148">
        <f t="shared" si="21"/>
        <v>4.0997268133577462E-4</v>
      </c>
      <c r="CG188" s="119">
        <f t="shared" si="21"/>
        <v>4.0032051560838867E-2</v>
      </c>
      <c r="CH188" s="18"/>
      <c r="CI188" s="18"/>
      <c r="CJ188" s="18"/>
    </row>
    <row r="189" spans="1:88" ht="13.95" customHeight="1" x14ac:dyDescent="0.25">
      <c r="A189" s="8" t="s">
        <v>20</v>
      </c>
      <c r="B189" s="256"/>
      <c r="C189" s="22">
        <f t="shared" ref="C189:AH189" si="79">C22/C$84</f>
        <v>5.1714160690826457E-3</v>
      </c>
      <c r="D189" s="159">
        <f t="shared" si="79"/>
        <v>8.5433794369988542E-4</v>
      </c>
      <c r="E189" s="159">
        <f t="shared" si="79"/>
        <v>4.8534212058014807E-4</v>
      </c>
      <c r="F189" s="159">
        <f t="shared" si="79"/>
        <v>1.4702921024578007E-2</v>
      </c>
      <c r="G189" s="159">
        <f t="shared" si="79"/>
        <v>8.0369981481421288E-3</v>
      </c>
      <c r="H189" s="159">
        <f t="shared" si="79"/>
        <v>1.3543301240560458E-3</v>
      </c>
      <c r="I189" s="159">
        <f t="shared" si="79"/>
        <v>3.0128952368074408E-2</v>
      </c>
      <c r="J189" s="159">
        <f t="shared" si="79"/>
        <v>5.2317081684459998E-4</v>
      </c>
      <c r="K189" s="159">
        <f t="shared" si="79"/>
        <v>1.0961795767567347E-3</v>
      </c>
      <c r="L189" s="159">
        <f t="shared" si="79"/>
        <v>4.4952271112009597E-4</v>
      </c>
      <c r="M189" s="159">
        <f t="shared" si="79"/>
        <v>1.5876530630565063E-3</v>
      </c>
      <c r="N189" s="159">
        <f t="shared" si="79"/>
        <v>5.3724078268341273E-3</v>
      </c>
      <c r="O189" s="159">
        <f t="shared" si="79"/>
        <v>1.8611106578093415E-3</v>
      </c>
      <c r="P189" s="159">
        <f t="shared" si="79"/>
        <v>5.9203141385084912E-4</v>
      </c>
      <c r="Q189" s="159">
        <f t="shared" si="79"/>
        <v>3.5219420393780464E-4</v>
      </c>
      <c r="R189" s="159">
        <f t="shared" si="79"/>
        <v>2.7119762811827451E-3</v>
      </c>
      <c r="S189" s="159">
        <f t="shared" si="79"/>
        <v>5.1400270262607272E-4</v>
      </c>
      <c r="T189" s="159">
        <f t="shared" si="79"/>
        <v>4.8160776948510241E-3</v>
      </c>
      <c r="U189" s="159">
        <f t="shared" si="79"/>
        <v>3.1583549591160543E-3</v>
      </c>
      <c r="V189" s="159">
        <f t="shared" si="79"/>
        <v>2.1342429021675543E-2</v>
      </c>
      <c r="W189" s="159">
        <f t="shared" si="79"/>
        <v>0.15157592205985121</v>
      </c>
      <c r="X189" s="159">
        <f t="shared" si="79"/>
        <v>4.9909033893518326E-3</v>
      </c>
      <c r="Y189" s="159">
        <f t="shared" si="79"/>
        <v>2.3046832709838923E-2</v>
      </c>
      <c r="Z189" s="159">
        <f t="shared" si="79"/>
        <v>9.3007470824486863E-2</v>
      </c>
      <c r="AA189" s="159">
        <f t="shared" si="79"/>
        <v>8.1701810626531313E-2</v>
      </c>
      <c r="AB189" s="159">
        <f t="shared" si="79"/>
        <v>3.5563445657045653E-2</v>
      </c>
      <c r="AC189" s="159">
        <f t="shared" si="79"/>
        <v>1.4339567709018479E-2</v>
      </c>
      <c r="AD189" s="159">
        <f t="shared" si="79"/>
        <v>7.8001474574828245E-3</v>
      </c>
      <c r="AE189" s="159">
        <f t="shared" si="79"/>
        <v>3.3266736941042103E-2</v>
      </c>
      <c r="AF189" s="159">
        <f t="shared" si="79"/>
        <v>2.3212102901759304E-3</v>
      </c>
      <c r="AG189" s="159">
        <f t="shared" si="79"/>
        <v>2.0807131635493916E-3</v>
      </c>
      <c r="AH189" s="159">
        <f t="shared" si="79"/>
        <v>7.9097341847924104E-3</v>
      </c>
      <c r="AI189" s="159">
        <f t="shared" ref="AI189:BN189" si="80">AI22/AI$84</f>
        <v>1.9936839568907073E-3</v>
      </c>
      <c r="AJ189" s="159">
        <f t="shared" si="80"/>
        <v>3.52942978872295E-2</v>
      </c>
      <c r="AK189" s="159">
        <f t="shared" si="80"/>
        <v>1.3519036648042182E-3</v>
      </c>
      <c r="AL189" s="159">
        <f t="shared" si="80"/>
        <v>4.4943923157958806E-3</v>
      </c>
      <c r="AM189" s="159">
        <f t="shared" si="80"/>
        <v>1.5839244845547921E-3</v>
      </c>
      <c r="AN189" s="159">
        <f t="shared" si="80"/>
        <v>1.2399145094696567E-3</v>
      </c>
      <c r="AO189" s="159">
        <f t="shared" si="80"/>
        <v>3.1969339916959735E-4</v>
      </c>
      <c r="AP189" s="159">
        <f t="shared" si="80"/>
        <v>3.9954879895470876E-4</v>
      </c>
      <c r="AQ189" s="159">
        <f t="shared" si="80"/>
        <v>7.0071512073590139E-4</v>
      </c>
      <c r="AR189" s="159">
        <f t="shared" si="80"/>
        <v>1.9923421860947661E-4</v>
      </c>
      <c r="AS189" s="159">
        <f t="shared" si="80"/>
        <v>4.4242465728525294E-4</v>
      </c>
      <c r="AT189" s="159">
        <f t="shared" si="80"/>
        <v>1.4979241330782898E-4</v>
      </c>
      <c r="AU189" s="159">
        <f t="shared" si="80"/>
        <v>2.7724875634525367E-6</v>
      </c>
      <c r="AV189" s="159">
        <f t="shared" si="80"/>
        <v>1.0881997203978806E-4</v>
      </c>
      <c r="AW189" s="159">
        <f t="shared" si="80"/>
        <v>5.7194791964877353E-4</v>
      </c>
      <c r="AX189" s="159">
        <f t="shared" si="80"/>
        <v>2.3566980191101216E-4</v>
      </c>
      <c r="AY189" s="159">
        <f t="shared" si="80"/>
        <v>1.2427714267174839E-4</v>
      </c>
      <c r="AZ189" s="159">
        <f t="shared" si="80"/>
        <v>0</v>
      </c>
      <c r="BA189" s="159">
        <f t="shared" si="80"/>
        <v>2.9403059775774848E-5</v>
      </c>
      <c r="BB189" s="159">
        <f t="shared" si="80"/>
        <v>4.4903433429074983E-3</v>
      </c>
      <c r="BC189" s="159">
        <f t="shared" si="80"/>
        <v>2.5210298403900335E-5</v>
      </c>
      <c r="BD189" s="159">
        <f t="shared" si="80"/>
        <v>1.2927666718745546E-4</v>
      </c>
      <c r="BE189" s="159">
        <f t="shared" si="80"/>
        <v>5.8236509345225207E-3</v>
      </c>
      <c r="BF189" s="159">
        <f t="shared" si="80"/>
        <v>1.3587374034491197E-3</v>
      </c>
      <c r="BG189" s="159">
        <f t="shared" si="80"/>
        <v>1.7405580205188007E-4</v>
      </c>
      <c r="BH189" s="159">
        <f t="shared" si="80"/>
        <v>3.9243358733230896E-4</v>
      </c>
      <c r="BI189" s="159">
        <f t="shared" si="80"/>
        <v>0</v>
      </c>
      <c r="BJ189" s="159">
        <f t="shared" si="80"/>
        <v>3.5541487206665287E-3</v>
      </c>
      <c r="BK189" s="159">
        <f t="shared" si="80"/>
        <v>2.0287650738255868E-4</v>
      </c>
      <c r="BL189" s="159">
        <f t="shared" si="80"/>
        <v>2.3673444702202754E-5</v>
      </c>
      <c r="BM189" s="159">
        <f t="shared" si="80"/>
        <v>2.9610987601895103E-4</v>
      </c>
      <c r="BN189" s="159">
        <f t="shared" si="80"/>
        <v>1.4586941345703618E-3</v>
      </c>
      <c r="BO189" s="159">
        <f t="shared" ref="BO189:CA189" si="81">BO22/BO$84</f>
        <v>2.5834752848409278E-4</v>
      </c>
      <c r="BP189" s="159">
        <f t="shared" si="81"/>
        <v>5.2519807246328761E-3</v>
      </c>
      <c r="BQ189" s="159">
        <f t="shared" si="81"/>
        <v>2.0704791707989984E-4</v>
      </c>
      <c r="BR189" s="159">
        <f t="shared" si="81"/>
        <v>2.0982140394153827E-4</v>
      </c>
      <c r="BS189" s="159">
        <f t="shared" si="81"/>
        <v>1.0385278943814063E-4</v>
      </c>
      <c r="BT189" s="159">
        <f t="shared" si="81"/>
        <v>1.4750629907888879E-4</v>
      </c>
      <c r="BU189" s="159">
        <f t="shared" si="81"/>
        <v>6.9296952268634927E-4</v>
      </c>
      <c r="BV189" s="159">
        <f t="shared" si="81"/>
        <v>7.053905949264277E-5</v>
      </c>
      <c r="BW189" s="159">
        <f t="shared" si="81"/>
        <v>4.6026822047930344E-4</v>
      </c>
      <c r="BX189" s="159">
        <f t="shared" si="81"/>
        <v>8.0527890406239307E-3</v>
      </c>
      <c r="BY189" s="159">
        <f t="shared" si="81"/>
        <v>8.2483444235172637E-6</v>
      </c>
      <c r="BZ189" s="159">
        <f t="shared" si="81"/>
        <v>2.2820149311749503E-3</v>
      </c>
      <c r="CA189" s="118">
        <f t="shared" si="81"/>
        <v>0</v>
      </c>
      <c r="CB189" s="18"/>
      <c r="CC189" s="271"/>
      <c r="CD189" s="147">
        <f t="shared" ref="CD189:CG208" si="82">CD22/(CD$79+CD$80)</f>
        <v>8.1979308589712641E-4</v>
      </c>
      <c r="CE189" s="148">
        <f t="shared" si="82"/>
        <v>0</v>
      </c>
      <c r="CF189" s="148">
        <f t="shared" si="82"/>
        <v>4.0798209502037407E-2</v>
      </c>
      <c r="CG189" s="119">
        <f t="shared" si="82"/>
        <v>3.2160682846172191E-2</v>
      </c>
      <c r="CH189" s="18"/>
      <c r="CI189" s="18"/>
      <c r="CJ189" s="18"/>
    </row>
    <row r="190" spans="1:88" ht="13.95" customHeight="1" x14ac:dyDescent="0.25">
      <c r="A190" s="8" t="s">
        <v>21</v>
      </c>
      <c r="B190" s="256"/>
      <c r="C190" s="22">
        <f t="shared" ref="C190:AH190" si="83">C23/C$84</f>
        <v>1.3015292589706713E-5</v>
      </c>
      <c r="D190" s="159">
        <f t="shared" si="83"/>
        <v>9.7310942433018576E-5</v>
      </c>
      <c r="E190" s="159">
        <f t="shared" si="83"/>
        <v>1.09475666296274E-5</v>
      </c>
      <c r="F190" s="159">
        <f t="shared" si="83"/>
        <v>1.0352064004625846E-4</v>
      </c>
      <c r="G190" s="159">
        <f t="shared" si="83"/>
        <v>1.5705304288746795E-4</v>
      </c>
      <c r="H190" s="159">
        <f t="shared" si="83"/>
        <v>2.4631492009755266E-5</v>
      </c>
      <c r="I190" s="159">
        <f t="shared" si="83"/>
        <v>2.7633622631800811E-5</v>
      </c>
      <c r="J190" s="159">
        <f t="shared" si="83"/>
        <v>4.7670976372981593E-5</v>
      </c>
      <c r="K190" s="159">
        <f t="shared" si="83"/>
        <v>6.9620161187571253E-5</v>
      </c>
      <c r="L190" s="159">
        <f t="shared" si="83"/>
        <v>5.9257294204881986E-5</v>
      </c>
      <c r="M190" s="159">
        <f t="shared" si="83"/>
        <v>5.6950103793977308E-5</v>
      </c>
      <c r="N190" s="159">
        <f t="shared" si="83"/>
        <v>1.8957959762325868E-4</v>
      </c>
      <c r="O190" s="159">
        <f t="shared" si="83"/>
        <v>7.2243913697334541E-5</v>
      </c>
      <c r="P190" s="159">
        <f t="shared" si="83"/>
        <v>1.5941201245541579E-3</v>
      </c>
      <c r="Q190" s="159">
        <f t="shared" si="83"/>
        <v>1.5278713363517068E-4</v>
      </c>
      <c r="R190" s="159">
        <f t="shared" si="83"/>
        <v>6.7427618221553882E-5</v>
      </c>
      <c r="S190" s="159">
        <f t="shared" si="83"/>
        <v>1.1898656752449858E-4</v>
      </c>
      <c r="T190" s="159">
        <f t="shared" si="83"/>
        <v>2.6463949402445866E-4</v>
      </c>
      <c r="U190" s="159">
        <f t="shared" si="83"/>
        <v>1.2233606333569811E-4</v>
      </c>
      <c r="V190" s="159">
        <f t="shared" si="83"/>
        <v>1.5090222424949941E-4</v>
      </c>
      <c r="W190" s="159">
        <f t="shared" si="83"/>
        <v>5.961025775826018E-4</v>
      </c>
      <c r="X190" s="159">
        <f t="shared" si="83"/>
        <v>0.13088541053593825</v>
      </c>
      <c r="Y190" s="159">
        <f t="shared" si="83"/>
        <v>7.857803714632355E-3</v>
      </c>
      <c r="Z190" s="159">
        <f t="shared" si="83"/>
        <v>2.161770310715498E-3</v>
      </c>
      <c r="AA190" s="159">
        <f t="shared" si="83"/>
        <v>2.267200960387598E-3</v>
      </c>
      <c r="AB190" s="159">
        <f t="shared" si="83"/>
        <v>6.7800192288491531E-4</v>
      </c>
      <c r="AC190" s="159">
        <f t="shared" si="83"/>
        <v>1.4676986864583049E-4</v>
      </c>
      <c r="AD190" s="159">
        <f t="shared" si="83"/>
        <v>2.2755784386533501E-4</v>
      </c>
      <c r="AE190" s="159">
        <f t="shared" si="83"/>
        <v>4.1982359312734991E-3</v>
      </c>
      <c r="AF190" s="159">
        <f t="shared" si="83"/>
        <v>1.4597032225477542E-3</v>
      </c>
      <c r="AG190" s="159">
        <f t="shared" si="83"/>
        <v>2.3697045029893651E-4</v>
      </c>
      <c r="AH190" s="159">
        <f t="shared" si="83"/>
        <v>1.3660637966954117E-4</v>
      </c>
      <c r="AI190" s="159">
        <f t="shared" ref="AI190:BN190" si="84">AI23/AI$84</f>
        <v>2.1160688764519241E-4</v>
      </c>
      <c r="AJ190" s="159">
        <f t="shared" si="84"/>
        <v>7.6601204689667984E-4</v>
      </c>
      <c r="AK190" s="159">
        <f t="shared" si="84"/>
        <v>4.5298160990835779E-4</v>
      </c>
      <c r="AL190" s="159">
        <f t="shared" si="84"/>
        <v>6.0015810841551425E-4</v>
      </c>
      <c r="AM190" s="159">
        <f t="shared" si="84"/>
        <v>3.347236512525117E-4</v>
      </c>
      <c r="AN190" s="159">
        <f t="shared" si="84"/>
        <v>1.2473165464273449E-4</v>
      </c>
      <c r="AO190" s="159">
        <f t="shared" si="84"/>
        <v>1.1081624888378801E-3</v>
      </c>
      <c r="AP190" s="159">
        <f t="shared" si="84"/>
        <v>1.8531952309840501E-4</v>
      </c>
      <c r="AQ190" s="159">
        <f t="shared" si="84"/>
        <v>1.5181608247652421E-4</v>
      </c>
      <c r="AR190" s="159">
        <f t="shared" si="84"/>
        <v>1.2726400440309912E-4</v>
      </c>
      <c r="AS190" s="159">
        <f t="shared" si="84"/>
        <v>7.0540434867858505E-5</v>
      </c>
      <c r="AT190" s="159">
        <f t="shared" si="84"/>
        <v>3.0051820647747558E-3</v>
      </c>
      <c r="AU190" s="159">
        <f t="shared" si="84"/>
        <v>8.1910372574641745E-4</v>
      </c>
      <c r="AV190" s="159">
        <f t="shared" si="84"/>
        <v>3.2221441104785865E-3</v>
      </c>
      <c r="AW190" s="159">
        <f t="shared" si="84"/>
        <v>6.6836493369377735E-3</v>
      </c>
      <c r="AX190" s="159">
        <f t="shared" si="84"/>
        <v>1.8437189498813993E-3</v>
      </c>
      <c r="AY190" s="159">
        <f t="shared" si="84"/>
        <v>1.11094844967014E-4</v>
      </c>
      <c r="AZ190" s="159">
        <f t="shared" si="84"/>
        <v>1.2780869161305161E-4</v>
      </c>
      <c r="BA190" s="159">
        <f t="shared" si="84"/>
        <v>1.1289384268637877E-4</v>
      </c>
      <c r="BB190" s="159">
        <f t="shared" si="84"/>
        <v>1.2404199815213408E-4</v>
      </c>
      <c r="BC190" s="159">
        <f t="shared" si="84"/>
        <v>6.2606073979245961E-4</v>
      </c>
      <c r="BD190" s="159">
        <f t="shared" si="84"/>
        <v>4.464101094975097E-4</v>
      </c>
      <c r="BE190" s="159">
        <f t="shared" si="84"/>
        <v>2.0443440675443274E-3</v>
      </c>
      <c r="BF190" s="159">
        <f t="shared" si="84"/>
        <v>2.3792250902153508E-3</v>
      </c>
      <c r="BG190" s="159">
        <f t="shared" si="84"/>
        <v>3.7383067825197858E-4</v>
      </c>
      <c r="BH190" s="159">
        <f t="shared" si="84"/>
        <v>1.123646460326389E-3</v>
      </c>
      <c r="BI190" s="159">
        <f t="shared" si="84"/>
        <v>0</v>
      </c>
      <c r="BJ190" s="159">
        <f t="shared" si="84"/>
        <v>3.4135511693035293E-4</v>
      </c>
      <c r="BK190" s="159">
        <f t="shared" si="84"/>
        <v>2.195172021237881E-4</v>
      </c>
      <c r="BL190" s="159">
        <f t="shared" si="84"/>
        <v>4.9074878068799872E-5</v>
      </c>
      <c r="BM190" s="159">
        <f t="shared" si="84"/>
        <v>5.2851189435382476E-3</v>
      </c>
      <c r="BN190" s="159">
        <f t="shared" si="84"/>
        <v>7.5277446180111051E-5</v>
      </c>
      <c r="BO190" s="159">
        <f t="shared" ref="BO190:CA190" si="85">BO23/BO$84</f>
        <v>8.019680570116036E-5</v>
      </c>
      <c r="BP190" s="159">
        <f t="shared" si="85"/>
        <v>4.8547503643461408E-4</v>
      </c>
      <c r="BQ190" s="159">
        <f t="shared" si="85"/>
        <v>4.6292799085822714E-4</v>
      </c>
      <c r="BR190" s="159">
        <f t="shared" si="85"/>
        <v>1.1648548734110539E-3</v>
      </c>
      <c r="BS190" s="159">
        <f t="shared" si="85"/>
        <v>5.9839196953593057E-5</v>
      </c>
      <c r="BT190" s="159">
        <f t="shared" si="85"/>
        <v>1.2820289229837211E-3</v>
      </c>
      <c r="BU190" s="159">
        <f t="shared" si="85"/>
        <v>3.2177115497062292E-4</v>
      </c>
      <c r="BV190" s="159">
        <f t="shared" si="85"/>
        <v>1.2183103275229302E-3</v>
      </c>
      <c r="BW190" s="159">
        <f t="shared" si="85"/>
        <v>3.1964653588622085E-4</v>
      </c>
      <c r="BX190" s="159">
        <f t="shared" si="85"/>
        <v>4.5332998693379343E-3</v>
      </c>
      <c r="BY190" s="159">
        <f t="shared" si="85"/>
        <v>1.1023577929689329E-2</v>
      </c>
      <c r="BZ190" s="159">
        <f t="shared" si="85"/>
        <v>3.3706038692894513E-4</v>
      </c>
      <c r="CA190" s="118">
        <f t="shared" si="85"/>
        <v>0</v>
      </c>
      <c r="CB190" s="18"/>
      <c r="CC190" s="271"/>
      <c r="CD190" s="147">
        <f t="shared" si="82"/>
        <v>2.2374047951096423E-3</v>
      </c>
      <c r="CE190" s="148">
        <f t="shared" si="82"/>
        <v>8.4677665714081885E-5</v>
      </c>
      <c r="CF190" s="148">
        <f t="shared" si="82"/>
        <v>4.2223084889727609E-3</v>
      </c>
      <c r="CG190" s="119">
        <f t="shared" si="82"/>
        <v>2.7482290707671043E-2</v>
      </c>
      <c r="CH190" s="18"/>
      <c r="CI190" s="18"/>
      <c r="CJ190" s="18"/>
    </row>
    <row r="191" spans="1:88" ht="13.95" customHeight="1" x14ac:dyDescent="0.25">
      <c r="A191" s="8" t="s">
        <v>22</v>
      </c>
      <c r="B191" s="256"/>
      <c r="C191" s="22">
        <f t="shared" ref="C191:AH191" si="86">C24/C$84</f>
        <v>4.549617512724514E-4</v>
      </c>
      <c r="D191" s="159">
        <f t="shared" si="86"/>
        <v>5.5171828968720352E-5</v>
      </c>
      <c r="E191" s="159">
        <f t="shared" si="86"/>
        <v>1.6986974220305183E-3</v>
      </c>
      <c r="F191" s="159">
        <f t="shared" si="86"/>
        <v>2.0862914648366471E-3</v>
      </c>
      <c r="G191" s="159">
        <f t="shared" si="86"/>
        <v>5.544602251486417E-4</v>
      </c>
      <c r="H191" s="159">
        <f t="shared" si="86"/>
        <v>9.9453513763237788E-5</v>
      </c>
      <c r="I191" s="159">
        <f t="shared" si="86"/>
        <v>1.6144569675525004E-4</v>
      </c>
      <c r="J191" s="159">
        <f t="shared" si="86"/>
        <v>1.8729612036897335E-4</v>
      </c>
      <c r="K191" s="159">
        <f t="shared" si="86"/>
        <v>3.3272353732603831E-4</v>
      </c>
      <c r="L191" s="159">
        <f t="shared" si="86"/>
        <v>2.5018920326151553E-4</v>
      </c>
      <c r="M191" s="159">
        <f t="shared" si="86"/>
        <v>2.9208646454334801E-4</v>
      </c>
      <c r="N191" s="159">
        <f t="shared" si="86"/>
        <v>3.3277854537927803E-4</v>
      </c>
      <c r="O191" s="159">
        <f t="shared" si="86"/>
        <v>2.9460110159425164E-4</v>
      </c>
      <c r="P191" s="159">
        <f t="shared" si="86"/>
        <v>1.5339843564931893E-4</v>
      </c>
      <c r="Q191" s="159">
        <f t="shared" si="86"/>
        <v>6.7803723789164186E-4</v>
      </c>
      <c r="R191" s="159">
        <f t="shared" si="86"/>
        <v>2.4780467631798687E-4</v>
      </c>
      <c r="S191" s="159">
        <f t="shared" si="86"/>
        <v>2.2709986861240328E-4</v>
      </c>
      <c r="T191" s="159">
        <f t="shared" si="86"/>
        <v>7.8231923459306575E-4</v>
      </c>
      <c r="U191" s="159">
        <f t="shared" si="86"/>
        <v>1.4585086369320614E-3</v>
      </c>
      <c r="V191" s="159">
        <f t="shared" si="86"/>
        <v>3.3704234861780071E-3</v>
      </c>
      <c r="W191" s="159">
        <f t="shared" si="86"/>
        <v>1.012123253978481E-3</v>
      </c>
      <c r="X191" s="159">
        <f t="shared" si="86"/>
        <v>2.7302383889890473E-2</v>
      </c>
      <c r="Y191" s="159">
        <f t="shared" si="86"/>
        <v>5.0102136211685702E-2</v>
      </c>
      <c r="Z191" s="159">
        <f t="shared" si="86"/>
        <v>2.1708234578026016E-2</v>
      </c>
      <c r="AA191" s="159">
        <f t="shared" si="86"/>
        <v>4.9028874429438343E-3</v>
      </c>
      <c r="AB191" s="159">
        <f t="shared" si="86"/>
        <v>3.6008055776164168E-3</v>
      </c>
      <c r="AC191" s="159">
        <f t="shared" si="86"/>
        <v>4.2965640696504792E-4</v>
      </c>
      <c r="AD191" s="159">
        <f t="shared" si="86"/>
        <v>9.8825120764374063E-5</v>
      </c>
      <c r="AE191" s="159">
        <f t="shared" si="86"/>
        <v>7.1428000583686558E-3</v>
      </c>
      <c r="AF191" s="159">
        <f t="shared" si="86"/>
        <v>4.7573880660239411E-3</v>
      </c>
      <c r="AG191" s="159">
        <f t="shared" si="86"/>
        <v>6.303707742972743E-4</v>
      </c>
      <c r="AH191" s="159">
        <f t="shared" si="86"/>
        <v>1.1457579092375293E-3</v>
      </c>
      <c r="AI191" s="159">
        <f t="shared" ref="AI191:BN191" si="87">AI24/AI$84</f>
        <v>2.4358869290543617E-4</v>
      </c>
      <c r="AJ191" s="159">
        <f t="shared" si="87"/>
        <v>3.6223899329972838E-3</v>
      </c>
      <c r="AK191" s="159">
        <f t="shared" si="87"/>
        <v>5.4852392090760579E-4</v>
      </c>
      <c r="AL191" s="159">
        <f t="shared" si="87"/>
        <v>8.4531375508288434E-4</v>
      </c>
      <c r="AM191" s="159">
        <f t="shared" si="87"/>
        <v>1.0283112364470918E-3</v>
      </c>
      <c r="AN191" s="159">
        <f t="shared" si="87"/>
        <v>1.6891435586304476E-3</v>
      </c>
      <c r="AO191" s="159">
        <f t="shared" si="87"/>
        <v>9.1649886573620264E-4</v>
      </c>
      <c r="AP191" s="159">
        <f t="shared" si="87"/>
        <v>2.3964571846561656E-4</v>
      </c>
      <c r="AQ191" s="159">
        <f t="shared" si="87"/>
        <v>8.306442188449058E-4</v>
      </c>
      <c r="AR191" s="159">
        <f t="shared" si="87"/>
        <v>2.7565147921842896E-4</v>
      </c>
      <c r="AS191" s="159">
        <f t="shared" si="87"/>
        <v>9.0495952626529005E-5</v>
      </c>
      <c r="AT191" s="159">
        <f t="shared" si="87"/>
        <v>5.2690798650995122E-6</v>
      </c>
      <c r="AU191" s="159">
        <f t="shared" si="87"/>
        <v>2.8279373147215873E-5</v>
      </c>
      <c r="AV191" s="159">
        <f t="shared" si="87"/>
        <v>2.0531734248586532E-3</v>
      </c>
      <c r="AW191" s="159">
        <f t="shared" si="87"/>
        <v>1.0285927829467123E-3</v>
      </c>
      <c r="AX191" s="159">
        <f t="shared" si="87"/>
        <v>1.6560063253698255E-4</v>
      </c>
      <c r="AY191" s="159">
        <f t="shared" si="87"/>
        <v>1.6785662743606724E-4</v>
      </c>
      <c r="AZ191" s="159">
        <f t="shared" si="87"/>
        <v>9.2084460152645853E-5</v>
      </c>
      <c r="BA191" s="159">
        <f t="shared" si="87"/>
        <v>4.3111243049615828E-5</v>
      </c>
      <c r="BB191" s="159">
        <f t="shared" si="87"/>
        <v>2.0495979567910979E-4</v>
      </c>
      <c r="BC191" s="159">
        <f t="shared" si="87"/>
        <v>5.1110058000772977E-5</v>
      </c>
      <c r="BD191" s="159">
        <f t="shared" si="87"/>
        <v>7.0109722578830973E-4</v>
      </c>
      <c r="BE191" s="159">
        <f t="shared" si="87"/>
        <v>1.446974117794672E-3</v>
      </c>
      <c r="BF191" s="159">
        <f t="shared" si="87"/>
        <v>1.5209436227641457E-3</v>
      </c>
      <c r="BG191" s="159">
        <f t="shared" si="87"/>
        <v>5.8415696948724355E-5</v>
      </c>
      <c r="BH191" s="159">
        <f t="shared" si="87"/>
        <v>9.3141913673892412E-5</v>
      </c>
      <c r="BI191" s="159">
        <f t="shared" si="87"/>
        <v>1.1954020851132926E-5</v>
      </c>
      <c r="BJ191" s="159">
        <f t="shared" si="87"/>
        <v>1.5101206025013652E-3</v>
      </c>
      <c r="BK191" s="159">
        <f t="shared" si="87"/>
        <v>6.7806943057719882E-5</v>
      </c>
      <c r="BL191" s="159">
        <f t="shared" si="87"/>
        <v>6.5404370947326579E-5</v>
      </c>
      <c r="BM191" s="159">
        <f t="shared" si="87"/>
        <v>9.6566166246180236E-4</v>
      </c>
      <c r="BN191" s="159">
        <f t="shared" si="87"/>
        <v>1.2840535572697956E-4</v>
      </c>
      <c r="BO191" s="159">
        <f t="shared" ref="BO191:CA191" si="88">BO24/BO$84</f>
        <v>1.2366747896230181E-4</v>
      </c>
      <c r="BP191" s="159">
        <f t="shared" si="88"/>
        <v>5.8762761417448608E-4</v>
      </c>
      <c r="BQ191" s="159">
        <f t="shared" si="88"/>
        <v>5.21289415501305E-4</v>
      </c>
      <c r="BR191" s="159">
        <f t="shared" si="88"/>
        <v>5.6178379941910443E-4</v>
      </c>
      <c r="BS191" s="159">
        <f t="shared" si="88"/>
        <v>1.5106657340811845E-4</v>
      </c>
      <c r="BT191" s="159">
        <f t="shared" si="88"/>
        <v>1.3135128436956431E-4</v>
      </c>
      <c r="BU191" s="159">
        <f t="shared" si="88"/>
        <v>2.2439954586276931E-4</v>
      </c>
      <c r="BV191" s="159">
        <f t="shared" si="88"/>
        <v>4.1315734845690767E-5</v>
      </c>
      <c r="BW191" s="159">
        <f t="shared" si="88"/>
        <v>2.5434975689769877E-4</v>
      </c>
      <c r="BX191" s="159">
        <f t="shared" si="88"/>
        <v>1.5238069333524556E-3</v>
      </c>
      <c r="BY191" s="159">
        <f t="shared" si="88"/>
        <v>1.8175487020152564E-2</v>
      </c>
      <c r="BZ191" s="159">
        <f t="shared" si="88"/>
        <v>9.3764377232555284E-4</v>
      </c>
      <c r="CA191" s="118">
        <f t="shared" si="88"/>
        <v>0</v>
      </c>
      <c r="CB191" s="18"/>
      <c r="CC191" s="271"/>
      <c r="CD191" s="147">
        <f t="shared" si="82"/>
        <v>4.0072046665318908E-3</v>
      </c>
      <c r="CE191" s="148">
        <f t="shared" si="82"/>
        <v>2.2848324770085462E-4</v>
      </c>
      <c r="CF191" s="148">
        <f t="shared" si="82"/>
        <v>1.025161602520358E-2</v>
      </c>
      <c r="CG191" s="119">
        <f t="shared" si="82"/>
        <v>4.6587825686389639E-2</v>
      </c>
      <c r="CH191" s="18"/>
      <c r="CI191" s="18"/>
      <c r="CJ191" s="18"/>
    </row>
    <row r="192" spans="1:88" ht="13.95" customHeight="1" x14ac:dyDescent="0.25">
      <c r="A192" s="8" t="s">
        <v>23</v>
      </c>
      <c r="B192" s="256"/>
      <c r="C192" s="22">
        <f t="shared" ref="C192:AH192" si="89">C25/C$84</f>
        <v>5.2781725728262971E-3</v>
      </c>
      <c r="D192" s="159">
        <f t="shared" si="89"/>
        <v>3.8324872060004013E-4</v>
      </c>
      <c r="E192" s="159">
        <f t="shared" si="89"/>
        <v>1.7205925552897729E-3</v>
      </c>
      <c r="F192" s="159">
        <f t="shared" si="89"/>
        <v>4.9562568586290585E-3</v>
      </c>
      <c r="G192" s="159">
        <f t="shared" si="89"/>
        <v>3.8795284643232918E-3</v>
      </c>
      <c r="H192" s="159">
        <f t="shared" si="89"/>
        <v>7.786643294163387E-4</v>
      </c>
      <c r="I192" s="159">
        <f t="shared" si="89"/>
        <v>2.7695333184804501E-3</v>
      </c>
      <c r="J192" s="159">
        <f t="shared" si="89"/>
        <v>4.6146473067652739E-4</v>
      </c>
      <c r="K192" s="159">
        <f t="shared" si="89"/>
        <v>5.4275843865635789E-3</v>
      </c>
      <c r="L192" s="159">
        <f t="shared" si="89"/>
        <v>2.4362406012689687E-3</v>
      </c>
      <c r="M192" s="159">
        <f t="shared" si="89"/>
        <v>7.4189575891611789E-4</v>
      </c>
      <c r="N192" s="159">
        <f t="shared" si="89"/>
        <v>8.1755056354583522E-4</v>
      </c>
      <c r="O192" s="159">
        <f t="shared" si="89"/>
        <v>3.6004886739483938E-3</v>
      </c>
      <c r="P192" s="159">
        <f t="shared" si="89"/>
        <v>1.2001040065268945E-3</v>
      </c>
      <c r="Q192" s="159">
        <f t="shared" si="89"/>
        <v>1.297945851821342E-3</v>
      </c>
      <c r="R192" s="159">
        <f t="shared" si="89"/>
        <v>1.136305569711621E-3</v>
      </c>
      <c r="S192" s="159">
        <f t="shared" si="89"/>
        <v>7.2816476054176943E-4</v>
      </c>
      <c r="T192" s="159">
        <f t="shared" si="89"/>
        <v>3.2247986247890625E-4</v>
      </c>
      <c r="U192" s="159">
        <f t="shared" si="89"/>
        <v>7.9960703907372335E-4</v>
      </c>
      <c r="V192" s="159">
        <f t="shared" si="89"/>
        <v>8.9673191750356282E-4</v>
      </c>
      <c r="W192" s="159">
        <f t="shared" si="89"/>
        <v>1.6845838609722715E-3</v>
      </c>
      <c r="X192" s="159">
        <f t="shared" si="89"/>
        <v>1.6148276528444284E-3</v>
      </c>
      <c r="Y192" s="159">
        <f t="shared" si="89"/>
        <v>3.1237285014662987E-3</v>
      </c>
      <c r="Z192" s="159">
        <f t="shared" si="89"/>
        <v>3.2459572763428111E-2</v>
      </c>
      <c r="AA192" s="159">
        <f t="shared" si="89"/>
        <v>9.1467510981297247E-3</v>
      </c>
      <c r="AB192" s="159">
        <f t="shared" si="89"/>
        <v>6.2395774045648838E-3</v>
      </c>
      <c r="AC192" s="159">
        <f t="shared" si="89"/>
        <v>6.102858061029123E-4</v>
      </c>
      <c r="AD192" s="159">
        <f t="shared" si="89"/>
        <v>3.3563825844742522E-3</v>
      </c>
      <c r="AE192" s="159">
        <f t="shared" si="89"/>
        <v>2.2822941564687199E-2</v>
      </c>
      <c r="AF192" s="159">
        <f t="shared" si="89"/>
        <v>7.0583245772090435E-4</v>
      </c>
      <c r="AG192" s="159">
        <f t="shared" si="89"/>
        <v>1.0579212819905519E-3</v>
      </c>
      <c r="AH192" s="159">
        <f t="shared" si="89"/>
        <v>1.0797288784213676E-3</v>
      </c>
      <c r="AI192" s="159">
        <f t="shared" ref="AI192:BN192" si="90">AI25/AI$84</f>
        <v>1.3266089164909636E-3</v>
      </c>
      <c r="AJ192" s="159">
        <f t="shared" si="90"/>
        <v>1.5864150366882994E-3</v>
      </c>
      <c r="AK192" s="159">
        <f t="shared" si="90"/>
        <v>1.4138239362626883E-3</v>
      </c>
      <c r="AL192" s="159">
        <f t="shared" si="90"/>
        <v>1.0253629053059762E-3</v>
      </c>
      <c r="AM192" s="159">
        <f t="shared" si="90"/>
        <v>9.0241488015596117E-4</v>
      </c>
      <c r="AN192" s="159">
        <f t="shared" si="90"/>
        <v>2.8021905974532133E-4</v>
      </c>
      <c r="AO192" s="159">
        <f t="shared" si="90"/>
        <v>9.068775804810986E-5</v>
      </c>
      <c r="AP192" s="159">
        <f t="shared" si="90"/>
        <v>2.2422176767667741E-4</v>
      </c>
      <c r="AQ192" s="159">
        <f t="shared" si="90"/>
        <v>3.0575453919474732E-4</v>
      </c>
      <c r="AR192" s="159">
        <f t="shared" si="90"/>
        <v>7.5939857098087716E-4</v>
      </c>
      <c r="AS192" s="159">
        <f t="shared" si="90"/>
        <v>1.0497530504677364E-3</v>
      </c>
      <c r="AT192" s="159">
        <f t="shared" si="90"/>
        <v>1.2206199870350527E-3</v>
      </c>
      <c r="AU192" s="159">
        <f t="shared" si="90"/>
        <v>6.7315998040627588E-5</v>
      </c>
      <c r="AV192" s="159">
        <f t="shared" si="90"/>
        <v>2.5165485671674743E-4</v>
      </c>
      <c r="AW192" s="159">
        <f t="shared" si="90"/>
        <v>7.8359947961303121E-4</v>
      </c>
      <c r="AX192" s="159">
        <f t="shared" si="90"/>
        <v>1.6799370526150541E-4</v>
      </c>
      <c r="AY192" s="159">
        <f t="shared" si="90"/>
        <v>6.9333081438921574E-5</v>
      </c>
      <c r="AZ192" s="159">
        <f t="shared" si="90"/>
        <v>3.7728991272948509E-4</v>
      </c>
      <c r="BA192" s="159">
        <f t="shared" si="90"/>
        <v>2.7317031886277308E-6</v>
      </c>
      <c r="BB192" s="159">
        <f t="shared" si="90"/>
        <v>2.3051345717301568E-4</v>
      </c>
      <c r="BC192" s="159">
        <f t="shared" si="90"/>
        <v>5.4677270260064462E-5</v>
      </c>
      <c r="BD192" s="159">
        <f t="shared" si="90"/>
        <v>4.1182126556644686E-4</v>
      </c>
      <c r="BE192" s="159">
        <f t="shared" si="90"/>
        <v>4.8893477478503908E-4</v>
      </c>
      <c r="BF192" s="159">
        <f t="shared" si="90"/>
        <v>1.2967241840818914E-3</v>
      </c>
      <c r="BG192" s="159">
        <f t="shared" si="90"/>
        <v>5.218270379286994E-5</v>
      </c>
      <c r="BH192" s="159">
        <f t="shared" si="90"/>
        <v>1.0278991784378423E-3</v>
      </c>
      <c r="BI192" s="159">
        <f t="shared" si="90"/>
        <v>8.8326931844482173E-5</v>
      </c>
      <c r="BJ192" s="159">
        <f t="shared" si="90"/>
        <v>2.9086307594218181E-3</v>
      </c>
      <c r="BK192" s="159">
        <f t="shared" si="90"/>
        <v>1.6259669487808748E-4</v>
      </c>
      <c r="BL192" s="159">
        <f t="shared" si="90"/>
        <v>1.4947101947011228E-5</v>
      </c>
      <c r="BM192" s="159">
        <f t="shared" si="90"/>
        <v>5.2186113123339913E-4</v>
      </c>
      <c r="BN192" s="159">
        <f t="shared" si="90"/>
        <v>9.6110401964524502E-4</v>
      </c>
      <c r="BO192" s="159">
        <f t="shared" ref="BO192:CA192" si="91">BO25/BO$84</f>
        <v>2.1461339659712623E-4</v>
      </c>
      <c r="BP192" s="159">
        <f t="shared" si="91"/>
        <v>9.4518666548106049E-5</v>
      </c>
      <c r="BQ192" s="159">
        <f t="shared" si="91"/>
        <v>6.3916603265519884E-5</v>
      </c>
      <c r="BR192" s="159">
        <f t="shared" si="91"/>
        <v>9.64178105663452E-5</v>
      </c>
      <c r="BS192" s="159">
        <f t="shared" si="91"/>
        <v>3.428150330967749E-5</v>
      </c>
      <c r="BT192" s="159">
        <f t="shared" si="91"/>
        <v>1.0592549417363887E-4</v>
      </c>
      <c r="BU192" s="159">
        <f t="shared" si="91"/>
        <v>1.2653366462746463E-4</v>
      </c>
      <c r="BV192" s="159">
        <f t="shared" si="91"/>
        <v>8.2178004308928836E-4</v>
      </c>
      <c r="BW192" s="159">
        <f t="shared" si="91"/>
        <v>2.0124626822640501E-4</v>
      </c>
      <c r="BX192" s="159">
        <f t="shared" si="91"/>
        <v>6.2415296837384563E-4</v>
      </c>
      <c r="BY192" s="159">
        <f t="shared" si="91"/>
        <v>2.749448141172421E-5</v>
      </c>
      <c r="BZ192" s="159">
        <f t="shared" si="91"/>
        <v>2.8242620206144766E-4</v>
      </c>
      <c r="CA192" s="118">
        <f t="shared" si="91"/>
        <v>0</v>
      </c>
      <c r="CB192" s="18"/>
      <c r="CC192" s="271"/>
      <c r="CD192" s="147">
        <f t="shared" si="82"/>
        <v>1.628028076067599E-4</v>
      </c>
      <c r="CE192" s="148">
        <f t="shared" si="82"/>
        <v>3.635235193787837E-5</v>
      </c>
      <c r="CF192" s="148">
        <f t="shared" si="82"/>
        <v>1.8741500435698683E-2</v>
      </c>
      <c r="CG192" s="119">
        <f t="shared" si="82"/>
        <v>3.8364838681530677E-2</v>
      </c>
      <c r="CH192" s="18"/>
      <c r="CI192" s="18"/>
      <c r="CJ192" s="18"/>
    </row>
    <row r="193" spans="1:88" ht="13.95" customHeight="1" x14ac:dyDescent="0.25">
      <c r="A193" s="8" t="s">
        <v>24</v>
      </c>
      <c r="B193" s="256"/>
      <c r="C193" s="22">
        <f t="shared" ref="C193:AH193" si="92">C26/C$84</f>
        <v>3.5257931897418344E-4</v>
      </c>
      <c r="D193" s="159">
        <f t="shared" si="92"/>
        <v>4.9546908957011759E-3</v>
      </c>
      <c r="E193" s="159">
        <f t="shared" si="92"/>
        <v>2.9777381232586526E-3</v>
      </c>
      <c r="F193" s="159">
        <f t="shared" si="92"/>
        <v>2.707621521528633E-4</v>
      </c>
      <c r="G193" s="159">
        <f t="shared" si="92"/>
        <v>1.6747583861855086E-3</v>
      </c>
      <c r="H193" s="159">
        <f t="shared" si="92"/>
        <v>8.0130159811902797E-4</v>
      </c>
      <c r="I193" s="159">
        <f t="shared" si="92"/>
        <v>6.4623654108720381E-4</v>
      </c>
      <c r="J193" s="159">
        <f t="shared" si="92"/>
        <v>3.0235982222355583E-4</v>
      </c>
      <c r="K193" s="159">
        <f t="shared" si="92"/>
        <v>3.3821541897311613E-4</v>
      </c>
      <c r="L193" s="159">
        <f t="shared" si="92"/>
        <v>4.6298013928958609E-4</v>
      </c>
      <c r="M193" s="159">
        <f t="shared" si="92"/>
        <v>4.175697440893997E-4</v>
      </c>
      <c r="N193" s="159">
        <f t="shared" si="92"/>
        <v>1.2848382283764353E-3</v>
      </c>
      <c r="O193" s="159">
        <f t="shared" si="92"/>
        <v>2.5187811369747643E-4</v>
      </c>
      <c r="P193" s="159">
        <f t="shared" si="92"/>
        <v>2.7195393868763014E-4</v>
      </c>
      <c r="Q193" s="159">
        <f t="shared" si="92"/>
        <v>8.3504481463326217E-5</v>
      </c>
      <c r="R193" s="159">
        <f t="shared" si="92"/>
        <v>2.4011608376824198E-4</v>
      </c>
      <c r="S193" s="159">
        <f t="shared" si="92"/>
        <v>4.000398594678486E-4</v>
      </c>
      <c r="T193" s="159">
        <f t="shared" si="92"/>
        <v>2.4868500838048876E-3</v>
      </c>
      <c r="U193" s="159">
        <f t="shared" si="92"/>
        <v>1.3272274852375594E-3</v>
      </c>
      <c r="V193" s="159">
        <f t="shared" si="92"/>
        <v>9.0840916294927592E-5</v>
      </c>
      <c r="W193" s="159">
        <f t="shared" si="92"/>
        <v>2.1932210359320529E-3</v>
      </c>
      <c r="X193" s="159">
        <f t="shared" si="92"/>
        <v>4.3392245595566379E-5</v>
      </c>
      <c r="Y193" s="159">
        <f t="shared" si="92"/>
        <v>1.0380584640953302E-3</v>
      </c>
      <c r="Z193" s="159">
        <f t="shared" si="92"/>
        <v>5.9366506558680985E-3</v>
      </c>
      <c r="AA193" s="159">
        <f t="shared" si="92"/>
        <v>0.16265584134455599</v>
      </c>
      <c r="AB193" s="159">
        <f t="shared" si="92"/>
        <v>5.3785702906340369E-3</v>
      </c>
      <c r="AC193" s="159">
        <f t="shared" si="92"/>
        <v>2.982239782835783E-3</v>
      </c>
      <c r="AD193" s="159">
        <f t="shared" si="92"/>
        <v>2.8278364664542638E-4</v>
      </c>
      <c r="AE193" s="159">
        <f t="shared" si="92"/>
        <v>3.7028514517047389E-2</v>
      </c>
      <c r="AF193" s="159">
        <f t="shared" si="92"/>
        <v>2.1244473699833554E-4</v>
      </c>
      <c r="AG193" s="159">
        <f t="shared" si="92"/>
        <v>2.0532950949197623E-3</v>
      </c>
      <c r="AH193" s="159">
        <f t="shared" si="92"/>
        <v>4.1054059635245808E-3</v>
      </c>
      <c r="AI193" s="159">
        <f t="shared" ref="AI193:BN193" si="93">AI26/AI$84</f>
        <v>3.0833367707716829E-3</v>
      </c>
      <c r="AJ193" s="159">
        <f t="shared" si="93"/>
        <v>7.8826946177986594E-4</v>
      </c>
      <c r="AK193" s="159">
        <f t="shared" si="93"/>
        <v>9.8701103522278819E-3</v>
      </c>
      <c r="AL193" s="159">
        <f t="shared" si="93"/>
        <v>7.4008182313763842E-4</v>
      </c>
      <c r="AM193" s="159">
        <f t="shared" si="93"/>
        <v>2.19311254059725E-4</v>
      </c>
      <c r="AN193" s="159">
        <f t="shared" si="93"/>
        <v>2.1870590117737464E-2</v>
      </c>
      <c r="AO193" s="159">
        <f t="shared" si="93"/>
        <v>3.8618505370487116E-4</v>
      </c>
      <c r="AP193" s="159">
        <f t="shared" si="93"/>
        <v>1.6715198918944691E-3</v>
      </c>
      <c r="AQ193" s="159">
        <f t="shared" si="93"/>
        <v>8.573065452562482E-4</v>
      </c>
      <c r="AR193" s="159">
        <f t="shared" si="93"/>
        <v>5.0130638527849756E-4</v>
      </c>
      <c r="AS193" s="159">
        <f t="shared" si="93"/>
        <v>4.2177301681407066E-4</v>
      </c>
      <c r="AT193" s="159">
        <f t="shared" si="93"/>
        <v>6.5035500049228257E-4</v>
      </c>
      <c r="AU193" s="159">
        <f t="shared" si="93"/>
        <v>1.3307940304572176E-5</v>
      </c>
      <c r="AV193" s="159">
        <f t="shared" si="93"/>
        <v>8.5645434007855297E-4</v>
      </c>
      <c r="AW193" s="159">
        <f t="shared" si="93"/>
        <v>6.1821529777648021E-4</v>
      </c>
      <c r="AX193" s="159">
        <f t="shared" si="93"/>
        <v>3.7303217629862487E-4</v>
      </c>
      <c r="AY193" s="159">
        <f t="shared" si="93"/>
        <v>2.4625540260356338E-3</v>
      </c>
      <c r="AZ193" s="159">
        <f t="shared" si="93"/>
        <v>5.1821149871388565E-5</v>
      </c>
      <c r="BA193" s="159">
        <f t="shared" si="93"/>
        <v>1.2764503990496851E-4</v>
      </c>
      <c r="BB193" s="159">
        <f t="shared" si="93"/>
        <v>9.8469161824690972E-5</v>
      </c>
      <c r="BC193" s="159">
        <f t="shared" si="93"/>
        <v>2.9889641544029755E-4</v>
      </c>
      <c r="BD193" s="159">
        <f t="shared" si="93"/>
        <v>6.04821491533086E-4</v>
      </c>
      <c r="BE193" s="159">
        <f t="shared" si="93"/>
        <v>8.2436572333172229E-4</v>
      </c>
      <c r="BF193" s="159">
        <f t="shared" si="93"/>
        <v>4.1340603627421617E-4</v>
      </c>
      <c r="BG193" s="159">
        <f t="shared" si="93"/>
        <v>2.8331400289989474E-4</v>
      </c>
      <c r="BH193" s="159">
        <f t="shared" si="93"/>
        <v>1.008277499071227E-3</v>
      </c>
      <c r="BI193" s="159">
        <f t="shared" si="93"/>
        <v>9.8919522543124963E-4</v>
      </c>
      <c r="BJ193" s="159">
        <f t="shared" si="93"/>
        <v>2.6839302480112558E-3</v>
      </c>
      <c r="BK193" s="159">
        <f t="shared" si="93"/>
        <v>8.4175476903648825E-4</v>
      </c>
      <c r="BL193" s="159">
        <f t="shared" si="93"/>
        <v>2.6604977471347789E-3</v>
      </c>
      <c r="BM193" s="159">
        <f t="shared" si="93"/>
        <v>2.3237079409487173E-3</v>
      </c>
      <c r="BN193" s="159">
        <f t="shared" si="93"/>
        <v>3.0865301852491213E-3</v>
      </c>
      <c r="BO193" s="159">
        <f t="shared" ref="BO193:CA193" si="94">BO26/BO$84</f>
        <v>2.2235908019638416E-4</v>
      </c>
      <c r="BP193" s="159">
        <f t="shared" si="94"/>
        <v>5.0803470404394227E-4</v>
      </c>
      <c r="BQ193" s="159">
        <f t="shared" si="94"/>
        <v>2.4275062276490192E-4</v>
      </c>
      <c r="BR193" s="159">
        <f t="shared" si="94"/>
        <v>9.8853012027934933E-5</v>
      </c>
      <c r="BS193" s="159">
        <f t="shared" si="94"/>
        <v>1.6128088321777938E-4</v>
      </c>
      <c r="BT193" s="159">
        <f t="shared" si="94"/>
        <v>1.2639463212920339E-4</v>
      </c>
      <c r="BU193" s="159">
        <f t="shared" si="94"/>
        <v>3.66255646441216E-4</v>
      </c>
      <c r="BV193" s="159">
        <f t="shared" si="94"/>
        <v>4.4842687820322908E-4</v>
      </c>
      <c r="BW193" s="159">
        <f t="shared" si="94"/>
        <v>4.8362919725530173E-4</v>
      </c>
      <c r="BX193" s="159">
        <f t="shared" si="94"/>
        <v>4.1543572120782768E-3</v>
      </c>
      <c r="BY193" s="159">
        <f t="shared" si="94"/>
        <v>2.0999839045819627E-4</v>
      </c>
      <c r="BZ193" s="159">
        <f t="shared" si="94"/>
        <v>9.6619490178916296E-4</v>
      </c>
      <c r="CA193" s="118">
        <f t="shared" si="94"/>
        <v>0</v>
      </c>
      <c r="CB193" s="18"/>
      <c r="CC193" s="271"/>
      <c r="CD193" s="147">
        <f t="shared" si="82"/>
        <v>3.7810469674466728E-3</v>
      </c>
      <c r="CE193" s="148">
        <f t="shared" si="82"/>
        <v>7.2791397160337314E-6</v>
      </c>
      <c r="CF193" s="148">
        <f t="shared" si="82"/>
        <v>2.2079034831241542E-2</v>
      </c>
      <c r="CG193" s="119">
        <f t="shared" si="82"/>
        <v>9.2408800366146918E-2</v>
      </c>
      <c r="CH193" s="18"/>
      <c r="CI193" s="18"/>
      <c r="CJ193" s="18"/>
    </row>
    <row r="194" spans="1:88" ht="13.95" customHeight="1" x14ac:dyDescent="0.25">
      <c r="A194" s="8" t="s">
        <v>25</v>
      </c>
      <c r="B194" s="256"/>
      <c r="C194" s="22">
        <f t="shared" ref="C194:AH194" si="95">C27/C$84</f>
        <v>3.5770184264466544E-5</v>
      </c>
      <c r="D194" s="159">
        <f t="shared" si="95"/>
        <v>2.3146102735853704E-4</v>
      </c>
      <c r="E194" s="159">
        <f t="shared" si="95"/>
        <v>3.2769716111351347E-3</v>
      </c>
      <c r="F194" s="159">
        <f t="shared" si="95"/>
        <v>7.8161176481141665E-4</v>
      </c>
      <c r="G194" s="159">
        <f t="shared" si="95"/>
        <v>5.3759683244533011E-4</v>
      </c>
      <c r="H194" s="159">
        <f t="shared" si="95"/>
        <v>1.0342134825016489E-5</v>
      </c>
      <c r="I194" s="159">
        <f t="shared" si="95"/>
        <v>3.6209574483049339E-5</v>
      </c>
      <c r="J194" s="159">
        <f t="shared" si="95"/>
        <v>0</v>
      </c>
      <c r="K194" s="159">
        <f t="shared" si="95"/>
        <v>0</v>
      </c>
      <c r="L194" s="159">
        <f t="shared" si="95"/>
        <v>0</v>
      </c>
      <c r="M194" s="159">
        <f t="shared" si="95"/>
        <v>0</v>
      </c>
      <c r="N194" s="159">
        <f t="shared" si="95"/>
        <v>1.6332689343768247E-5</v>
      </c>
      <c r="O194" s="159">
        <f t="shared" si="95"/>
        <v>2.2071009761619917E-5</v>
      </c>
      <c r="P194" s="159">
        <f t="shared" si="95"/>
        <v>2.4770564511465898E-5</v>
      </c>
      <c r="Q194" s="159">
        <f t="shared" si="95"/>
        <v>2.078302235613046E-5</v>
      </c>
      <c r="R194" s="159">
        <f t="shared" si="95"/>
        <v>7.4803908172566396E-6</v>
      </c>
      <c r="S194" s="159">
        <f t="shared" si="95"/>
        <v>5.5605058739036923E-5</v>
      </c>
      <c r="T194" s="159">
        <f t="shared" si="95"/>
        <v>1.5399851973858751E-4</v>
      </c>
      <c r="U194" s="159">
        <f t="shared" si="95"/>
        <v>1.351746611363924E-5</v>
      </c>
      <c r="V194" s="159">
        <f t="shared" si="95"/>
        <v>1.6026012715151234E-5</v>
      </c>
      <c r="W194" s="159">
        <f t="shared" si="95"/>
        <v>7.1661138322627051E-5</v>
      </c>
      <c r="X194" s="159">
        <f t="shared" si="95"/>
        <v>9.4764347874610604E-5</v>
      </c>
      <c r="Y194" s="159">
        <f t="shared" si="95"/>
        <v>6.8029193403351814E-5</v>
      </c>
      <c r="Z194" s="159">
        <f t="shared" si="95"/>
        <v>1.2988383036170059E-4</v>
      </c>
      <c r="AA194" s="159">
        <f t="shared" si="95"/>
        <v>1.2193332882407981E-4</v>
      </c>
      <c r="AB194" s="159">
        <f t="shared" si="95"/>
        <v>8.4063495748011863E-2</v>
      </c>
      <c r="AC194" s="159">
        <f t="shared" si="95"/>
        <v>4.5259131940253782E-5</v>
      </c>
      <c r="AD194" s="159">
        <f t="shared" si="95"/>
        <v>5.1171831107868611E-5</v>
      </c>
      <c r="AE194" s="159">
        <f t="shared" si="95"/>
        <v>2.4705855529910813E-3</v>
      </c>
      <c r="AF194" s="159">
        <f t="shared" si="95"/>
        <v>1.8562874161256608E-5</v>
      </c>
      <c r="AG194" s="159">
        <f t="shared" si="95"/>
        <v>1.7136292893518134E-5</v>
      </c>
      <c r="AH194" s="159">
        <f t="shared" si="95"/>
        <v>3.1263151566163647E-5</v>
      </c>
      <c r="AI194" s="159">
        <f t="shared" ref="AI194:BN194" si="96">AI27/AI$84</f>
        <v>2.9101625638795672E-4</v>
      </c>
      <c r="AJ194" s="159">
        <f t="shared" si="96"/>
        <v>9.62443713495717E-6</v>
      </c>
      <c r="AK194" s="159">
        <f t="shared" si="96"/>
        <v>1.3509877409120743E-5</v>
      </c>
      <c r="AL194" s="159">
        <f t="shared" si="96"/>
        <v>7.2715900522586848E-7</v>
      </c>
      <c r="AM194" s="159">
        <f t="shared" si="96"/>
        <v>6.1931662669679034E-6</v>
      </c>
      <c r="AN194" s="159">
        <f t="shared" si="96"/>
        <v>1.0070971763192682E-2</v>
      </c>
      <c r="AO194" s="159">
        <f t="shared" si="96"/>
        <v>7.8230575149001325E-3</v>
      </c>
      <c r="AP194" s="159">
        <f t="shared" si="96"/>
        <v>2.0193885908769082E-6</v>
      </c>
      <c r="AQ194" s="159">
        <f t="shared" si="96"/>
        <v>1.427959919493039E-4</v>
      </c>
      <c r="AR194" s="159">
        <f t="shared" si="96"/>
        <v>1.3243042595903172E-5</v>
      </c>
      <c r="AS194" s="159">
        <f t="shared" si="96"/>
        <v>8.6628604223685884E-6</v>
      </c>
      <c r="AT194" s="159">
        <f t="shared" si="96"/>
        <v>8.4305277841592185E-6</v>
      </c>
      <c r="AU194" s="159">
        <f t="shared" si="96"/>
        <v>1.1089950253810146E-7</v>
      </c>
      <c r="AV194" s="159">
        <f t="shared" si="96"/>
        <v>3.0060765756847532E-7</v>
      </c>
      <c r="AW194" s="159">
        <f t="shared" si="96"/>
        <v>1.2560245789851285E-6</v>
      </c>
      <c r="AX194" s="159">
        <f t="shared" si="96"/>
        <v>0</v>
      </c>
      <c r="AY194" s="159">
        <f t="shared" si="96"/>
        <v>0</v>
      </c>
      <c r="AZ194" s="159">
        <f t="shared" si="96"/>
        <v>0</v>
      </c>
      <c r="BA194" s="159">
        <f t="shared" si="96"/>
        <v>0</v>
      </c>
      <c r="BB194" s="159">
        <f t="shared" si="96"/>
        <v>2.9848824206238272E-6</v>
      </c>
      <c r="BC194" s="159">
        <f t="shared" si="96"/>
        <v>2.0084304317019291E-6</v>
      </c>
      <c r="BD194" s="159">
        <f t="shared" si="96"/>
        <v>4.0146532426972145E-5</v>
      </c>
      <c r="BE194" s="159">
        <f t="shared" si="96"/>
        <v>3.172833049671242E-5</v>
      </c>
      <c r="BF194" s="159">
        <f t="shared" si="96"/>
        <v>5.7755595350970757E-5</v>
      </c>
      <c r="BG194" s="159">
        <f t="shared" si="96"/>
        <v>4.6162440778853549E-6</v>
      </c>
      <c r="BH194" s="159">
        <f t="shared" si="96"/>
        <v>1.1724156965944499E-5</v>
      </c>
      <c r="BI194" s="159">
        <f t="shared" si="96"/>
        <v>0</v>
      </c>
      <c r="BJ194" s="159">
        <f t="shared" si="96"/>
        <v>2.2194303731064223E-5</v>
      </c>
      <c r="BK194" s="159">
        <f t="shared" si="96"/>
        <v>2.3250316484241106E-5</v>
      </c>
      <c r="BL194" s="159">
        <f t="shared" si="96"/>
        <v>2.2636651503566138E-5</v>
      </c>
      <c r="BM194" s="159">
        <f t="shared" si="96"/>
        <v>1.5508039200992514E-5</v>
      </c>
      <c r="BN194" s="159">
        <f t="shared" si="96"/>
        <v>1.9593820867868409E-5</v>
      </c>
      <c r="BO194" s="159">
        <f t="shared" ref="BO194:CA194" si="97">BO27/BO$84</f>
        <v>2.6293170857344952E-5</v>
      </c>
      <c r="BP194" s="159">
        <f t="shared" si="97"/>
        <v>3.2613987517862725E-3</v>
      </c>
      <c r="BQ194" s="159">
        <f t="shared" si="97"/>
        <v>2.3395848429130624E-6</v>
      </c>
      <c r="BR194" s="159">
        <f t="shared" si="97"/>
        <v>1.889554661067549E-6</v>
      </c>
      <c r="BS194" s="159">
        <f t="shared" si="97"/>
        <v>0</v>
      </c>
      <c r="BT194" s="159">
        <f t="shared" si="97"/>
        <v>4.5894928151489979E-6</v>
      </c>
      <c r="BU194" s="159">
        <f t="shared" si="97"/>
        <v>4.9427212745103367E-5</v>
      </c>
      <c r="BV194" s="159">
        <f t="shared" si="97"/>
        <v>1.0077008498948968E-6</v>
      </c>
      <c r="BW194" s="159">
        <f t="shared" si="97"/>
        <v>1.0791631710668491E-4</v>
      </c>
      <c r="BX194" s="159">
        <f t="shared" si="97"/>
        <v>0</v>
      </c>
      <c r="BY194" s="159">
        <f t="shared" si="97"/>
        <v>4.1613269163690701E-5</v>
      </c>
      <c r="BZ194" s="159">
        <f t="shared" si="97"/>
        <v>0</v>
      </c>
      <c r="CA194" s="118">
        <f t="shared" si="97"/>
        <v>0</v>
      </c>
      <c r="CB194" s="18"/>
      <c r="CC194" s="271"/>
      <c r="CD194" s="147">
        <f t="shared" si="82"/>
        <v>5.029724819759358E-4</v>
      </c>
      <c r="CE194" s="148">
        <f t="shared" si="82"/>
        <v>8.2637277337703233E-5</v>
      </c>
      <c r="CF194" s="148">
        <f t="shared" si="82"/>
        <v>1.8622001112064912E-2</v>
      </c>
      <c r="CG194" s="119">
        <f t="shared" si="82"/>
        <v>1.4177361349952164E-2</v>
      </c>
      <c r="CH194" s="18"/>
      <c r="CI194" s="18"/>
      <c r="CJ194" s="18"/>
    </row>
    <row r="195" spans="1:88" ht="13.95" customHeight="1" x14ac:dyDescent="0.25">
      <c r="A195" s="8" t="s">
        <v>26</v>
      </c>
      <c r="B195" s="256"/>
      <c r="C195" s="22">
        <f t="shared" ref="C195:AH195" si="98">C28/C$84</f>
        <v>1.0967255137390654E-4</v>
      </c>
      <c r="D195" s="159">
        <f t="shared" si="98"/>
        <v>8.5390351984973795E-4</v>
      </c>
      <c r="E195" s="159">
        <f t="shared" si="98"/>
        <v>1.3319539399380003E-4</v>
      </c>
      <c r="F195" s="159">
        <f t="shared" si="98"/>
        <v>4.4764428163429393E-4</v>
      </c>
      <c r="G195" s="159">
        <f t="shared" si="98"/>
        <v>4.9289868311125124E-4</v>
      </c>
      <c r="H195" s="159">
        <f t="shared" si="98"/>
        <v>2.0010768393615612E-4</v>
      </c>
      <c r="I195" s="159">
        <f t="shared" si="98"/>
        <v>4.8234057237445421E-5</v>
      </c>
      <c r="J195" s="159">
        <f t="shared" si="98"/>
        <v>8.0786575949847231E-4</v>
      </c>
      <c r="K195" s="159">
        <f t="shared" si="98"/>
        <v>7.476563183844878E-4</v>
      </c>
      <c r="L195" s="159">
        <f t="shared" si="98"/>
        <v>7.0290898295226377E-4</v>
      </c>
      <c r="M195" s="159">
        <f t="shared" si="98"/>
        <v>1.1316661303060846E-3</v>
      </c>
      <c r="N195" s="159">
        <f t="shared" si="98"/>
        <v>2.5025658550262334E-3</v>
      </c>
      <c r="O195" s="159">
        <f t="shared" si="98"/>
        <v>4.4849001351424903E-4</v>
      </c>
      <c r="P195" s="159">
        <f t="shared" si="98"/>
        <v>4.8660729440897768E-4</v>
      </c>
      <c r="Q195" s="159">
        <f t="shared" si="98"/>
        <v>4.2406586742705103E-4</v>
      </c>
      <c r="R195" s="159">
        <f t="shared" si="98"/>
        <v>6.0009687924043723E-4</v>
      </c>
      <c r="S195" s="159">
        <f t="shared" si="98"/>
        <v>1.4442175280908775E-3</v>
      </c>
      <c r="T195" s="159">
        <f t="shared" si="98"/>
        <v>1.7746458972506965E-3</v>
      </c>
      <c r="U195" s="159">
        <f t="shared" si="98"/>
        <v>2.0122854798593649E-3</v>
      </c>
      <c r="V195" s="159">
        <f t="shared" si="98"/>
        <v>3.0647534667728411E-4</v>
      </c>
      <c r="W195" s="159">
        <f t="shared" si="98"/>
        <v>1.4070337275697256E-3</v>
      </c>
      <c r="X195" s="159">
        <f t="shared" si="98"/>
        <v>4.3505837861523357E-5</v>
      </c>
      <c r="Y195" s="159">
        <f t="shared" si="98"/>
        <v>2.6579755600372058E-3</v>
      </c>
      <c r="Z195" s="159">
        <f t="shared" si="98"/>
        <v>4.149885182651872E-4</v>
      </c>
      <c r="AA195" s="159">
        <f t="shared" si="98"/>
        <v>2.9575921386864012E-4</v>
      </c>
      <c r="AB195" s="159">
        <f t="shared" si="98"/>
        <v>2.5680700753189056E-3</v>
      </c>
      <c r="AC195" s="159">
        <f t="shared" si="98"/>
        <v>4.0046324904202638E-2</v>
      </c>
      <c r="AD195" s="159">
        <f t="shared" si="98"/>
        <v>1.6949426091468769E-3</v>
      </c>
      <c r="AE195" s="159">
        <f t="shared" si="98"/>
        <v>4.6537701493973234E-4</v>
      </c>
      <c r="AF195" s="159">
        <f t="shared" si="98"/>
        <v>6.3995818938647367E-4</v>
      </c>
      <c r="AG195" s="159">
        <f t="shared" si="98"/>
        <v>5.5215583744757366E-4</v>
      </c>
      <c r="AH195" s="159">
        <f t="shared" si="98"/>
        <v>9.7699962620144865E-4</v>
      </c>
      <c r="AI195" s="159">
        <f t="shared" ref="AI195:BN195" si="99">AI28/AI$84</f>
        <v>9.6844904053675648E-4</v>
      </c>
      <c r="AJ195" s="159">
        <f t="shared" si="99"/>
        <v>1.1901902379203963E-3</v>
      </c>
      <c r="AK195" s="159">
        <f t="shared" si="99"/>
        <v>6.1613055319646845E-4</v>
      </c>
      <c r="AL195" s="159">
        <f t="shared" si="99"/>
        <v>4.6821596576649918E-4</v>
      </c>
      <c r="AM195" s="159">
        <f t="shared" si="99"/>
        <v>7.9897071144533188E-4</v>
      </c>
      <c r="AN195" s="159">
        <f t="shared" si="99"/>
        <v>8.4606366273305255E-4</v>
      </c>
      <c r="AO195" s="159">
        <f t="shared" si="99"/>
        <v>2.5282070363412141E-4</v>
      </c>
      <c r="AP195" s="159">
        <f t="shared" si="99"/>
        <v>6.3827766857734098E-4</v>
      </c>
      <c r="AQ195" s="159">
        <f t="shared" si="99"/>
        <v>1.8659649036236489E-3</v>
      </c>
      <c r="AR195" s="159">
        <f t="shared" si="99"/>
        <v>1.360044125163952E-3</v>
      </c>
      <c r="AS195" s="159">
        <f t="shared" si="99"/>
        <v>5.2681019943528974E-4</v>
      </c>
      <c r="AT195" s="159">
        <f t="shared" si="99"/>
        <v>7.5332787557022736E-4</v>
      </c>
      <c r="AU195" s="159">
        <f t="shared" si="99"/>
        <v>3.0940961208130307E-5</v>
      </c>
      <c r="AV195" s="159">
        <f t="shared" si="99"/>
        <v>2.4807068849189254E-4</v>
      </c>
      <c r="AW195" s="159">
        <f t="shared" si="99"/>
        <v>8.8878582890040394E-4</v>
      </c>
      <c r="AX195" s="159">
        <f t="shared" si="99"/>
        <v>6.4545957525830825E-4</v>
      </c>
      <c r="AY195" s="159">
        <f t="shared" si="99"/>
        <v>3.4044849506734609E-4</v>
      </c>
      <c r="AZ195" s="159">
        <f t="shared" si="99"/>
        <v>2.5770199720308688E-3</v>
      </c>
      <c r="BA195" s="159">
        <f t="shared" si="99"/>
        <v>1.1725463432204267E-3</v>
      </c>
      <c r="BB195" s="159">
        <f t="shared" si="99"/>
        <v>9.3184577701839184E-4</v>
      </c>
      <c r="BC195" s="159">
        <f t="shared" si="99"/>
        <v>1.9104070360054321E-4</v>
      </c>
      <c r="BD195" s="159">
        <f t="shared" si="99"/>
        <v>4.8500325072997304E-4</v>
      </c>
      <c r="BE195" s="159">
        <f t="shared" si="99"/>
        <v>4.0531740378849486E-4</v>
      </c>
      <c r="BF195" s="159">
        <f t="shared" si="99"/>
        <v>7.2314818345694631E-4</v>
      </c>
      <c r="BG195" s="159">
        <f t="shared" si="99"/>
        <v>4.1531305591039535E-4</v>
      </c>
      <c r="BH195" s="159">
        <f t="shared" si="99"/>
        <v>8.6347601876614159E-3</v>
      </c>
      <c r="BI195" s="159">
        <f t="shared" si="99"/>
        <v>2.1085564556859467E-4</v>
      </c>
      <c r="BJ195" s="159">
        <f t="shared" si="99"/>
        <v>4.5219212465397065E-4</v>
      </c>
      <c r="BK195" s="159">
        <f t="shared" si="99"/>
        <v>5.274478150923325E-4</v>
      </c>
      <c r="BL195" s="159">
        <f t="shared" si="99"/>
        <v>1.8886916101830371E-4</v>
      </c>
      <c r="BM195" s="159">
        <f t="shared" si="99"/>
        <v>1.1445765576732529E-3</v>
      </c>
      <c r="BN195" s="159">
        <f t="shared" si="99"/>
        <v>1.0565174082192129E-3</v>
      </c>
      <c r="BO195" s="159">
        <f t="shared" ref="BO195:CA195" si="100">BO28/BO$84</f>
        <v>2.5349988976891097E-4</v>
      </c>
      <c r="BP195" s="159">
        <f t="shared" si="100"/>
        <v>2.2013196371010487E-4</v>
      </c>
      <c r="BQ195" s="159">
        <f t="shared" si="100"/>
        <v>5.1739010742978323E-4</v>
      </c>
      <c r="BR195" s="159">
        <f t="shared" si="100"/>
        <v>2.6242175551187642E-3</v>
      </c>
      <c r="BS195" s="159">
        <f t="shared" si="100"/>
        <v>1.7491457571050279E-3</v>
      </c>
      <c r="BT195" s="159">
        <f t="shared" si="100"/>
        <v>2.9819770617149099E-3</v>
      </c>
      <c r="BU195" s="159">
        <f t="shared" si="100"/>
        <v>2.7634754645787293E-3</v>
      </c>
      <c r="BV195" s="159">
        <f t="shared" si="100"/>
        <v>3.8998022890932504E-4</v>
      </c>
      <c r="BW195" s="159">
        <f t="shared" si="100"/>
        <v>1.2733441682683179E-3</v>
      </c>
      <c r="BX195" s="159">
        <f t="shared" si="100"/>
        <v>3.4823985359914128E-5</v>
      </c>
      <c r="BY195" s="159">
        <f t="shared" si="100"/>
        <v>6.3928384752719837E-3</v>
      </c>
      <c r="BZ195" s="159">
        <f t="shared" si="100"/>
        <v>9.5121817965402764E-4</v>
      </c>
      <c r="CA195" s="118">
        <f t="shared" si="100"/>
        <v>0</v>
      </c>
      <c r="CB195" s="18"/>
      <c r="CC195" s="271"/>
      <c r="CD195" s="147">
        <f t="shared" si="82"/>
        <v>7.8012821259296344E-3</v>
      </c>
      <c r="CE195" s="148">
        <f t="shared" si="82"/>
        <v>7.5113538711602856E-6</v>
      </c>
      <c r="CF195" s="148">
        <f t="shared" si="82"/>
        <v>1.21371100323081E-2</v>
      </c>
      <c r="CG195" s="119">
        <f t="shared" si="82"/>
        <v>3.1853922471468142E-2</v>
      </c>
      <c r="CH195" s="18"/>
      <c r="CI195" s="18"/>
      <c r="CJ195" s="18"/>
    </row>
    <row r="196" spans="1:88" ht="13.95" customHeight="1" x14ac:dyDescent="0.25">
      <c r="A196" s="8" t="s">
        <v>27</v>
      </c>
      <c r="B196" s="256"/>
      <c r="C196" s="22">
        <f t="shared" ref="C196:AH196" si="101">C29/C$84</f>
        <v>2.4922487079916364E-5</v>
      </c>
      <c r="D196" s="159">
        <f t="shared" si="101"/>
        <v>1.6004174639430377E-4</v>
      </c>
      <c r="E196" s="159">
        <f t="shared" si="101"/>
        <v>6.4225724227147407E-4</v>
      </c>
      <c r="F196" s="159">
        <f t="shared" si="101"/>
        <v>5.6554851658737817E-5</v>
      </c>
      <c r="G196" s="159">
        <f t="shared" si="101"/>
        <v>1.5454723754601199E-4</v>
      </c>
      <c r="H196" s="159">
        <f t="shared" si="101"/>
        <v>2.9012084343958813E-4</v>
      </c>
      <c r="I196" s="159">
        <f t="shared" si="101"/>
        <v>2.7165348435478666E-3</v>
      </c>
      <c r="J196" s="159">
        <f t="shared" si="101"/>
        <v>3.0756249223380509E-4</v>
      </c>
      <c r="K196" s="159">
        <f t="shared" si="101"/>
        <v>4.0623026091000312E-4</v>
      </c>
      <c r="L196" s="159">
        <f t="shared" si="101"/>
        <v>2.2015162878375854E-4</v>
      </c>
      <c r="M196" s="159">
        <f t="shared" si="101"/>
        <v>8.0154857950031787E-4</v>
      </c>
      <c r="N196" s="159">
        <f t="shared" si="101"/>
        <v>3.2626117415075512E-4</v>
      </c>
      <c r="O196" s="159">
        <f t="shared" si="101"/>
        <v>1.4659103498389347E-4</v>
      </c>
      <c r="P196" s="159">
        <f t="shared" si="101"/>
        <v>1.3332830958430591E-4</v>
      </c>
      <c r="Q196" s="159">
        <f t="shared" si="101"/>
        <v>5.3252061549027103E-5</v>
      </c>
      <c r="R196" s="159">
        <f t="shared" si="101"/>
        <v>1.3369525536210177E-4</v>
      </c>
      <c r="S196" s="159">
        <f t="shared" si="101"/>
        <v>2.1187729560117191E-3</v>
      </c>
      <c r="T196" s="159">
        <f t="shared" si="101"/>
        <v>6.9881244618218697E-5</v>
      </c>
      <c r="U196" s="159">
        <f t="shared" si="101"/>
        <v>1.7626616078464879E-4</v>
      </c>
      <c r="V196" s="159">
        <f t="shared" si="101"/>
        <v>4.590365451073469E-5</v>
      </c>
      <c r="W196" s="159">
        <f t="shared" si="101"/>
        <v>7.2641807890568502E-5</v>
      </c>
      <c r="X196" s="159">
        <f t="shared" si="101"/>
        <v>2.9156294864507855E-4</v>
      </c>
      <c r="Y196" s="159">
        <f t="shared" si="101"/>
        <v>4.3115099262591526E-4</v>
      </c>
      <c r="Z196" s="159">
        <f t="shared" si="101"/>
        <v>2.1984711208501069E-4</v>
      </c>
      <c r="AA196" s="159">
        <f t="shared" si="101"/>
        <v>1.2184992709437798E-4</v>
      </c>
      <c r="AB196" s="159">
        <f t="shared" si="101"/>
        <v>8.3836903814025847E-5</v>
      </c>
      <c r="AC196" s="159">
        <f t="shared" si="101"/>
        <v>7.9299608487021377E-5</v>
      </c>
      <c r="AD196" s="159">
        <f t="shared" si="101"/>
        <v>5.3011569346742241E-2</v>
      </c>
      <c r="AE196" s="159">
        <f t="shared" si="101"/>
        <v>1.2543033110536982E-4</v>
      </c>
      <c r="AF196" s="159">
        <f t="shared" si="101"/>
        <v>1.0336347312332955E-5</v>
      </c>
      <c r="AG196" s="159">
        <f t="shared" si="101"/>
        <v>7.2584440613258967E-5</v>
      </c>
      <c r="AH196" s="159">
        <f t="shared" si="101"/>
        <v>1.1827718077473018E-3</v>
      </c>
      <c r="AI196" s="159">
        <f t="shared" ref="AI196:BN196" si="102">AI29/AI$84</f>
        <v>7.4475811851766518E-4</v>
      </c>
      <c r="AJ196" s="159">
        <f t="shared" si="102"/>
        <v>1.9689741182859176E-4</v>
      </c>
      <c r="AK196" s="159">
        <f t="shared" si="102"/>
        <v>2.3050751285618443E-4</v>
      </c>
      <c r="AL196" s="159">
        <f t="shared" si="102"/>
        <v>1.2968050637291885E-4</v>
      </c>
      <c r="AM196" s="159">
        <f t="shared" si="102"/>
        <v>2.657782931142496E-4</v>
      </c>
      <c r="AN196" s="159">
        <f t="shared" si="102"/>
        <v>1.0156920824542033E-4</v>
      </c>
      <c r="AO196" s="159">
        <f t="shared" si="102"/>
        <v>9.6689153801293596E-5</v>
      </c>
      <c r="AP196" s="159">
        <f t="shared" si="102"/>
        <v>3.0243245568770891E-4</v>
      </c>
      <c r="AQ196" s="159">
        <f t="shared" si="102"/>
        <v>1.618443007685515E-3</v>
      </c>
      <c r="AR196" s="159">
        <f t="shared" si="102"/>
        <v>6.4805891656346908E-4</v>
      </c>
      <c r="AS196" s="159">
        <f t="shared" si="102"/>
        <v>5.0832427406969965E-4</v>
      </c>
      <c r="AT196" s="159">
        <f t="shared" si="102"/>
        <v>2.5589662727703287E-3</v>
      </c>
      <c r="AU196" s="159">
        <f t="shared" si="102"/>
        <v>1.7965719411172437E-4</v>
      </c>
      <c r="AV196" s="159">
        <f t="shared" si="102"/>
        <v>7.3665062670453217E-4</v>
      </c>
      <c r="AW196" s="159">
        <f t="shared" si="102"/>
        <v>6.0675121889192509E-4</v>
      </c>
      <c r="AX196" s="159">
        <f t="shared" si="102"/>
        <v>4.1524597915920826E-4</v>
      </c>
      <c r="AY196" s="159">
        <f t="shared" si="102"/>
        <v>5.6257708512788756E-5</v>
      </c>
      <c r="AZ196" s="159">
        <f t="shared" si="102"/>
        <v>2.1636275712725737E-4</v>
      </c>
      <c r="BA196" s="159">
        <f t="shared" si="102"/>
        <v>8.8755519965050088E-5</v>
      </c>
      <c r="BB196" s="159">
        <f t="shared" si="102"/>
        <v>2.5669349656247007E-4</v>
      </c>
      <c r="BC196" s="159">
        <f t="shared" si="102"/>
        <v>3.1007767739589189E-4</v>
      </c>
      <c r="BD196" s="159">
        <f t="shared" si="102"/>
        <v>4.0968103769845694E-4</v>
      </c>
      <c r="BE196" s="159">
        <f t="shared" si="102"/>
        <v>1.1116933980855679E-4</v>
      </c>
      <c r="BF196" s="159">
        <f t="shared" si="102"/>
        <v>1.4171871766288282E-3</v>
      </c>
      <c r="BG196" s="159">
        <f t="shared" si="102"/>
        <v>1.2636170425179267E-4</v>
      </c>
      <c r="BH196" s="159">
        <f t="shared" si="102"/>
        <v>1.9230874134417296E-4</v>
      </c>
      <c r="BI196" s="159">
        <f t="shared" si="102"/>
        <v>6.1031917567728664E-4</v>
      </c>
      <c r="BJ196" s="159">
        <f t="shared" si="102"/>
        <v>5.1944759050568041E-4</v>
      </c>
      <c r="BK196" s="159">
        <f t="shared" si="102"/>
        <v>2.535761941642483E-4</v>
      </c>
      <c r="BL196" s="159">
        <f t="shared" si="102"/>
        <v>3.8421827952808631E-4</v>
      </c>
      <c r="BM196" s="159">
        <f t="shared" si="102"/>
        <v>9.2611095845927111E-4</v>
      </c>
      <c r="BN196" s="159">
        <f t="shared" si="102"/>
        <v>2.0179312115935939E-3</v>
      </c>
      <c r="BO196" s="159">
        <f t="shared" ref="BO196:CA196" si="103">BO29/BO$84</f>
        <v>5.2285998881249291E-4</v>
      </c>
      <c r="BP196" s="159">
        <f t="shared" si="103"/>
        <v>2.9674639701500889E-4</v>
      </c>
      <c r="BQ196" s="159">
        <f t="shared" si="103"/>
        <v>9.0585733867566318E-4</v>
      </c>
      <c r="BR196" s="159">
        <f t="shared" si="103"/>
        <v>3.8491339948687779E-3</v>
      </c>
      <c r="BS196" s="159">
        <f t="shared" si="103"/>
        <v>1.297480375264098E-3</v>
      </c>
      <c r="BT196" s="159">
        <f t="shared" si="103"/>
        <v>2.7360720366792265E-3</v>
      </c>
      <c r="BU196" s="159">
        <f t="shared" si="103"/>
        <v>1.7339066230982261E-3</v>
      </c>
      <c r="BV196" s="159">
        <f t="shared" si="103"/>
        <v>4.3532676715459542E-4</v>
      </c>
      <c r="BW196" s="159">
        <f t="shared" si="103"/>
        <v>5.6518749519960413E-3</v>
      </c>
      <c r="BX196" s="159">
        <f t="shared" si="103"/>
        <v>4.9303757260749431E-3</v>
      </c>
      <c r="BY196" s="159">
        <f t="shared" si="103"/>
        <v>1.0992590906044224E-3</v>
      </c>
      <c r="BZ196" s="159">
        <f t="shared" si="103"/>
        <v>5.960959780152938E-4</v>
      </c>
      <c r="CA196" s="118">
        <f t="shared" si="103"/>
        <v>0</v>
      </c>
      <c r="CB196" s="18"/>
      <c r="CC196" s="271"/>
      <c r="CD196" s="147">
        <f t="shared" si="82"/>
        <v>3.6209099267651688E-3</v>
      </c>
      <c r="CE196" s="148">
        <f t="shared" si="82"/>
        <v>1.7471793031721969E-5</v>
      </c>
      <c r="CF196" s="148">
        <f t="shared" si="82"/>
        <v>2.0989341096288834E-3</v>
      </c>
      <c r="CG196" s="119">
        <f t="shared" si="82"/>
        <v>7.7515123037970087E-3</v>
      </c>
      <c r="CH196" s="18"/>
      <c r="CI196" s="18"/>
      <c r="CJ196" s="18"/>
    </row>
    <row r="197" spans="1:88" ht="13.95" customHeight="1" x14ac:dyDescent="0.25">
      <c r="A197" s="8" t="s">
        <v>28</v>
      </c>
      <c r="B197" s="256"/>
      <c r="C197" s="22">
        <f t="shared" ref="C197:AH197" si="104">C30/C$84</f>
        <v>3.4235079590312417E-3</v>
      </c>
      <c r="D197" s="159">
        <f t="shared" si="104"/>
        <v>3.5636657275291872E-3</v>
      </c>
      <c r="E197" s="159">
        <f t="shared" si="104"/>
        <v>5.1165277238001926E-2</v>
      </c>
      <c r="F197" s="159">
        <f t="shared" si="104"/>
        <v>4.4843718374779566E-2</v>
      </c>
      <c r="G197" s="159">
        <f t="shared" si="104"/>
        <v>2.4693492599611858E-2</v>
      </c>
      <c r="H197" s="159">
        <f t="shared" si="104"/>
        <v>3.6205665208121629E-3</v>
      </c>
      <c r="I197" s="159">
        <f t="shared" si="104"/>
        <v>3.2925756305933695E-3</v>
      </c>
      <c r="J197" s="159">
        <f t="shared" si="104"/>
        <v>3.1507611566721156E-3</v>
      </c>
      <c r="K197" s="159">
        <f t="shared" si="104"/>
        <v>1.1920762793634014E-3</v>
      </c>
      <c r="L197" s="159">
        <f t="shared" si="104"/>
        <v>1.373252476742999E-3</v>
      </c>
      <c r="M197" s="159">
        <f t="shared" si="104"/>
        <v>6.3928904648730793E-3</v>
      </c>
      <c r="N197" s="159">
        <f t="shared" si="104"/>
        <v>1.1206842307989082E-2</v>
      </c>
      <c r="O197" s="159">
        <f t="shared" si="104"/>
        <v>1.2073045058409875E-2</v>
      </c>
      <c r="P197" s="159">
        <f t="shared" si="104"/>
        <v>1.9491151424624552E-3</v>
      </c>
      <c r="Q197" s="159">
        <f t="shared" si="104"/>
        <v>6.5955949958525278E-3</v>
      </c>
      <c r="R197" s="159">
        <f t="shared" si="104"/>
        <v>8.2146290984287974E-3</v>
      </c>
      <c r="S197" s="159">
        <f t="shared" si="104"/>
        <v>7.6670980187807459E-3</v>
      </c>
      <c r="T197" s="159">
        <f t="shared" si="104"/>
        <v>6.233082292971974E-3</v>
      </c>
      <c r="U197" s="159">
        <f t="shared" si="104"/>
        <v>1.1900481659064707E-2</v>
      </c>
      <c r="V197" s="159">
        <f t="shared" si="104"/>
        <v>2.2182916882494377E-2</v>
      </c>
      <c r="W197" s="159">
        <f t="shared" si="104"/>
        <v>1.3143831636418843E-2</v>
      </c>
      <c r="X197" s="159">
        <f t="shared" si="104"/>
        <v>2.6733939792975255E-3</v>
      </c>
      <c r="Y197" s="159">
        <f t="shared" si="104"/>
        <v>1.6868510504265445E-2</v>
      </c>
      <c r="Z197" s="159">
        <f t="shared" si="104"/>
        <v>2.1318351602473324E-2</v>
      </c>
      <c r="AA197" s="159">
        <f t="shared" si="104"/>
        <v>7.1732076280222809E-3</v>
      </c>
      <c r="AB197" s="159">
        <f t="shared" si="104"/>
        <v>2.669878063552512E-2</v>
      </c>
      <c r="AC197" s="159">
        <f t="shared" si="104"/>
        <v>4.5529193926943752E-3</v>
      </c>
      <c r="AD197" s="159">
        <f t="shared" si="104"/>
        <v>1.3359825400794379E-2</v>
      </c>
      <c r="AE197" s="159">
        <f t="shared" si="104"/>
        <v>4.7107494904338361E-2</v>
      </c>
      <c r="AF197" s="159">
        <f t="shared" si="104"/>
        <v>1.8957977934593386E-2</v>
      </c>
      <c r="AG197" s="159">
        <f t="shared" si="104"/>
        <v>1.969694466017813E-3</v>
      </c>
      <c r="AH197" s="159">
        <f t="shared" si="104"/>
        <v>5.6294584626162235E-3</v>
      </c>
      <c r="AI197" s="159">
        <f t="shared" ref="AI197:BN197" si="105">AI30/AI$84</f>
        <v>6.0213016994513481E-3</v>
      </c>
      <c r="AJ197" s="159">
        <f t="shared" si="105"/>
        <v>1.0062307078598787E-2</v>
      </c>
      <c r="AK197" s="159">
        <f t="shared" si="105"/>
        <v>2.4853022360888859E-3</v>
      </c>
      <c r="AL197" s="159">
        <f t="shared" si="105"/>
        <v>7.8869039865547726E-3</v>
      </c>
      <c r="AM197" s="159">
        <f t="shared" si="105"/>
        <v>1.489061901506915E-3</v>
      </c>
      <c r="AN197" s="159">
        <f t="shared" si="105"/>
        <v>6.7518626881723238E-3</v>
      </c>
      <c r="AO197" s="159">
        <f t="shared" si="105"/>
        <v>8.8094964562234382E-2</v>
      </c>
      <c r="AP197" s="159">
        <f t="shared" si="105"/>
        <v>5.388796483162814E-3</v>
      </c>
      <c r="AQ197" s="159">
        <f t="shared" si="105"/>
        <v>7.5548564101074363E-3</v>
      </c>
      <c r="AR197" s="159">
        <f t="shared" si="105"/>
        <v>3.4633989769700547E-3</v>
      </c>
      <c r="AS197" s="159">
        <f t="shared" si="105"/>
        <v>1.9100060291961599E-3</v>
      </c>
      <c r="AT197" s="159">
        <f t="shared" si="105"/>
        <v>3.9144747043519286E-3</v>
      </c>
      <c r="AU197" s="159">
        <f t="shared" si="105"/>
        <v>5.3456887208441052E-3</v>
      </c>
      <c r="AV197" s="159">
        <f t="shared" si="105"/>
        <v>2.7098161673180373E-3</v>
      </c>
      <c r="AW197" s="159">
        <f t="shared" si="105"/>
        <v>3.7838996466505979E-3</v>
      </c>
      <c r="AX197" s="159">
        <f t="shared" si="105"/>
        <v>3.3570981408696616E-3</v>
      </c>
      <c r="AY197" s="159">
        <f t="shared" si="105"/>
        <v>4.5896697466298226E-4</v>
      </c>
      <c r="AZ197" s="159">
        <f t="shared" si="105"/>
        <v>9.0499985416107865E-4</v>
      </c>
      <c r="BA197" s="159">
        <f t="shared" si="105"/>
        <v>6.9037589676228104E-5</v>
      </c>
      <c r="BB197" s="159">
        <f t="shared" si="105"/>
        <v>9.572779978998955E-4</v>
      </c>
      <c r="BC197" s="159">
        <f t="shared" si="105"/>
        <v>2.0556735117073358E-3</v>
      </c>
      <c r="BD197" s="159">
        <f t="shared" si="105"/>
        <v>2.3944662268245254E-3</v>
      </c>
      <c r="BE197" s="159">
        <f t="shared" si="105"/>
        <v>3.7786158143253293E-3</v>
      </c>
      <c r="BF197" s="159">
        <f t="shared" si="105"/>
        <v>9.4387359373455451E-3</v>
      </c>
      <c r="BG197" s="159">
        <f t="shared" si="105"/>
        <v>3.648960122947811E-4</v>
      </c>
      <c r="BH197" s="159">
        <f t="shared" si="105"/>
        <v>1.5315819885358914E-2</v>
      </c>
      <c r="BI197" s="159">
        <f t="shared" si="105"/>
        <v>0</v>
      </c>
      <c r="BJ197" s="159">
        <f t="shared" si="105"/>
        <v>9.5567999311304032E-3</v>
      </c>
      <c r="BK197" s="159">
        <f t="shared" si="105"/>
        <v>3.9681058534810158E-4</v>
      </c>
      <c r="BL197" s="159">
        <f t="shared" si="105"/>
        <v>1.4724191409304355E-2</v>
      </c>
      <c r="BM197" s="159">
        <f t="shared" si="105"/>
        <v>3.286455341010333E-3</v>
      </c>
      <c r="BN197" s="159">
        <f t="shared" si="105"/>
        <v>7.9512964216726552E-3</v>
      </c>
      <c r="BO197" s="159">
        <f t="shared" ref="BO197:CA197" si="106">BO30/BO$84</f>
        <v>5.8097896166950987E-4</v>
      </c>
      <c r="BP197" s="159">
        <f t="shared" si="106"/>
        <v>4.1227875986770621E-3</v>
      </c>
      <c r="BQ197" s="159">
        <f t="shared" si="106"/>
        <v>8.1929269948787984E-4</v>
      </c>
      <c r="BR197" s="159">
        <f t="shared" si="106"/>
        <v>1.8592611590681879E-3</v>
      </c>
      <c r="BS197" s="159">
        <f t="shared" si="106"/>
        <v>2.2542499529286902E-3</v>
      </c>
      <c r="BT197" s="159">
        <f t="shared" si="106"/>
        <v>1.2946959231535324E-3</v>
      </c>
      <c r="BU197" s="159">
        <f t="shared" si="106"/>
        <v>6.9168441515497659E-3</v>
      </c>
      <c r="BV197" s="159">
        <f t="shared" si="106"/>
        <v>1.4569842738205366E-2</v>
      </c>
      <c r="BW197" s="159">
        <f t="shared" si="106"/>
        <v>2.3876855516802922E-2</v>
      </c>
      <c r="BX197" s="159">
        <f t="shared" si="106"/>
        <v>1.6896844967532299E-5</v>
      </c>
      <c r="BY197" s="159">
        <f t="shared" si="106"/>
        <v>2.708800894328602E-3</v>
      </c>
      <c r="BZ197" s="159">
        <f t="shared" si="106"/>
        <v>1.1306022897220533E-3</v>
      </c>
      <c r="CA197" s="118">
        <f t="shared" si="106"/>
        <v>0</v>
      </c>
      <c r="CB197" s="18"/>
      <c r="CC197" s="271"/>
      <c r="CD197" s="147">
        <f t="shared" si="82"/>
        <v>3.6520255653444257E-4</v>
      </c>
      <c r="CE197" s="148">
        <f t="shared" si="82"/>
        <v>0</v>
      </c>
      <c r="CF197" s="148">
        <f t="shared" si="82"/>
        <v>4.5028008163089821E-2</v>
      </c>
      <c r="CG197" s="119">
        <f t="shared" si="82"/>
        <v>2.4010055500746051E-3</v>
      </c>
      <c r="CH197" s="18"/>
      <c r="CI197" s="18"/>
      <c r="CJ197" s="18"/>
    </row>
    <row r="198" spans="1:88" ht="13.95" customHeight="1" x14ac:dyDescent="0.25">
      <c r="A198" s="14" t="s">
        <v>29</v>
      </c>
      <c r="B198" s="256"/>
      <c r="C198" s="22">
        <f t="shared" ref="C198:AH198" si="107">C31/C$84</f>
        <v>1.9986493256183006E-2</v>
      </c>
      <c r="D198" s="159">
        <f t="shared" si="107"/>
        <v>3.4534958391318057E-3</v>
      </c>
      <c r="E198" s="159">
        <f t="shared" si="107"/>
        <v>2.6405530710661287E-2</v>
      </c>
      <c r="F198" s="159">
        <f t="shared" si="107"/>
        <v>5.5848302668780658E-2</v>
      </c>
      <c r="G198" s="159">
        <f t="shared" si="107"/>
        <v>2.4456660132609928E-2</v>
      </c>
      <c r="H198" s="159">
        <f t="shared" si="107"/>
        <v>1.6270893727510172E-2</v>
      </c>
      <c r="I198" s="159">
        <f t="shared" si="107"/>
        <v>2.1692030762710673E-2</v>
      </c>
      <c r="J198" s="159">
        <f t="shared" si="107"/>
        <v>1.0302980512855012E-2</v>
      </c>
      <c r="K198" s="159">
        <f t="shared" si="107"/>
        <v>2.5527786724381555E-2</v>
      </c>
      <c r="L198" s="159">
        <f t="shared" si="107"/>
        <v>1.7712429035300917E-2</v>
      </c>
      <c r="M198" s="159">
        <f t="shared" si="107"/>
        <v>1.0589051332893049E-2</v>
      </c>
      <c r="N198" s="159">
        <f t="shared" si="107"/>
        <v>2.6102830821501818E-2</v>
      </c>
      <c r="O198" s="159">
        <f t="shared" si="107"/>
        <v>2.5520168848546045E-2</v>
      </c>
      <c r="P198" s="159">
        <f t="shared" si="107"/>
        <v>1.6857935962868029E-2</v>
      </c>
      <c r="Q198" s="159">
        <f t="shared" si="107"/>
        <v>7.0773993622484871E-3</v>
      </c>
      <c r="R198" s="159">
        <f t="shared" si="107"/>
        <v>3.1468740086251432E-2</v>
      </c>
      <c r="S198" s="159">
        <f t="shared" si="107"/>
        <v>1.1886957668309219E-2</v>
      </c>
      <c r="T198" s="159">
        <f t="shared" si="107"/>
        <v>2.5085743183074844E-2</v>
      </c>
      <c r="U198" s="159">
        <f t="shared" si="107"/>
        <v>5.0876667577614762E-2</v>
      </c>
      <c r="V198" s="159">
        <f t="shared" si="107"/>
        <v>6.0821085916178963E-2</v>
      </c>
      <c r="W198" s="159">
        <f t="shared" si="107"/>
        <v>1.6285690475352114E-2</v>
      </c>
      <c r="X198" s="159">
        <f t="shared" si="107"/>
        <v>4.5186719417021773E-3</v>
      </c>
      <c r="Y198" s="159">
        <f t="shared" si="107"/>
        <v>1.1869954094805504E-2</v>
      </c>
      <c r="Z198" s="159">
        <f t="shared" si="107"/>
        <v>1.504419659285588E-2</v>
      </c>
      <c r="AA198" s="159">
        <f t="shared" si="107"/>
        <v>9.3272991625882526E-3</v>
      </c>
      <c r="AB198" s="159">
        <f t="shared" si="107"/>
        <v>1.1584824109753446E-2</v>
      </c>
      <c r="AC198" s="159">
        <f t="shared" si="107"/>
        <v>1.2398898653743258E-2</v>
      </c>
      <c r="AD198" s="159">
        <f t="shared" si="107"/>
        <v>1.0691470650124728E-2</v>
      </c>
      <c r="AE198" s="159">
        <f t="shared" si="107"/>
        <v>6.3569006400365736E-3</v>
      </c>
      <c r="AF198" s="159">
        <f t="shared" si="107"/>
        <v>4.2264747948658352E-2</v>
      </c>
      <c r="AG198" s="159">
        <f t="shared" si="107"/>
        <v>5.3164002279126953E-2</v>
      </c>
      <c r="AH198" s="159">
        <f t="shared" si="107"/>
        <v>1.552356629957732E-2</v>
      </c>
      <c r="AI198" s="159">
        <f t="shared" ref="AI198:BN198" si="108">AI31/AI$84</f>
        <v>5.1999326201511903E-2</v>
      </c>
      <c r="AJ198" s="159">
        <f t="shared" si="108"/>
        <v>5.9183779518082883E-3</v>
      </c>
      <c r="AK198" s="159">
        <f t="shared" si="108"/>
        <v>5.6297452848094922E-3</v>
      </c>
      <c r="AL198" s="159">
        <f t="shared" si="108"/>
        <v>7.4664629399977585E-3</v>
      </c>
      <c r="AM198" s="159">
        <f t="shared" si="108"/>
        <v>1.5184007854502716E-2</v>
      </c>
      <c r="AN198" s="159">
        <f t="shared" si="108"/>
        <v>2.103136106621771E-2</v>
      </c>
      <c r="AO198" s="159">
        <f t="shared" si="108"/>
        <v>1.9831278855520496E-3</v>
      </c>
      <c r="AP198" s="159">
        <f t="shared" si="108"/>
        <v>2.0689228003293321E-2</v>
      </c>
      <c r="AQ198" s="159">
        <f t="shared" si="108"/>
        <v>3.8604528324211768E-2</v>
      </c>
      <c r="AR198" s="159">
        <f t="shared" si="108"/>
        <v>2.4770604343142471E-2</v>
      </c>
      <c r="AS198" s="159">
        <f t="shared" si="108"/>
        <v>7.9579201554983454E-3</v>
      </c>
      <c r="AT198" s="159">
        <f t="shared" si="108"/>
        <v>8.4675618883539184E-3</v>
      </c>
      <c r="AU198" s="159">
        <f t="shared" si="108"/>
        <v>6.8663426996465526E-3</v>
      </c>
      <c r="AV198" s="159">
        <f t="shared" si="108"/>
        <v>1.1935997022411781E-2</v>
      </c>
      <c r="AW198" s="159">
        <f t="shared" si="108"/>
        <v>2.609585175731084E-3</v>
      </c>
      <c r="AX198" s="159">
        <f t="shared" si="108"/>
        <v>5.5512586605301903E-3</v>
      </c>
      <c r="AY198" s="159">
        <f t="shared" si="108"/>
        <v>2.5301304861118155E-3</v>
      </c>
      <c r="AZ198" s="159">
        <f t="shared" si="108"/>
        <v>4.2015899048197201E-4</v>
      </c>
      <c r="BA198" s="159">
        <f t="shared" si="108"/>
        <v>1.7539521164218125E-3</v>
      </c>
      <c r="BB198" s="159">
        <f t="shared" si="108"/>
        <v>0.10530979008069755</v>
      </c>
      <c r="BC198" s="159">
        <f t="shared" si="108"/>
        <v>2.7067646904620508E-3</v>
      </c>
      <c r="BD198" s="159">
        <f t="shared" si="108"/>
        <v>7.4002175714226832E-3</v>
      </c>
      <c r="BE198" s="159">
        <f t="shared" si="108"/>
        <v>4.0510107426238095E-3</v>
      </c>
      <c r="BF198" s="159">
        <f t="shared" si="108"/>
        <v>1.5735576743302664E-2</v>
      </c>
      <c r="BG198" s="159">
        <f t="shared" si="108"/>
        <v>4.8568844143325402E-3</v>
      </c>
      <c r="BH198" s="159">
        <f t="shared" si="108"/>
        <v>2.7068147395124362E-3</v>
      </c>
      <c r="BI198" s="159">
        <f t="shared" si="108"/>
        <v>1.6366382769739989E-2</v>
      </c>
      <c r="BJ198" s="159">
        <f t="shared" si="108"/>
        <v>1.001649104022684E-2</v>
      </c>
      <c r="BK198" s="159">
        <f t="shared" si="108"/>
        <v>1.0209921586558052E-3</v>
      </c>
      <c r="BL198" s="159">
        <f t="shared" si="108"/>
        <v>1.3583718890804075E-3</v>
      </c>
      <c r="BM198" s="159">
        <f t="shared" si="108"/>
        <v>3.3842912930165947E-3</v>
      </c>
      <c r="BN198" s="159">
        <f t="shared" si="108"/>
        <v>7.8909660404233688E-3</v>
      </c>
      <c r="BO198" s="159">
        <f t="shared" ref="BO198:CA198" si="109">BO31/BO$84</f>
        <v>1.2505485208589679E-2</v>
      </c>
      <c r="BP198" s="159">
        <f t="shared" si="109"/>
        <v>1.1369763781424787E-2</v>
      </c>
      <c r="BQ198" s="159">
        <f t="shared" si="109"/>
        <v>2.0104266215868194E-2</v>
      </c>
      <c r="BR198" s="159">
        <f t="shared" si="109"/>
        <v>1.4767566891599119E-2</v>
      </c>
      <c r="BS198" s="159">
        <f t="shared" si="109"/>
        <v>1.686777093730759E-2</v>
      </c>
      <c r="BT198" s="159">
        <f t="shared" si="109"/>
        <v>2.0925700700815553E-2</v>
      </c>
      <c r="BU198" s="159">
        <f t="shared" si="109"/>
        <v>2.1108385474923844E-2</v>
      </c>
      <c r="BV198" s="159">
        <f t="shared" si="109"/>
        <v>1.0561208757323465E-2</v>
      </c>
      <c r="BW198" s="159">
        <f t="shared" si="109"/>
        <v>6.2097350774068812E-2</v>
      </c>
      <c r="BX198" s="159">
        <f t="shared" si="109"/>
        <v>2.9000755618664585E-3</v>
      </c>
      <c r="BY198" s="159">
        <f t="shared" si="109"/>
        <v>2.5047472566080758E-3</v>
      </c>
      <c r="BZ198" s="159">
        <f t="shared" si="109"/>
        <v>1.1072509435615408E-2</v>
      </c>
      <c r="CA198" s="118">
        <f t="shared" si="109"/>
        <v>0</v>
      </c>
      <c r="CB198" s="18"/>
      <c r="CC198" s="271"/>
      <c r="CD198" s="147">
        <f t="shared" si="82"/>
        <v>4.201372733244E-2</v>
      </c>
      <c r="CE198" s="148">
        <f t="shared" si="82"/>
        <v>1.5705417358392643E-4</v>
      </c>
      <c r="CF198" s="148">
        <f t="shared" si="82"/>
        <v>5.828710566961636E-4</v>
      </c>
      <c r="CG198" s="119">
        <f t="shared" si="82"/>
        <v>2.5519770391934215E-3</v>
      </c>
      <c r="CH198" s="18"/>
      <c r="CI198" s="18"/>
      <c r="CJ198" s="18"/>
    </row>
    <row r="199" spans="1:88" ht="13.95" customHeight="1" x14ac:dyDescent="0.25">
      <c r="A199" s="8" t="s">
        <v>30</v>
      </c>
      <c r="B199" s="256"/>
      <c r="C199" s="22">
        <f t="shared" ref="C199:AH199" si="110">C32/C$84</f>
        <v>1.1081175398145965E-3</v>
      </c>
      <c r="D199" s="159">
        <f t="shared" si="110"/>
        <v>2.773101205030941E-3</v>
      </c>
      <c r="E199" s="159">
        <f t="shared" si="110"/>
        <v>7.772772307035454E-4</v>
      </c>
      <c r="F199" s="159">
        <f t="shared" si="110"/>
        <v>2.389687364573814E-3</v>
      </c>
      <c r="G199" s="159">
        <f t="shared" si="110"/>
        <v>1.1725814508640017E-3</v>
      </c>
      <c r="H199" s="159">
        <f t="shared" si="110"/>
        <v>1.9322580996564815E-3</v>
      </c>
      <c r="I199" s="159">
        <f t="shared" si="110"/>
        <v>1.6020694815451415E-3</v>
      </c>
      <c r="J199" s="159">
        <f t="shared" si="110"/>
        <v>7.1663754583038057E-4</v>
      </c>
      <c r="K199" s="159">
        <f t="shared" si="110"/>
        <v>2.7510947432384798E-3</v>
      </c>
      <c r="L199" s="159">
        <f t="shared" si="110"/>
        <v>1.3235120378181984E-3</v>
      </c>
      <c r="M199" s="159">
        <f t="shared" si="110"/>
        <v>2.6899754110687448E-3</v>
      </c>
      <c r="N199" s="159">
        <f t="shared" si="110"/>
        <v>7.5219363198912158E-4</v>
      </c>
      <c r="O199" s="159">
        <f t="shared" si="110"/>
        <v>1.1925440429407079E-3</v>
      </c>
      <c r="P199" s="159">
        <f t="shared" si="110"/>
        <v>2.267327364273907E-3</v>
      </c>
      <c r="Q199" s="159">
        <f t="shared" si="110"/>
        <v>2.6920397814711303E-4</v>
      </c>
      <c r="R199" s="159">
        <f t="shared" si="110"/>
        <v>1.7500545339823597E-3</v>
      </c>
      <c r="S199" s="159">
        <f t="shared" si="110"/>
        <v>2.016922105846156E-3</v>
      </c>
      <c r="T199" s="159">
        <f t="shared" si="110"/>
        <v>1.1414932450359995E-3</v>
      </c>
      <c r="U199" s="159">
        <f t="shared" si="110"/>
        <v>2.0217297360953343E-3</v>
      </c>
      <c r="V199" s="159">
        <f t="shared" si="110"/>
        <v>2.2831994557276163E-3</v>
      </c>
      <c r="W199" s="159">
        <f t="shared" si="110"/>
        <v>1.562712440771042E-3</v>
      </c>
      <c r="X199" s="159">
        <f t="shared" si="110"/>
        <v>9.0692065140052876E-4</v>
      </c>
      <c r="Y199" s="159">
        <f t="shared" si="110"/>
        <v>8.9724943529118572E-4</v>
      </c>
      <c r="Z199" s="159">
        <f t="shared" si="110"/>
        <v>1.6590281351903803E-3</v>
      </c>
      <c r="AA199" s="159">
        <f t="shared" si="110"/>
        <v>1.0999603925185646E-3</v>
      </c>
      <c r="AB199" s="159">
        <f t="shared" si="110"/>
        <v>1.4412345117127546E-3</v>
      </c>
      <c r="AC199" s="159">
        <f t="shared" si="110"/>
        <v>8.5582960237647315E-4</v>
      </c>
      <c r="AD199" s="159">
        <f t="shared" si="110"/>
        <v>5.6939179486842145E-4</v>
      </c>
      <c r="AE199" s="159">
        <f t="shared" si="110"/>
        <v>6.9629077032885411E-4</v>
      </c>
      <c r="AF199" s="159">
        <f t="shared" si="110"/>
        <v>1.6927497358358511E-3</v>
      </c>
      <c r="AG199" s="159">
        <f t="shared" si="110"/>
        <v>3.8076720407305205E-2</v>
      </c>
      <c r="AH199" s="159">
        <f t="shared" si="110"/>
        <v>1.4018229867811239E-3</v>
      </c>
      <c r="AI199" s="159">
        <f t="shared" ref="AI199:BN199" si="111">AI32/AI$84</f>
        <v>2.1228468385894643E-2</v>
      </c>
      <c r="AJ199" s="159">
        <f t="shared" si="111"/>
        <v>5.849181517703036E-4</v>
      </c>
      <c r="AK199" s="159">
        <f t="shared" si="111"/>
        <v>1.4542199962557796E-3</v>
      </c>
      <c r="AL199" s="159">
        <f t="shared" si="111"/>
        <v>8.843112352765331E-4</v>
      </c>
      <c r="AM199" s="159">
        <f t="shared" si="111"/>
        <v>6.8754075534573468E-4</v>
      </c>
      <c r="AN199" s="159">
        <f t="shared" si="111"/>
        <v>1.9876668803098978E-3</v>
      </c>
      <c r="AO199" s="159">
        <f t="shared" si="111"/>
        <v>3.2788578067394339E-4</v>
      </c>
      <c r="AP199" s="159">
        <f t="shared" si="111"/>
        <v>6.0930988741165842E-4</v>
      </c>
      <c r="AQ199" s="159">
        <f t="shared" si="111"/>
        <v>9.9894186379212296E-3</v>
      </c>
      <c r="AR199" s="159">
        <f t="shared" si="111"/>
        <v>4.1355569611710068E-3</v>
      </c>
      <c r="AS199" s="159">
        <f t="shared" si="111"/>
        <v>7.1924945596076343E-4</v>
      </c>
      <c r="AT199" s="159">
        <f t="shared" si="111"/>
        <v>2.7855367069696078E-3</v>
      </c>
      <c r="AU199" s="159">
        <f t="shared" si="111"/>
        <v>1.7876999809141955E-4</v>
      </c>
      <c r="AV199" s="159">
        <f t="shared" si="111"/>
        <v>6.2447772309955725E-4</v>
      </c>
      <c r="AW199" s="159">
        <f t="shared" si="111"/>
        <v>9.3080556027008818E-4</v>
      </c>
      <c r="AX199" s="159">
        <f t="shared" si="111"/>
        <v>5.075228634168101E-4</v>
      </c>
      <c r="AY199" s="159">
        <f t="shared" si="111"/>
        <v>8.4777601959497382E-4</v>
      </c>
      <c r="AZ199" s="159">
        <f t="shared" si="111"/>
        <v>1.4362401902311122E-3</v>
      </c>
      <c r="BA199" s="159">
        <f t="shared" si="111"/>
        <v>9.9135992081835471E-5</v>
      </c>
      <c r="BB199" s="159">
        <f t="shared" si="111"/>
        <v>1.2335975757488057E-2</v>
      </c>
      <c r="BC199" s="159">
        <f t="shared" si="111"/>
        <v>2.6154560472536317E-4</v>
      </c>
      <c r="BD199" s="159">
        <f t="shared" si="111"/>
        <v>1.0407030607122582E-3</v>
      </c>
      <c r="BE199" s="159">
        <f t="shared" si="111"/>
        <v>3.3297921391739179E-3</v>
      </c>
      <c r="BF199" s="159">
        <f t="shared" si="111"/>
        <v>3.0990874986162723E-3</v>
      </c>
      <c r="BG199" s="159">
        <f t="shared" si="111"/>
        <v>6.0925912622413164E-5</v>
      </c>
      <c r="BH199" s="159">
        <f t="shared" si="111"/>
        <v>2.4840557571594908E-4</v>
      </c>
      <c r="BI199" s="159">
        <f t="shared" si="111"/>
        <v>8.7994875709728485E-5</v>
      </c>
      <c r="BJ199" s="159">
        <f t="shared" si="111"/>
        <v>1.2344068202422812E-3</v>
      </c>
      <c r="BK199" s="159">
        <f t="shared" si="111"/>
        <v>4.4836563494359271E-4</v>
      </c>
      <c r="BL199" s="159">
        <f t="shared" si="111"/>
        <v>9.1376040573173836E-4</v>
      </c>
      <c r="BM199" s="159">
        <f t="shared" si="111"/>
        <v>6.4342750564117934E-4</v>
      </c>
      <c r="BN199" s="159">
        <f t="shared" si="111"/>
        <v>1.7630876268196503E-2</v>
      </c>
      <c r="BO199" s="159">
        <f t="shared" ref="BO199:CA199" si="112">BO32/BO$84</f>
        <v>4.6995749674681291E-4</v>
      </c>
      <c r="BP199" s="159">
        <f t="shared" si="112"/>
        <v>5.5120176033486828E-4</v>
      </c>
      <c r="BQ199" s="159">
        <f t="shared" si="112"/>
        <v>1.0217682772400774E-3</v>
      </c>
      <c r="BR199" s="159">
        <f t="shared" si="112"/>
        <v>1.1932487161789673E-3</v>
      </c>
      <c r="BS199" s="159">
        <f t="shared" si="112"/>
        <v>2.4452970007849237E-3</v>
      </c>
      <c r="BT199" s="159">
        <f t="shared" si="112"/>
        <v>2.6033439044651175E-3</v>
      </c>
      <c r="BU199" s="159">
        <f t="shared" si="112"/>
        <v>2.7768208120199072E-3</v>
      </c>
      <c r="BV199" s="159">
        <f t="shared" si="112"/>
        <v>5.0334657452250097E-4</v>
      </c>
      <c r="BW199" s="159">
        <f t="shared" si="112"/>
        <v>3.3598782403099236E-3</v>
      </c>
      <c r="BX199" s="159">
        <f t="shared" si="112"/>
        <v>4.2427565595303668E-4</v>
      </c>
      <c r="BY199" s="159">
        <f t="shared" si="112"/>
        <v>9.9054442491428038E-5</v>
      </c>
      <c r="BZ199" s="159">
        <f t="shared" si="112"/>
        <v>2.8607222055876524E-3</v>
      </c>
      <c r="CA199" s="118">
        <f t="shared" si="112"/>
        <v>0</v>
      </c>
      <c r="CB199" s="18"/>
      <c r="CC199" s="271"/>
      <c r="CD199" s="147">
        <f t="shared" si="82"/>
        <v>4.4933733729379154E-4</v>
      </c>
      <c r="CE199" s="148">
        <f t="shared" si="82"/>
        <v>2.6149450237477213E-3</v>
      </c>
      <c r="CF199" s="148">
        <f t="shared" si="82"/>
        <v>-2.71082355182802E-5</v>
      </c>
      <c r="CG199" s="119">
        <f t="shared" si="82"/>
        <v>0</v>
      </c>
      <c r="CH199" s="18"/>
      <c r="CI199" s="18"/>
      <c r="CJ199" s="18"/>
    </row>
    <row r="200" spans="1:88" ht="13.95" customHeight="1" x14ac:dyDescent="0.25">
      <c r="A200" s="8" t="s">
        <v>31</v>
      </c>
      <c r="B200" s="256"/>
      <c r="C200" s="22">
        <f t="shared" ref="C200:AH200" si="113">C33/C$84</f>
        <v>7.737246378944394E-6</v>
      </c>
      <c r="D200" s="159">
        <f t="shared" si="113"/>
        <v>7.457319811630343E-4</v>
      </c>
      <c r="E200" s="159">
        <f t="shared" si="113"/>
        <v>2.7916294905549869E-4</v>
      </c>
      <c r="F200" s="159">
        <f t="shared" si="113"/>
        <v>4.2237761545567279E-3</v>
      </c>
      <c r="G200" s="159">
        <f t="shared" si="113"/>
        <v>3.5054184992907894E-4</v>
      </c>
      <c r="H200" s="159">
        <f t="shared" si="113"/>
        <v>9.2934928534714695E-4</v>
      </c>
      <c r="I200" s="159">
        <f t="shared" si="113"/>
        <v>8.525585149899925E-4</v>
      </c>
      <c r="J200" s="159">
        <f t="shared" si="113"/>
        <v>7.2474403166030384E-5</v>
      </c>
      <c r="K200" s="159">
        <f t="shared" si="113"/>
        <v>9.9741019759621175E-4</v>
      </c>
      <c r="L200" s="159">
        <f t="shared" si="113"/>
        <v>8.3123782836961173E-5</v>
      </c>
      <c r="M200" s="159">
        <f t="shared" si="113"/>
        <v>2.4563834599137871E-3</v>
      </c>
      <c r="N200" s="159">
        <f t="shared" si="113"/>
        <v>8.6107822761424325E-4</v>
      </c>
      <c r="O200" s="159">
        <f t="shared" si="113"/>
        <v>1.0044209930322506E-3</v>
      </c>
      <c r="P200" s="159">
        <f t="shared" si="113"/>
        <v>5.4980207796684398E-4</v>
      </c>
      <c r="Q200" s="159">
        <f t="shared" si="113"/>
        <v>6.5713008485590986E-4</v>
      </c>
      <c r="R200" s="159">
        <f t="shared" si="113"/>
        <v>1.0267914584227982E-3</v>
      </c>
      <c r="S200" s="159">
        <f t="shared" si="113"/>
        <v>8.7192585918762107E-4</v>
      </c>
      <c r="T200" s="159">
        <f t="shared" si="113"/>
        <v>1.792233110115579E-4</v>
      </c>
      <c r="U200" s="159">
        <f t="shared" si="113"/>
        <v>1.8978163022677936E-3</v>
      </c>
      <c r="V200" s="159">
        <f t="shared" si="113"/>
        <v>3.6790893230354525E-3</v>
      </c>
      <c r="W200" s="159">
        <f t="shared" si="113"/>
        <v>8.9454303734981221E-3</v>
      </c>
      <c r="X200" s="159">
        <f t="shared" si="113"/>
        <v>5.1514092611490452E-5</v>
      </c>
      <c r="Y200" s="159">
        <f t="shared" si="113"/>
        <v>2.6423934542855998E-4</v>
      </c>
      <c r="Z200" s="159">
        <f t="shared" si="113"/>
        <v>1.8754029802615089E-3</v>
      </c>
      <c r="AA200" s="159">
        <f t="shared" si="113"/>
        <v>7.1425241316649756E-5</v>
      </c>
      <c r="AB200" s="159">
        <f t="shared" si="113"/>
        <v>1.8938270866604124E-3</v>
      </c>
      <c r="AC200" s="159">
        <f t="shared" si="113"/>
        <v>3.37781047674038E-4</v>
      </c>
      <c r="AD200" s="159">
        <f t="shared" si="113"/>
        <v>1.6858402953922634E-4</v>
      </c>
      <c r="AE200" s="159">
        <f t="shared" si="113"/>
        <v>1.0830778434353782E-3</v>
      </c>
      <c r="AF200" s="159">
        <f t="shared" si="113"/>
        <v>2.072384447371579E-3</v>
      </c>
      <c r="AG200" s="159">
        <f t="shared" si="113"/>
        <v>1.3112936126304271E-3</v>
      </c>
      <c r="AH200" s="159">
        <f t="shared" si="113"/>
        <v>2.4833711924173787E-2</v>
      </c>
      <c r="AI200" s="159">
        <f t="shared" ref="AI200:BN200" si="114">AI33/AI$84</f>
        <v>3.2156342328155493E-2</v>
      </c>
      <c r="AJ200" s="159">
        <f t="shared" si="114"/>
        <v>2.3527250448187936E-3</v>
      </c>
      <c r="AK200" s="159">
        <f t="shared" si="114"/>
        <v>1.302634592105984E-3</v>
      </c>
      <c r="AL200" s="159">
        <f t="shared" si="114"/>
        <v>4.8340614561582379E-4</v>
      </c>
      <c r="AM200" s="159">
        <f t="shared" si="114"/>
        <v>4.7698355487012044E-4</v>
      </c>
      <c r="AN200" s="159">
        <f t="shared" si="114"/>
        <v>5.6657141798616053E-4</v>
      </c>
      <c r="AO200" s="159">
        <f t="shared" si="114"/>
        <v>1.2269520206508982E-4</v>
      </c>
      <c r="AP200" s="159">
        <f t="shared" si="114"/>
        <v>5.0699419880722836E-4</v>
      </c>
      <c r="AQ200" s="159">
        <f t="shared" si="114"/>
        <v>1.4869221288952366E-3</v>
      </c>
      <c r="AR200" s="159">
        <f t="shared" si="114"/>
        <v>5.6680222310465577E-4</v>
      </c>
      <c r="AS200" s="159">
        <f t="shared" si="114"/>
        <v>4.6733038099956259E-4</v>
      </c>
      <c r="AT200" s="159">
        <f t="shared" si="114"/>
        <v>2.9085320855349304E-4</v>
      </c>
      <c r="AU200" s="159">
        <f t="shared" si="114"/>
        <v>3.8482127380721207E-5</v>
      </c>
      <c r="AV200" s="159">
        <f t="shared" si="114"/>
        <v>3.437332945965681E-4</v>
      </c>
      <c r="AW200" s="159">
        <f t="shared" si="114"/>
        <v>2.8431829106117908E-5</v>
      </c>
      <c r="AX200" s="159">
        <f t="shared" si="114"/>
        <v>1.9910365068030272E-4</v>
      </c>
      <c r="AY200" s="159">
        <f t="shared" si="114"/>
        <v>0</v>
      </c>
      <c r="AZ200" s="159">
        <f t="shared" si="114"/>
        <v>0</v>
      </c>
      <c r="BA200" s="159">
        <f t="shared" si="114"/>
        <v>0</v>
      </c>
      <c r="BB200" s="159">
        <f t="shared" si="114"/>
        <v>2.2741071344224987E-2</v>
      </c>
      <c r="BC200" s="159">
        <f t="shared" si="114"/>
        <v>3.0486175358818838E-5</v>
      </c>
      <c r="BD200" s="159">
        <f t="shared" si="114"/>
        <v>2.7588572812519696E-3</v>
      </c>
      <c r="BE200" s="159">
        <f t="shared" si="114"/>
        <v>2.3697096839732091E-4</v>
      </c>
      <c r="BF200" s="159">
        <f t="shared" si="114"/>
        <v>3.1261141554151241E-4</v>
      </c>
      <c r="BG200" s="159">
        <f t="shared" si="114"/>
        <v>1.8720252481747061E-5</v>
      </c>
      <c r="BH200" s="159">
        <f t="shared" si="114"/>
        <v>9.5177357591591104E-5</v>
      </c>
      <c r="BI200" s="159">
        <f t="shared" si="114"/>
        <v>3.3537669610122932E-5</v>
      </c>
      <c r="BJ200" s="159">
        <f t="shared" si="114"/>
        <v>4.500735774796418E-4</v>
      </c>
      <c r="BK200" s="159">
        <f t="shared" si="114"/>
        <v>9.2923505681164292E-5</v>
      </c>
      <c r="BL200" s="159">
        <f t="shared" si="114"/>
        <v>1.142200507164673E-4</v>
      </c>
      <c r="BM200" s="159">
        <f t="shared" si="114"/>
        <v>1.733986128110975E-4</v>
      </c>
      <c r="BN200" s="159">
        <f t="shared" si="114"/>
        <v>2.1382047444307467E-2</v>
      </c>
      <c r="BO200" s="159">
        <f t="shared" ref="BO200:CA200" si="115">BO33/BO$84</f>
        <v>9.2368594214279958E-4</v>
      </c>
      <c r="BP200" s="159">
        <f t="shared" si="115"/>
        <v>2.0360183448142073E-3</v>
      </c>
      <c r="BQ200" s="159">
        <f t="shared" si="115"/>
        <v>8.2245487808834685E-4</v>
      </c>
      <c r="BR200" s="159">
        <f t="shared" si="115"/>
        <v>1.0330306482330472E-3</v>
      </c>
      <c r="BS200" s="159">
        <f t="shared" si="115"/>
        <v>7.2113904020996761E-4</v>
      </c>
      <c r="BT200" s="159">
        <f t="shared" si="115"/>
        <v>6.2765903739977699E-4</v>
      </c>
      <c r="BU200" s="159">
        <f t="shared" si="115"/>
        <v>1.3370061047550462E-3</v>
      </c>
      <c r="BV200" s="159">
        <f t="shared" si="115"/>
        <v>1.0177778583938457E-4</v>
      </c>
      <c r="BW200" s="159">
        <f t="shared" si="115"/>
        <v>7.7193783746640297E-4</v>
      </c>
      <c r="BX200" s="159">
        <f t="shared" si="115"/>
        <v>9.7589582641747531E-4</v>
      </c>
      <c r="BY200" s="159">
        <f t="shared" si="115"/>
        <v>5.327984641136827E-5</v>
      </c>
      <c r="BZ200" s="159">
        <f t="shared" si="115"/>
        <v>3.3087337400195854E-3</v>
      </c>
      <c r="CA200" s="118">
        <f t="shared" si="115"/>
        <v>0</v>
      </c>
      <c r="CB200" s="18"/>
      <c r="CC200" s="271"/>
      <c r="CD200" s="147">
        <f t="shared" si="82"/>
        <v>5.0782795535622097E-3</v>
      </c>
      <c r="CE200" s="148">
        <f t="shared" si="82"/>
        <v>1.0226401772899963E-3</v>
      </c>
      <c r="CF200" s="148">
        <f t="shared" si="82"/>
        <v>-1.180149128730071E-5</v>
      </c>
      <c r="CG200" s="119">
        <f t="shared" si="82"/>
        <v>6.0839401571326146E-3</v>
      </c>
      <c r="CH200" s="18"/>
      <c r="CI200" s="18"/>
      <c r="CJ200" s="18"/>
    </row>
    <row r="201" spans="1:88" ht="28.2" customHeight="1" x14ac:dyDescent="0.25">
      <c r="A201" s="8" t="s">
        <v>32</v>
      </c>
      <c r="B201" s="256"/>
      <c r="C201" s="22">
        <f t="shared" ref="C201:AH201" si="116">C34/C$84</f>
        <v>2.6401895244332617E-4</v>
      </c>
      <c r="D201" s="159">
        <f t="shared" si="116"/>
        <v>1.2984060033205621E-3</v>
      </c>
      <c r="E201" s="159">
        <f t="shared" si="116"/>
        <v>2.3354808809871786E-4</v>
      </c>
      <c r="F201" s="159">
        <f t="shared" si="116"/>
        <v>4.5659407402076331E-3</v>
      </c>
      <c r="G201" s="159">
        <f t="shared" si="116"/>
        <v>3.7478720971938231E-3</v>
      </c>
      <c r="H201" s="159">
        <f t="shared" si="116"/>
        <v>1.0219492668147835E-3</v>
      </c>
      <c r="I201" s="159">
        <f t="shared" si="116"/>
        <v>1.8604824222481064E-3</v>
      </c>
      <c r="J201" s="159">
        <f t="shared" si="116"/>
        <v>5.8584484161923066E-4</v>
      </c>
      <c r="K201" s="159">
        <f t="shared" si="116"/>
        <v>3.319546738954474E-3</v>
      </c>
      <c r="L201" s="159">
        <f t="shared" si="116"/>
        <v>7.8521491103859299E-4</v>
      </c>
      <c r="M201" s="159">
        <f t="shared" si="116"/>
        <v>3.153298289392628E-3</v>
      </c>
      <c r="N201" s="159">
        <f t="shared" si="116"/>
        <v>6.1655902272725132E-4</v>
      </c>
      <c r="O201" s="159">
        <f t="shared" si="116"/>
        <v>1.6978206613640157E-3</v>
      </c>
      <c r="P201" s="159">
        <f t="shared" si="116"/>
        <v>1.1945082464715935E-3</v>
      </c>
      <c r="Q201" s="159">
        <f t="shared" si="116"/>
        <v>1.4826345701140884E-3</v>
      </c>
      <c r="R201" s="159">
        <f t="shared" si="116"/>
        <v>1.5941560510056173E-3</v>
      </c>
      <c r="S201" s="159">
        <f t="shared" si="116"/>
        <v>2.1983267281680636E-3</v>
      </c>
      <c r="T201" s="159">
        <f t="shared" si="116"/>
        <v>1.2062957597944182E-3</v>
      </c>
      <c r="U201" s="159">
        <f t="shared" si="116"/>
        <v>2.5829541637499456E-3</v>
      </c>
      <c r="V201" s="159">
        <f t="shared" si="116"/>
        <v>2.0624270373491463E-3</v>
      </c>
      <c r="W201" s="159">
        <f t="shared" si="116"/>
        <v>8.3469432204397881E-4</v>
      </c>
      <c r="X201" s="159">
        <f t="shared" si="116"/>
        <v>5.6009506536737941E-4</v>
      </c>
      <c r="Y201" s="159">
        <f t="shared" si="116"/>
        <v>9.2798177024917535E-4</v>
      </c>
      <c r="Z201" s="159">
        <f t="shared" si="116"/>
        <v>1.5028182076507006E-3</v>
      </c>
      <c r="AA201" s="159">
        <f t="shared" si="116"/>
        <v>5.3533068243715538E-4</v>
      </c>
      <c r="AB201" s="159">
        <f t="shared" si="116"/>
        <v>1.4204547854273638E-3</v>
      </c>
      <c r="AC201" s="159">
        <f t="shared" si="116"/>
        <v>8.8240605416547773E-4</v>
      </c>
      <c r="AD201" s="159">
        <f t="shared" si="116"/>
        <v>6.5161857878614756E-4</v>
      </c>
      <c r="AE201" s="159">
        <f t="shared" si="116"/>
        <v>8.0767551748232055E-4</v>
      </c>
      <c r="AF201" s="159">
        <f t="shared" si="116"/>
        <v>2.461016922648317E-3</v>
      </c>
      <c r="AG201" s="159">
        <f t="shared" si="116"/>
        <v>3.967749496774399E-2</v>
      </c>
      <c r="AH201" s="159">
        <f t="shared" si="116"/>
        <v>1.050426208767798E-2</v>
      </c>
      <c r="AI201" s="159">
        <f t="shared" ref="AI201:BN201" si="117">AI34/AI$84</f>
        <v>3.2172514945588225E-2</v>
      </c>
      <c r="AJ201" s="159">
        <f t="shared" si="117"/>
        <v>9.3228598667517942E-4</v>
      </c>
      <c r="AK201" s="159">
        <f t="shared" si="117"/>
        <v>1.3251319727067656E-3</v>
      </c>
      <c r="AL201" s="159">
        <f t="shared" si="117"/>
        <v>1.8637886896543194E-3</v>
      </c>
      <c r="AM201" s="159">
        <f t="shared" si="117"/>
        <v>5.0577524513571216E-4</v>
      </c>
      <c r="AN201" s="159">
        <f t="shared" si="117"/>
        <v>2.1435431951923457E-3</v>
      </c>
      <c r="AO201" s="159">
        <f t="shared" si="117"/>
        <v>4.9363861576187532E-4</v>
      </c>
      <c r="AP201" s="159">
        <f t="shared" si="117"/>
        <v>1.1624830931332502E-3</v>
      </c>
      <c r="AQ201" s="159">
        <f t="shared" si="117"/>
        <v>6.1707367835444893E-3</v>
      </c>
      <c r="AR201" s="159">
        <f t="shared" si="117"/>
        <v>2.1024719822997089E-3</v>
      </c>
      <c r="AS201" s="159">
        <f t="shared" si="117"/>
        <v>6.0763778105471099E-4</v>
      </c>
      <c r="AT201" s="159">
        <f t="shared" si="117"/>
        <v>7.1764867762655349E-4</v>
      </c>
      <c r="AU201" s="159">
        <f t="shared" si="117"/>
        <v>1.2431834234521175E-4</v>
      </c>
      <c r="AV201" s="159">
        <f t="shared" si="117"/>
        <v>2.1063347329163397E-4</v>
      </c>
      <c r="AW201" s="159">
        <f t="shared" si="117"/>
        <v>1.2920382291862112E-3</v>
      </c>
      <c r="AX201" s="159">
        <f t="shared" si="117"/>
        <v>6.5397891415760968E-4</v>
      </c>
      <c r="AY201" s="159">
        <f t="shared" si="117"/>
        <v>1.031671363821274E-4</v>
      </c>
      <c r="AZ201" s="159">
        <f t="shared" si="117"/>
        <v>7.9391850857301702E-5</v>
      </c>
      <c r="BA201" s="159">
        <f t="shared" si="117"/>
        <v>1.1746323711099243E-4</v>
      </c>
      <c r="BB201" s="159">
        <f t="shared" si="117"/>
        <v>1.0919057824867988E-2</v>
      </c>
      <c r="BC201" s="159">
        <f t="shared" si="117"/>
        <v>3.4518024509026443E-4</v>
      </c>
      <c r="BD201" s="159">
        <f t="shared" si="117"/>
        <v>4.0522798294086502E-4</v>
      </c>
      <c r="BE201" s="159">
        <f t="shared" si="117"/>
        <v>1.7312371242619031E-3</v>
      </c>
      <c r="BF201" s="159">
        <f t="shared" si="117"/>
        <v>2.9879264889744197E-3</v>
      </c>
      <c r="BG201" s="159">
        <f t="shared" si="117"/>
        <v>5.8628427090562394E-5</v>
      </c>
      <c r="BH201" s="159">
        <f t="shared" si="117"/>
        <v>2.9644205217363835E-4</v>
      </c>
      <c r="BI201" s="159">
        <f t="shared" si="117"/>
        <v>1.002809526956151E-4</v>
      </c>
      <c r="BJ201" s="159">
        <f t="shared" si="117"/>
        <v>1.9144268354689185E-3</v>
      </c>
      <c r="BK201" s="159">
        <f t="shared" si="117"/>
        <v>5.5987384176098981E-4</v>
      </c>
      <c r="BL201" s="159">
        <f t="shared" si="117"/>
        <v>4.4176030205241856E-3</v>
      </c>
      <c r="BM201" s="159">
        <f t="shared" si="117"/>
        <v>6.5456415124189211E-4</v>
      </c>
      <c r="BN201" s="159">
        <f t="shared" si="117"/>
        <v>1.4718986660247948E-2</v>
      </c>
      <c r="BO201" s="159">
        <f t="shared" ref="BO201:CA201" si="118">BO34/BO$84</f>
        <v>8.6709502931556822E-4</v>
      </c>
      <c r="BP201" s="159">
        <f t="shared" si="118"/>
        <v>5.6070451973095725E-4</v>
      </c>
      <c r="BQ201" s="159">
        <f t="shared" si="118"/>
        <v>1.0270991121104592E-3</v>
      </c>
      <c r="BR201" s="159">
        <f t="shared" si="118"/>
        <v>1.0871709363293035E-3</v>
      </c>
      <c r="BS201" s="159">
        <f t="shared" si="118"/>
        <v>2.9186623111914422E-3</v>
      </c>
      <c r="BT201" s="159">
        <f t="shared" si="118"/>
        <v>3.1713395352679576E-3</v>
      </c>
      <c r="BU201" s="159">
        <f t="shared" si="118"/>
        <v>5.0064823789515199E-3</v>
      </c>
      <c r="BV201" s="159">
        <f t="shared" si="118"/>
        <v>2.4386360567456503E-4</v>
      </c>
      <c r="BW201" s="159">
        <f t="shared" si="118"/>
        <v>5.53039787276085E-3</v>
      </c>
      <c r="BX201" s="159">
        <f t="shared" si="118"/>
        <v>2.2740680617278838E-3</v>
      </c>
      <c r="BY201" s="159">
        <f t="shared" si="118"/>
        <v>2.6721663555827097E-4</v>
      </c>
      <c r="BZ201" s="159">
        <f t="shared" si="118"/>
        <v>2.2343923203407556E-3</v>
      </c>
      <c r="CA201" s="118">
        <f t="shared" si="118"/>
        <v>0</v>
      </c>
      <c r="CB201" s="18"/>
      <c r="CC201" s="271"/>
      <c r="CD201" s="147">
        <f t="shared" si="82"/>
        <v>2.8190088159799061E-3</v>
      </c>
      <c r="CE201" s="148">
        <f t="shared" si="82"/>
        <v>4.4853123881201879E-3</v>
      </c>
      <c r="CF201" s="148">
        <f t="shared" si="82"/>
        <v>7.7030416916147489E-6</v>
      </c>
      <c r="CG201" s="119">
        <f t="shared" si="82"/>
        <v>3.0566420753096968E-6</v>
      </c>
      <c r="CH201" s="18"/>
      <c r="CI201" s="18"/>
      <c r="CJ201" s="18"/>
    </row>
    <row r="202" spans="1:88" ht="13.95" customHeight="1" x14ac:dyDescent="0.25">
      <c r="A202" s="8" t="s">
        <v>33</v>
      </c>
      <c r="B202" s="256"/>
      <c r="C202" s="22">
        <f t="shared" ref="C202:AH202" si="119">C35/C$84</f>
        <v>3.43342252097411E-3</v>
      </c>
      <c r="D202" s="159">
        <f t="shared" si="119"/>
        <v>1.7433342221645307E-2</v>
      </c>
      <c r="E202" s="159">
        <f t="shared" si="119"/>
        <v>1.3830425842095949E-3</v>
      </c>
      <c r="F202" s="159">
        <f t="shared" si="119"/>
        <v>7.9003570534107725E-3</v>
      </c>
      <c r="G202" s="159">
        <f t="shared" si="119"/>
        <v>1.0258089823233719E-2</v>
      </c>
      <c r="H202" s="159">
        <f t="shared" si="119"/>
        <v>2.8985185517956527E-3</v>
      </c>
      <c r="I202" s="159">
        <f t="shared" si="119"/>
        <v>1.7043456480674388E-3</v>
      </c>
      <c r="J202" s="159">
        <f t="shared" si="119"/>
        <v>2.9480990109240343E-3</v>
      </c>
      <c r="K202" s="159">
        <f t="shared" si="119"/>
        <v>5.2831901444888715E-3</v>
      </c>
      <c r="L202" s="159">
        <f t="shared" si="119"/>
        <v>3.3616060763931358E-3</v>
      </c>
      <c r="M202" s="159">
        <f t="shared" si="119"/>
        <v>4.2200992167333688E-3</v>
      </c>
      <c r="N202" s="159">
        <f t="shared" si="119"/>
        <v>6.4110778768802093E-3</v>
      </c>
      <c r="O202" s="159">
        <f t="shared" si="119"/>
        <v>7.9191087102897934E-3</v>
      </c>
      <c r="P202" s="159">
        <f t="shared" si="119"/>
        <v>3.6434366770735369E-3</v>
      </c>
      <c r="Q202" s="159">
        <f t="shared" si="119"/>
        <v>2.9844384637494883E-3</v>
      </c>
      <c r="R202" s="159">
        <f t="shared" si="119"/>
        <v>7.6817665072297456E-3</v>
      </c>
      <c r="S202" s="159">
        <f t="shared" si="119"/>
        <v>1.7417183559731257E-3</v>
      </c>
      <c r="T202" s="159">
        <f t="shared" si="119"/>
        <v>8.965335044912922E-3</v>
      </c>
      <c r="U202" s="159">
        <f t="shared" si="119"/>
        <v>1.3908634028901141E-2</v>
      </c>
      <c r="V202" s="159">
        <f t="shared" si="119"/>
        <v>3.6831642790323702E-3</v>
      </c>
      <c r="W202" s="159">
        <f t="shared" si="119"/>
        <v>1.4130312961905044E-2</v>
      </c>
      <c r="X202" s="159">
        <f t="shared" si="119"/>
        <v>1.9198228869389199E-3</v>
      </c>
      <c r="Y202" s="159">
        <f t="shared" si="119"/>
        <v>1.7944608654463921E-2</v>
      </c>
      <c r="Z202" s="159">
        <f t="shared" si="119"/>
        <v>1.0772487448123015E-2</v>
      </c>
      <c r="AA202" s="159">
        <f t="shared" si="119"/>
        <v>3.1795158012500086E-3</v>
      </c>
      <c r="AB202" s="159">
        <f t="shared" si="119"/>
        <v>8.804606544329829E-3</v>
      </c>
      <c r="AC202" s="159">
        <f t="shared" si="119"/>
        <v>4.4837979997861214E-3</v>
      </c>
      <c r="AD202" s="159">
        <f t="shared" si="119"/>
        <v>1.5362257936777776E-3</v>
      </c>
      <c r="AE202" s="159">
        <f t="shared" si="119"/>
        <v>2.5817089869547446E-2</v>
      </c>
      <c r="AF202" s="159">
        <f t="shared" si="119"/>
        <v>0.11691755372132571</v>
      </c>
      <c r="AG202" s="159">
        <f t="shared" si="119"/>
        <v>2.5880453548712056E-2</v>
      </c>
      <c r="AH202" s="159">
        <f t="shared" si="119"/>
        <v>1.2807749915699277E-2</v>
      </c>
      <c r="AI202" s="159">
        <f t="shared" ref="AI202:BN202" si="120">AI35/AI$84</f>
        <v>2.2099336577427131E-2</v>
      </c>
      <c r="AJ202" s="159">
        <f t="shared" si="120"/>
        <v>0.20853441799245218</v>
      </c>
      <c r="AK202" s="159">
        <f t="shared" si="120"/>
        <v>5.5669090894588779E-3</v>
      </c>
      <c r="AL202" s="159">
        <f t="shared" si="120"/>
        <v>1.9352317756346882E-2</v>
      </c>
      <c r="AM202" s="159">
        <f t="shared" si="120"/>
        <v>9.4917093363627754E-3</v>
      </c>
      <c r="AN202" s="159">
        <f t="shared" si="120"/>
        <v>4.2615777341678861E-3</v>
      </c>
      <c r="AO202" s="159">
        <f t="shared" si="120"/>
        <v>8.4400581544774513E-4</v>
      </c>
      <c r="AP202" s="159">
        <f t="shared" si="120"/>
        <v>8.2134534128328704E-2</v>
      </c>
      <c r="AQ202" s="159">
        <f t="shared" si="120"/>
        <v>2.3512325091490909E-2</v>
      </c>
      <c r="AR202" s="159">
        <f t="shared" si="120"/>
        <v>1.0065758736745839E-2</v>
      </c>
      <c r="AS202" s="159">
        <f t="shared" si="120"/>
        <v>2.0450538354234419E-4</v>
      </c>
      <c r="AT202" s="159">
        <f t="shared" si="120"/>
        <v>1.9224614250663077E-4</v>
      </c>
      <c r="AU202" s="159">
        <f t="shared" si="120"/>
        <v>1.4206226275130797E-4</v>
      </c>
      <c r="AV202" s="159">
        <f t="shared" si="120"/>
        <v>1.6444025073638471E-2</v>
      </c>
      <c r="AW202" s="159">
        <f t="shared" si="120"/>
        <v>3.390626932565091E-3</v>
      </c>
      <c r="AX202" s="159">
        <f t="shared" si="120"/>
        <v>4.9584466852113851E-3</v>
      </c>
      <c r="AY202" s="159">
        <f t="shared" si="120"/>
        <v>1.4476851274231751E-3</v>
      </c>
      <c r="AZ202" s="159">
        <f t="shared" si="120"/>
        <v>2.3588499890767911E-3</v>
      </c>
      <c r="BA202" s="159">
        <f t="shared" si="120"/>
        <v>2.3608372302734897E-3</v>
      </c>
      <c r="BB202" s="159">
        <f t="shared" si="120"/>
        <v>0.10669040366182052</v>
      </c>
      <c r="BC202" s="159">
        <f t="shared" si="120"/>
        <v>1.3679209834306589E-3</v>
      </c>
      <c r="BD202" s="159">
        <f t="shared" si="120"/>
        <v>1.0382383466836375E-2</v>
      </c>
      <c r="BE202" s="159">
        <f t="shared" si="120"/>
        <v>0.18622865466049815</v>
      </c>
      <c r="BF202" s="159">
        <f t="shared" si="120"/>
        <v>4.1142068768402658E-3</v>
      </c>
      <c r="BG202" s="159">
        <f t="shared" si="120"/>
        <v>5.6450070438140911E-4</v>
      </c>
      <c r="BH202" s="159">
        <f t="shared" si="120"/>
        <v>1.4881537571078719E-2</v>
      </c>
      <c r="BI202" s="159">
        <f t="shared" si="120"/>
        <v>0</v>
      </c>
      <c r="BJ202" s="159">
        <f t="shared" si="120"/>
        <v>2.5310114953042234E-2</v>
      </c>
      <c r="BK202" s="159">
        <f t="shared" si="120"/>
        <v>4.2814796843555699E-4</v>
      </c>
      <c r="BL202" s="159">
        <f t="shared" si="120"/>
        <v>1.0400677371556442E-2</v>
      </c>
      <c r="BM202" s="159">
        <f t="shared" si="120"/>
        <v>5.591845061157878E-3</v>
      </c>
      <c r="BN202" s="159">
        <f t="shared" si="120"/>
        <v>1.9118225397711967E-2</v>
      </c>
      <c r="BO202" s="159">
        <f t="shared" ref="BO202:CA202" si="121">BO35/BO$84</f>
        <v>3.5224418272815834E-3</v>
      </c>
      <c r="BP202" s="159">
        <f t="shared" si="121"/>
        <v>5.6155517938681787E-2</v>
      </c>
      <c r="BQ202" s="159">
        <f t="shared" si="121"/>
        <v>1.4775172680323795E-2</v>
      </c>
      <c r="BR202" s="159">
        <f t="shared" si="121"/>
        <v>7.0911247738824502E-3</v>
      </c>
      <c r="BS202" s="159">
        <f t="shared" si="121"/>
        <v>1.3250721632220405E-2</v>
      </c>
      <c r="BT202" s="159">
        <f t="shared" si="121"/>
        <v>1.0142044802628862E-2</v>
      </c>
      <c r="BU202" s="159">
        <f t="shared" si="121"/>
        <v>9.4018961267353277E-2</v>
      </c>
      <c r="BV202" s="159">
        <f t="shared" si="121"/>
        <v>1.8768428329292452E-3</v>
      </c>
      <c r="BW202" s="159">
        <f t="shared" si="121"/>
        <v>7.2650358653669304E-3</v>
      </c>
      <c r="BX202" s="159">
        <f t="shared" si="121"/>
        <v>1.6938056784526281E-3</v>
      </c>
      <c r="BY202" s="159">
        <f t="shared" si="121"/>
        <v>2.7146713376570513E-3</v>
      </c>
      <c r="BZ202" s="159">
        <f t="shared" si="121"/>
        <v>1.1696539524579381E-2</v>
      </c>
      <c r="CA202" s="118">
        <f t="shared" si="121"/>
        <v>0</v>
      </c>
      <c r="CB202" s="18"/>
      <c r="CC202" s="271"/>
      <c r="CD202" s="147">
        <f t="shared" si="82"/>
        <v>3.1423550756750115E-2</v>
      </c>
      <c r="CE202" s="148">
        <f t="shared" si="82"/>
        <v>3.3283409663725821E-4</v>
      </c>
      <c r="CF202" s="148">
        <f t="shared" si="82"/>
        <v>0.43795390932402789</v>
      </c>
      <c r="CG202" s="119">
        <f t="shared" si="82"/>
        <v>1.9454738257673018E-2</v>
      </c>
      <c r="CH202" s="18"/>
      <c r="CI202" s="18"/>
      <c r="CJ202" s="18"/>
    </row>
    <row r="203" spans="1:88" ht="13.95" customHeight="1" x14ac:dyDescent="0.25">
      <c r="A203" s="8" t="s">
        <v>34</v>
      </c>
      <c r="B203" s="256"/>
      <c r="C203" s="22">
        <f t="shared" ref="C203:AH203" si="122">C36/C$84</f>
        <v>6.3257821243130937E-4</v>
      </c>
      <c r="D203" s="159">
        <f t="shared" si="122"/>
        <v>3.9145064289082309E-3</v>
      </c>
      <c r="E203" s="159">
        <f t="shared" si="122"/>
        <v>1.7826287661909948E-3</v>
      </c>
      <c r="F203" s="159">
        <f t="shared" si="122"/>
        <v>1.6156024988892668E-3</v>
      </c>
      <c r="G203" s="159">
        <f t="shared" si="122"/>
        <v>3.5411770187580524E-3</v>
      </c>
      <c r="H203" s="159">
        <f t="shared" si="122"/>
        <v>9.5355307571740229E-4</v>
      </c>
      <c r="I203" s="159">
        <f t="shared" si="122"/>
        <v>1.2098444667187273E-3</v>
      </c>
      <c r="J203" s="159">
        <f t="shared" si="122"/>
        <v>1.7232936966507025E-3</v>
      </c>
      <c r="K203" s="159">
        <f t="shared" si="122"/>
        <v>1.8770406564843239E-3</v>
      </c>
      <c r="L203" s="159">
        <f t="shared" si="122"/>
        <v>1.2010568765190258E-3</v>
      </c>
      <c r="M203" s="159">
        <f t="shared" si="122"/>
        <v>1.3086940800656683E-3</v>
      </c>
      <c r="N203" s="159">
        <f t="shared" si="122"/>
        <v>7.8352412741298475E-4</v>
      </c>
      <c r="O203" s="159">
        <f t="shared" si="122"/>
        <v>6.5407222039831614E-4</v>
      </c>
      <c r="P203" s="159">
        <f t="shared" si="122"/>
        <v>1.2268144345241982E-3</v>
      </c>
      <c r="Q203" s="159">
        <f t="shared" si="122"/>
        <v>3.0550333545342621E-4</v>
      </c>
      <c r="R203" s="159">
        <f t="shared" si="122"/>
        <v>7.4096022282106328E-4</v>
      </c>
      <c r="S203" s="159">
        <f t="shared" si="122"/>
        <v>1.1335036169439075E-3</v>
      </c>
      <c r="T203" s="159">
        <f t="shared" si="122"/>
        <v>1.5611963632709217E-3</v>
      </c>
      <c r="U203" s="159">
        <f t="shared" si="122"/>
        <v>1.5406716695134876E-3</v>
      </c>
      <c r="V203" s="159">
        <f t="shared" si="122"/>
        <v>3.1604263467004774E-4</v>
      </c>
      <c r="W203" s="159">
        <f t="shared" si="122"/>
        <v>1.5849684785445345E-3</v>
      </c>
      <c r="X203" s="159">
        <f t="shared" si="122"/>
        <v>2.7543284687918737E-4</v>
      </c>
      <c r="Y203" s="159">
        <f t="shared" si="122"/>
        <v>1.7101101936460145E-3</v>
      </c>
      <c r="Z203" s="159">
        <f t="shared" si="122"/>
        <v>2.7413442854386989E-3</v>
      </c>
      <c r="AA203" s="159">
        <f t="shared" si="122"/>
        <v>5.2644689699277547E-2</v>
      </c>
      <c r="AB203" s="159">
        <f t="shared" si="122"/>
        <v>2.354663975776583E-2</v>
      </c>
      <c r="AC203" s="159">
        <f t="shared" si="122"/>
        <v>1.8312871651887295E-3</v>
      </c>
      <c r="AD203" s="159">
        <f t="shared" si="122"/>
        <v>9.7234128108105507E-4</v>
      </c>
      <c r="AE203" s="159">
        <f t="shared" si="122"/>
        <v>1.4006735391019367E-2</v>
      </c>
      <c r="AF203" s="159">
        <f t="shared" si="122"/>
        <v>5.110818452812451E-4</v>
      </c>
      <c r="AG203" s="159">
        <f t="shared" si="122"/>
        <v>1.7990659496352113E-3</v>
      </c>
      <c r="AH203" s="159">
        <f t="shared" si="122"/>
        <v>3.8894392760332394E-3</v>
      </c>
      <c r="AI203" s="159">
        <f t="shared" ref="AI203:BN203" si="123">AI36/AI$84</f>
        <v>4.9203825678082415E-3</v>
      </c>
      <c r="AJ203" s="159">
        <f t="shared" si="123"/>
        <v>1.3856643786127095E-3</v>
      </c>
      <c r="AK203" s="159">
        <f t="shared" si="123"/>
        <v>4.149530223589807E-2</v>
      </c>
      <c r="AL203" s="159">
        <f t="shared" si="123"/>
        <v>2.9607853454672313E-3</v>
      </c>
      <c r="AM203" s="159">
        <f t="shared" si="123"/>
        <v>1.0447061415774534E-3</v>
      </c>
      <c r="AN203" s="159">
        <f t="shared" si="123"/>
        <v>2.1869072732038988E-2</v>
      </c>
      <c r="AO203" s="159">
        <f t="shared" si="123"/>
        <v>4.4262675185981351E-3</v>
      </c>
      <c r="AP203" s="159">
        <f t="shared" si="123"/>
        <v>1.958180226346536E-3</v>
      </c>
      <c r="AQ203" s="159">
        <f t="shared" si="123"/>
        <v>9.6395585090161778E-4</v>
      </c>
      <c r="AR203" s="159">
        <f t="shared" si="123"/>
        <v>7.5403595620130153E-4</v>
      </c>
      <c r="AS203" s="159">
        <f t="shared" si="123"/>
        <v>1.6088169355827379E-3</v>
      </c>
      <c r="AT203" s="159">
        <f t="shared" si="123"/>
        <v>7.739525596136169E-4</v>
      </c>
      <c r="AU203" s="159">
        <f t="shared" si="123"/>
        <v>4.6577791066002618E-5</v>
      </c>
      <c r="AV203" s="159">
        <f t="shared" si="123"/>
        <v>6.5923259304766636E-4</v>
      </c>
      <c r="AW203" s="159">
        <f t="shared" si="123"/>
        <v>1.612552864932689E-3</v>
      </c>
      <c r="AX203" s="159">
        <f t="shared" si="123"/>
        <v>1.5003608753668581E-3</v>
      </c>
      <c r="AY203" s="159">
        <f t="shared" si="123"/>
        <v>2.1112908533611591E-3</v>
      </c>
      <c r="AZ203" s="159">
        <f t="shared" si="123"/>
        <v>1.9322606369319459E-3</v>
      </c>
      <c r="BA203" s="159">
        <f t="shared" si="123"/>
        <v>1.1374315404138848E-3</v>
      </c>
      <c r="BB203" s="159">
        <f t="shared" si="123"/>
        <v>3.9285398951011331E-4</v>
      </c>
      <c r="BC203" s="159">
        <f t="shared" si="123"/>
        <v>6.1979563590849386E-4</v>
      </c>
      <c r="BD203" s="159">
        <f t="shared" si="123"/>
        <v>1.6740724304199839E-3</v>
      </c>
      <c r="BE203" s="159">
        <f t="shared" si="123"/>
        <v>4.7057681083286927E-4</v>
      </c>
      <c r="BF203" s="159">
        <f t="shared" si="123"/>
        <v>8.7373849377109605E-4</v>
      </c>
      <c r="BG203" s="159">
        <f t="shared" si="123"/>
        <v>6.5952725874045932E-4</v>
      </c>
      <c r="BH203" s="159">
        <f t="shared" si="123"/>
        <v>1.4251364134159202E-3</v>
      </c>
      <c r="BI203" s="159">
        <f t="shared" si="123"/>
        <v>1.2086843305034402E-3</v>
      </c>
      <c r="BJ203" s="159">
        <f t="shared" si="123"/>
        <v>2.3217797410395542E-2</v>
      </c>
      <c r="BK203" s="159">
        <f t="shared" si="123"/>
        <v>2.3405059393283379E-3</v>
      </c>
      <c r="BL203" s="159">
        <f t="shared" si="123"/>
        <v>2.1150581252186986E-3</v>
      </c>
      <c r="BM203" s="159">
        <f t="shared" si="123"/>
        <v>3.7479496082398686E-3</v>
      </c>
      <c r="BN203" s="159">
        <f t="shared" si="123"/>
        <v>5.7938850860354604E-3</v>
      </c>
      <c r="BO203" s="159">
        <f t="shared" ref="BO203:CA203" si="124">BO36/BO$84</f>
        <v>2.0597195367006295E-3</v>
      </c>
      <c r="BP203" s="159">
        <f t="shared" si="124"/>
        <v>4.1374630629244027E-3</v>
      </c>
      <c r="BQ203" s="159">
        <f t="shared" si="124"/>
        <v>4.4995878538198761E-4</v>
      </c>
      <c r="BR203" s="159">
        <f t="shared" si="124"/>
        <v>5.5016354348205797E-4</v>
      </c>
      <c r="BS203" s="159">
        <f t="shared" si="124"/>
        <v>4.8099316408411943E-4</v>
      </c>
      <c r="BT203" s="159">
        <f t="shared" si="124"/>
        <v>2.9161637347456732E-4</v>
      </c>
      <c r="BU203" s="159">
        <f t="shared" si="124"/>
        <v>3.860265315392573E-4</v>
      </c>
      <c r="BV203" s="159">
        <f t="shared" si="124"/>
        <v>4.2172280568101433E-4</v>
      </c>
      <c r="BW203" s="159">
        <f t="shared" si="124"/>
        <v>7.5621191163670646E-4</v>
      </c>
      <c r="BX203" s="159">
        <f t="shared" si="124"/>
        <v>1.2536634729569088E-3</v>
      </c>
      <c r="BY203" s="159">
        <f t="shared" si="124"/>
        <v>3.2829896993783126E-4</v>
      </c>
      <c r="BZ203" s="159">
        <f t="shared" si="124"/>
        <v>2.0873175434181906E-3</v>
      </c>
      <c r="CA203" s="118">
        <f t="shared" si="124"/>
        <v>0</v>
      </c>
      <c r="CB203" s="18"/>
      <c r="CC203" s="271"/>
      <c r="CD203" s="147">
        <f t="shared" si="82"/>
        <v>1.4135153998913798E-2</v>
      </c>
      <c r="CE203" s="148">
        <f t="shared" si="82"/>
        <v>4.0572457183711621E-5</v>
      </c>
      <c r="CF203" s="148">
        <f t="shared" si="82"/>
        <v>1.6271480665447664E-2</v>
      </c>
      <c r="CG203" s="119">
        <f t="shared" si="82"/>
        <v>1.753133331882031E-2</v>
      </c>
      <c r="CH203" s="18"/>
      <c r="CI203" s="18"/>
      <c r="CJ203" s="18"/>
    </row>
    <row r="204" spans="1:88" ht="13.95" customHeight="1" x14ac:dyDescent="0.25">
      <c r="A204" s="8" t="s">
        <v>35</v>
      </c>
      <c r="B204" s="256"/>
      <c r="C204" s="22">
        <f t="shared" ref="C204:AH204" si="125">C37/C$84</f>
        <v>3.5975279614461175E-2</v>
      </c>
      <c r="D204" s="159">
        <f t="shared" si="125"/>
        <v>1.8407320493675789E-2</v>
      </c>
      <c r="E204" s="159">
        <f t="shared" si="125"/>
        <v>2.191337920363751E-2</v>
      </c>
      <c r="F204" s="159">
        <f t="shared" si="125"/>
        <v>9.0521788362362254E-3</v>
      </c>
      <c r="G204" s="159">
        <f t="shared" si="125"/>
        <v>9.0165648632453341E-3</v>
      </c>
      <c r="H204" s="159">
        <f t="shared" si="125"/>
        <v>8.2908983741020084E-2</v>
      </c>
      <c r="I204" s="159">
        <f t="shared" si="125"/>
        <v>4.790885169819728E-2</v>
      </c>
      <c r="J204" s="159">
        <f t="shared" si="125"/>
        <v>2.8369312619608476E-2</v>
      </c>
      <c r="K204" s="159">
        <f t="shared" si="125"/>
        <v>7.6352447672506762E-2</v>
      </c>
      <c r="L204" s="159">
        <f t="shared" si="125"/>
        <v>4.36467518787053E-2</v>
      </c>
      <c r="M204" s="159">
        <f t="shared" si="125"/>
        <v>5.9749925337448669E-2</v>
      </c>
      <c r="N204" s="159">
        <f t="shared" si="125"/>
        <v>4.7992900933758693E-2</v>
      </c>
      <c r="O204" s="159">
        <f t="shared" si="125"/>
        <v>4.1483539790609723E-2</v>
      </c>
      <c r="P204" s="159">
        <f t="shared" si="125"/>
        <v>3.6762129089707871E-2</v>
      </c>
      <c r="Q204" s="159">
        <f t="shared" si="125"/>
        <v>1.1192065396723514E-2</v>
      </c>
      <c r="R204" s="159">
        <f t="shared" si="125"/>
        <v>3.8787417643573983E-2</v>
      </c>
      <c r="S204" s="159">
        <f t="shared" si="125"/>
        <v>3.3617318278126043E-2</v>
      </c>
      <c r="T204" s="159">
        <f t="shared" si="125"/>
        <v>4.7703132730734461E-2</v>
      </c>
      <c r="U204" s="159">
        <f t="shared" si="125"/>
        <v>3.8814595293354071E-2</v>
      </c>
      <c r="V204" s="159">
        <f t="shared" si="125"/>
        <v>3.1033834053618047E-2</v>
      </c>
      <c r="W204" s="159">
        <f t="shared" si="125"/>
        <v>2.5441077041927721E-2</v>
      </c>
      <c r="X204" s="159">
        <f t="shared" si="125"/>
        <v>8.6788040949443909E-2</v>
      </c>
      <c r="Y204" s="159">
        <f t="shared" si="125"/>
        <v>4.3342801852294319E-2</v>
      </c>
      <c r="Z204" s="159">
        <f t="shared" si="125"/>
        <v>2.6429865351587974E-2</v>
      </c>
      <c r="AA204" s="159">
        <f t="shared" si="125"/>
        <v>3.6368416799143363E-2</v>
      </c>
      <c r="AB204" s="159">
        <f t="shared" si="125"/>
        <v>1.9892913454467313E-2</v>
      </c>
      <c r="AC204" s="159">
        <f t="shared" si="125"/>
        <v>5.4637475484071413E-2</v>
      </c>
      <c r="AD204" s="159">
        <f t="shared" si="125"/>
        <v>4.7684727059473062E-2</v>
      </c>
      <c r="AE204" s="159">
        <f t="shared" si="125"/>
        <v>2.0842340018675617E-2</v>
      </c>
      <c r="AF204" s="159">
        <f t="shared" si="125"/>
        <v>1.4116551641707595E-2</v>
      </c>
      <c r="AG204" s="159">
        <f t="shared" si="125"/>
        <v>4.8155431072627892E-3</v>
      </c>
      <c r="AH204" s="159">
        <f t="shared" si="125"/>
        <v>1.7864433982732075E-2</v>
      </c>
      <c r="AI204" s="159">
        <f t="shared" ref="AI204:BN204" si="126">AI37/AI$84</f>
        <v>4.8529663760380681E-3</v>
      </c>
      <c r="AJ204" s="159">
        <f t="shared" si="126"/>
        <v>3.5125472473584746E-2</v>
      </c>
      <c r="AK204" s="159">
        <f t="shared" si="126"/>
        <v>5.8464185305447548E-3</v>
      </c>
      <c r="AL204" s="159">
        <f t="shared" si="126"/>
        <v>6.3177521098919335E-3</v>
      </c>
      <c r="AM204" s="159">
        <f t="shared" si="126"/>
        <v>1.2244156251128555E-2</v>
      </c>
      <c r="AN204" s="159">
        <f t="shared" si="126"/>
        <v>1.1281188866849323E-2</v>
      </c>
      <c r="AO204" s="159">
        <f t="shared" si="126"/>
        <v>5.9068975851336095E-3</v>
      </c>
      <c r="AP204" s="159">
        <f t="shared" si="126"/>
        <v>3.2903035667950029E-3</v>
      </c>
      <c r="AQ204" s="159">
        <f t="shared" si="126"/>
        <v>3.420431592760953E-2</v>
      </c>
      <c r="AR204" s="159">
        <f t="shared" si="126"/>
        <v>7.2956706433725149E-2</v>
      </c>
      <c r="AS204" s="159">
        <f t="shared" si="126"/>
        <v>2.5627216232344104E-2</v>
      </c>
      <c r="AT204" s="159">
        <f t="shared" si="126"/>
        <v>9.8265328581325848E-3</v>
      </c>
      <c r="AU204" s="159">
        <f t="shared" si="126"/>
        <v>1.3793680125689059E-3</v>
      </c>
      <c r="AV204" s="159">
        <f t="shared" si="126"/>
        <v>1.8012572707164807E-2</v>
      </c>
      <c r="AW204" s="159">
        <f t="shared" si="126"/>
        <v>6.5591887195656107E-3</v>
      </c>
      <c r="AX204" s="159">
        <f t="shared" si="126"/>
        <v>4.3494575382748051E-3</v>
      </c>
      <c r="AY204" s="159">
        <f t="shared" si="126"/>
        <v>4.7504540637098155E-3</v>
      </c>
      <c r="AZ204" s="159">
        <f t="shared" si="126"/>
        <v>1.6827373873079119E-2</v>
      </c>
      <c r="BA204" s="159">
        <f t="shared" si="126"/>
        <v>2.3227423876248086E-3</v>
      </c>
      <c r="BB204" s="159">
        <f t="shared" si="126"/>
        <v>4.8884831948626988E-3</v>
      </c>
      <c r="BC204" s="159">
        <f t="shared" si="126"/>
        <v>1.6709841426023977E-3</v>
      </c>
      <c r="BD204" s="159">
        <f t="shared" si="126"/>
        <v>3.1335007175631725E-3</v>
      </c>
      <c r="BE204" s="159">
        <f t="shared" si="126"/>
        <v>7.7198393224463093E-3</v>
      </c>
      <c r="BF204" s="159">
        <f t="shared" si="126"/>
        <v>1.2850249737415666E-2</v>
      </c>
      <c r="BG204" s="159">
        <f t="shared" si="126"/>
        <v>3.5318947258943406E-3</v>
      </c>
      <c r="BH204" s="159">
        <f t="shared" si="126"/>
        <v>5.5137733197756483E-3</v>
      </c>
      <c r="BI204" s="159">
        <f t="shared" si="126"/>
        <v>3.9514347979554637E-2</v>
      </c>
      <c r="BJ204" s="159">
        <f t="shared" si="126"/>
        <v>7.7662912914932599E-3</v>
      </c>
      <c r="BK204" s="159">
        <f t="shared" si="126"/>
        <v>1.6468066973353115E-3</v>
      </c>
      <c r="BL204" s="159">
        <f t="shared" si="126"/>
        <v>2.0099964144235215E-3</v>
      </c>
      <c r="BM204" s="159">
        <f t="shared" si="126"/>
        <v>7.1089268020549717E-3</v>
      </c>
      <c r="BN204" s="159">
        <f t="shared" si="126"/>
        <v>1.7979073179745658E-2</v>
      </c>
      <c r="BO204" s="159">
        <f t="shared" ref="BO204:CA204" si="127">BO37/BO$84</f>
        <v>2.168801946137254E-2</v>
      </c>
      <c r="BP204" s="159">
        <f t="shared" si="127"/>
        <v>7.5054195346464514E-3</v>
      </c>
      <c r="BQ204" s="159">
        <f t="shared" si="127"/>
        <v>5.7817978611301706E-3</v>
      </c>
      <c r="BR204" s="159">
        <f t="shared" si="127"/>
        <v>2.2403671564358667E-2</v>
      </c>
      <c r="BS204" s="159">
        <f t="shared" si="127"/>
        <v>1.2840965607366753E-2</v>
      </c>
      <c r="BT204" s="159">
        <f t="shared" si="127"/>
        <v>9.6492250641381627E-3</v>
      </c>
      <c r="BU204" s="159">
        <f t="shared" si="127"/>
        <v>7.1451978744321428E-3</v>
      </c>
      <c r="BV204" s="159">
        <f t="shared" si="127"/>
        <v>4.8006868488992887E-3</v>
      </c>
      <c r="BW204" s="159">
        <f t="shared" si="127"/>
        <v>8.4192960300697936E-3</v>
      </c>
      <c r="BX204" s="159">
        <f t="shared" si="127"/>
        <v>6.2674313107191723E-2</v>
      </c>
      <c r="BY204" s="159">
        <f t="shared" si="127"/>
        <v>1.2989804897673714E-2</v>
      </c>
      <c r="BZ204" s="159">
        <f t="shared" si="127"/>
        <v>9.3797471861992478E-3</v>
      </c>
      <c r="CA204" s="118">
        <f t="shared" si="127"/>
        <v>0</v>
      </c>
      <c r="CB204" s="18"/>
      <c r="CC204" s="271"/>
      <c r="CD204" s="147">
        <f t="shared" si="82"/>
        <v>2.6296614517751435E-2</v>
      </c>
      <c r="CE204" s="148">
        <f t="shared" si="82"/>
        <v>6.616725617119722E-3</v>
      </c>
      <c r="CF204" s="148">
        <f t="shared" si="82"/>
        <v>3.0136021922323061E-2</v>
      </c>
      <c r="CG204" s="119">
        <f t="shared" si="82"/>
        <v>5.5076734812705398E-2</v>
      </c>
      <c r="CH204" s="18"/>
      <c r="CI204" s="18"/>
      <c r="CJ204" s="18"/>
    </row>
    <row r="205" spans="1:88" ht="13.95" customHeight="1" x14ac:dyDescent="0.25">
      <c r="A205" s="8" t="s">
        <v>36</v>
      </c>
      <c r="B205" s="256"/>
      <c r="C205" s="22">
        <f t="shared" ref="C205:AH205" si="128">C38/C$84</f>
        <v>3.5765129781907434E-2</v>
      </c>
      <c r="D205" s="159">
        <f t="shared" si="128"/>
        <v>1.995682348238155E-2</v>
      </c>
      <c r="E205" s="159">
        <f t="shared" si="128"/>
        <v>3.0563781435481427E-2</v>
      </c>
      <c r="F205" s="159">
        <f t="shared" si="128"/>
        <v>5.0359595028081003E-3</v>
      </c>
      <c r="G205" s="159">
        <f t="shared" si="128"/>
        <v>8.5534649463568022E-3</v>
      </c>
      <c r="H205" s="159">
        <f t="shared" si="128"/>
        <v>2.8588134111610156E-2</v>
      </c>
      <c r="I205" s="159">
        <f t="shared" si="128"/>
        <v>1.9832591974814833E-2</v>
      </c>
      <c r="J205" s="159">
        <f t="shared" si="128"/>
        <v>5.8440503294197562E-3</v>
      </c>
      <c r="K205" s="159">
        <f t="shared" si="128"/>
        <v>1.5737789519326861E-2</v>
      </c>
      <c r="L205" s="159">
        <f t="shared" si="128"/>
        <v>1.2614666024179801E-2</v>
      </c>
      <c r="M205" s="159">
        <f t="shared" si="128"/>
        <v>2.0397789718208957E-2</v>
      </c>
      <c r="N205" s="159">
        <f t="shared" si="128"/>
        <v>2.7618682377038666E-2</v>
      </c>
      <c r="O205" s="159">
        <f t="shared" si="128"/>
        <v>1.908643149325813E-2</v>
      </c>
      <c r="P205" s="159">
        <f t="shared" si="128"/>
        <v>1.5965897199918973E-2</v>
      </c>
      <c r="Q205" s="159">
        <f t="shared" si="128"/>
        <v>5.6472366036973603E-3</v>
      </c>
      <c r="R205" s="159">
        <f t="shared" si="128"/>
        <v>1.6095243131737148E-2</v>
      </c>
      <c r="S205" s="159">
        <f t="shared" si="128"/>
        <v>1.0769695132878197E-2</v>
      </c>
      <c r="T205" s="159">
        <f t="shared" si="128"/>
        <v>1.4208844359959434E-2</v>
      </c>
      <c r="U205" s="159">
        <f t="shared" si="128"/>
        <v>1.4790144533260165E-2</v>
      </c>
      <c r="V205" s="159">
        <f t="shared" si="128"/>
        <v>1.1204776041706933E-2</v>
      </c>
      <c r="W205" s="159">
        <f t="shared" si="128"/>
        <v>1.0509908019491457E-2</v>
      </c>
      <c r="X205" s="159">
        <f t="shared" si="128"/>
        <v>2.2048173628050359E-2</v>
      </c>
      <c r="Y205" s="159">
        <f t="shared" si="128"/>
        <v>1.942219651616247E-2</v>
      </c>
      <c r="Z205" s="159">
        <f t="shared" si="128"/>
        <v>1.550167303294548E-2</v>
      </c>
      <c r="AA205" s="159">
        <f t="shared" si="128"/>
        <v>8.0970736084483956E-3</v>
      </c>
      <c r="AB205" s="159">
        <f t="shared" si="128"/>
        <v>1.068648106485454E-2</v>
      </c>
      <c r="AC205" s="159">
        <f t="shared" si="128"/>
        <v>3.2397508988042903E-2</v>
      </c>
      <c r="AD205" s="159">
        <f t="shared" si="128"/>
        <v>2.0696519757107436E-2</v>
      </c>
      <c r="AE205" s="159">
        <f t="shared" si="128"/>
        <v>7.0064163493907166E-3</v>
      </c>
      <c r="AF205" s="159">
        <f t="shared" si="128"/>
        <v>4.4584052308583727E-3</v>
      </c>
      <c r="AG205" s="159">
        <f t="shared" si="128"/>
        <v>2.2973648665602993E-3</v>
      </c>
      <c r="AH205" s="159">
        <f t="shared" si="128"/>
        <v>1.1632401799460998E-2</v>
      </c>
      <c r="AI205" s="159">
        <f t="shared" ref="AI205:BN205" si="129">AI38/AI$84</f>
        <v>7.9366665764149819E-3</v>
      </c>
      <c r="AJ205" s="159">
        <f t="shared" si="129"/>
        <v>1.229431732413756E-2</v>
      </c>
      <c r="AK205" s="159">
        <f t="shared" si="129"/>
        <v>2.5627932137138004E-3</v>
      </c>
      <c r="AL205" s="159">
        <f t="shared" si="129"/>
        <v>7.0694799284361023E-3</v>
      </c>
      <c r="AM205" s="159">
        <f t="shared" si="129"/>
        <v>-3.2954856835162426E-3</v>
      </c>
      <c r="AN205" s="159">
        <f t="shared" si="129"/>
        <v>2.3358093518865062E-2</v>
      </c>
      <c r="AO205" s="159">
        <f t="shared" si="129"/>
        <v>8.9446516989951375E-3</v>
      </c>
      <c r="AP205" s="159">
        <f t="shared" si="129"/>
        <v>3.791715432773428E-3</v>
      </c>
      <c r="AQ205" s="159">
        <f t="shared" si="129"/>
        <v>6.9652343160854615E-3</v>
      </c>
      <c r="AR205" s="159">
        <f t="shared" si="129"/>
        <v>3.1910827825535566E-2</v>
      </c>
      <c r="AS205" s="159">
        <f t="shared" si="129"/>
        <v>4.6120450112945906E-3</v>
      </c>
      <c r="AT205" s="159">
        <f t="shared" si="129"/>
        <v>6.0136761226075742E-3</v>
      </c>
      <c r="AU205" s="159">
        <f t="shared" si="129"/>
        <v>3.4755904095441E-4</v>
      </c>
      <c r="AV205" s="159">
        <f t="shared" si="129"/>
        <v>5.6872887682018515E-3</v>
      </c>
      <c r="AW205" s="159">
        <f t="shared" si="129"/>
        <v>2.2854166503002856E-3</v>
      </c>
      <c r="AX205" s="159">
        <f t="shared" si="129"/>
        <v>2.4702253891614864E-3</v>
      </c>
      <c r="AY205" s="159">
        <f t="shared" si="129"/>
        <v>2.4172331948769466E-3</v>
      </c>
      <c r="AZ205" s="159">
        <f t="shared" si="129"/>
        <v>1.9060768766968484E-2</v>
      </c>
      <c r="BA205" s="159">
        <f t="shared" si="129"/>
        <v>2.5707313698215039E-3</v>
      </c>
      <c r="BB205" s="159">
        <f t="shared" si="129"/>
        <v>3.2440047294343423E-3</v>
      </c>
      <c r="BC205" s="159">
        <f t="shared" si="129"/>
        <v>7.308888176978573E-4</v>
      </c>
      <c r="BD205" s="159">
        <f t="shared" si="129"/>
        <v>1.6752115839626237E-3</v>
      </c>
      <c r="BE205" s="159">
        <f t="shared" si="129"/>
        <v>1.8960081133186939E-3</v>
      </c>
      <c r="BF205" s="159">
        <f t="shared" si="129"/>
        <v>5.3136073293331412E-3</v>
      </c>
      <c r="BG205" s="159">
        <f t="shared" si="129"/>
        <v>2.273766121035835E-3</v>
      </c>
      <c r="BH205" s="159">
        <f t="shared" si="129"/>
        <v>2.4418813591847739E-3</v>
      </c>
      <c r="BI205" s="159">
        <f t="shared" si="129"/>
        <v>2.1697876069345274E-2</v>
      </c>
      <c r="BJ205" s="159">
        <f t="shared" si="129"/>
        <v>4.6346414073071716E-3</v>
      </c>
      <c r="BK205" s="159">
        <f t="shared" si="129"/>
        <v>1.8875524492925372E-3</v>
      </c>
      <c r="BL205" s="159">
        <f t="shared" si="129"/>
        <v>1.1535188329164562E-3</v>
      </c>
      <c r="BM205" s="159">
        <f t="shared" si="129"/>
        <v>4.5055537514883557E-3</v>
      </c>
      <c r="BN205" s="159">
        <f t="shared" si="129"/>
        <v>9.1832288665152761E-3</v>
      </c>
      <c r="BO205" s="159">
        <f t="shared" ref="BO205:CA205" si="130">BO38/BO$84</f>
        <v>6.0442151019542726E-3</v>
      </c>
      <c r="BP205" s="159">
        <f t="shared" si="130"/>
        <v>4.6474667320407564E-3</v>
      </c>
      <c r="BQ205" s="159">
        <f t="shared" si="130"/>
        <v>2.9745951746372422E-3</v>
      </c>
      <c r="BR205" s="159">
        <f t="shared" si="130"/>
        <v>6.5397082636732672E-3</v>
      </c>
      <c r="BS205" s="159">
        <f t="shared" si="130"/>
        <v>7.2342301248929522E-3</v>
      </c>
      <c r="BT205" s="159">
        <f t="shared" si="130"/>
        <v>4.3715836962857236E-3</v>
      </c>
      <c r="BU205" s="159">
        <f t="shared" si="130"/>
        <v>4.841889760510326E-3</v>
      </c>
      <c r="BV205" s="159">
        <f t="shared" si="130"/>
        <v>1.9972630844916853E-3</v>
      </c>
      <c r="BW205" s="159">
        <f t="shared" si="130"/>
        <v>3.7701197836933088E-3</v>
      </c>
      <c r="BX205" s="159">
        <f t="shared" si="130"/>
        <v>2.9919573078545397E-2</v>
      </c>
      <c r="BY205" s="159">
        <f t="shared" si="130"/>
        <v>9.5899264975909636E-3</v>
      </c>
      <c r="BZ205" s="159">
        <f t="shared" si="130"/>
        <v>8.1780755820756341E-3</v>
      </c>
      <c r="CA205" s="118">
        <f t="shared" si="130"/>
        <v>0</v>
      </c>
      <c r="CB205" s="18"/>
      <c r="CC205" s="271"/>
      <c r="CD205" s="147">
        <f t="shared" si="82"/>
        <v>0.10498618750145798</v>
      </c>
      <c r="CE205" s="148">
        <f t="shared" si="82"/>
        <v>2.9806111057311393E-3</v>
      </c>
      <c r="CF205" s="148">
        <f t="shared" si="82"/>
        <v>1.5189555252200906E-2</v>
      </c>
      <c r="CG205" s="119">
        <f t="shared" si="82"/>
        <v>5.4913022532360169E-2</v>
      </c>
      <c r="CH205" s="18"/>
      <c r="CI205" s="18"/>
      <c r="CJ205" s="18"/>
    </row>
    <row r="206" spans="1:88" ht="13.95" customHeight="1" x14ac:dyDescent="0.25">
      <c r="A206" s="8" t="s">
        <v>37</v>
      </c>
      <c r="B206" s="256"/>
      <c r="C206" s="22">
        <f t="shared" ref="C206:AH206" si="131">C39/C$84</f>
        <v>1.272874230924028E-2</v>
      </c>
      <c r="D206" s="159">
        <f t="shared" si="131"/>
        <v>1.2356838878362799E-2</v>
      </c>
      <c r="E206" s="159">
        <f t="shared" si="131"/>
        <v>4.7074536507397818E-3</v>
      </c>
      <c r="F206" s="159">
        <f t="shared" si="131"/>
        <v>2.4510986127924909E-2</v>
      </c>
      <c r="G206" s="159">
        <f t="shared" si="131"/>
        <v>5.0603452105797538E-2</v>
      </c>
      <c r="H206" s="159">
        <f t="shared" si="131"/>
        <v>3.1156224805217202E-2</v>
      </c>
      <c r="I206" s="159">
        <f t="shared" si="131"/>
        <v>3.8388456133552525E-2</v>
      </c>
      <c r="J206" s="159">
        <f t="shared" si="131"/>
        <v>1.5306981124108242E-2</v>
      </c>
      <c r="K206" s="159">
        <f t="shared" si="131"/>
        <v>1.6571457153353276E-2</v>
      </c>
      <c r="L206" s="159">
        <f t="shared" si="131"/>
        <v>6.8424702455147915E-3</v>
      </c>
      <c r="M206" s="159">
        <f t="shared" si="131"/>
        <v>1.4812239368815244E-2</v>
      </c>
      <c r="N206" s="159">
        <f t="shared" si="131"/>
        <v>7.8874299749031471E-2</v>
      </c>
      <c r="O206" s="159">
        <f t="shared" si="131"/>
        <v>3.7726678899395016E-2</v>
      </c>
      <c r="P206" s="159">
        <f t="shared" si="131"/>
        <v>1.4968658147930259E-2</v>
      </c>
      <c r="Q206" s="159">
        <f t="shared" si="131"/>
        <v>4.6821950482037557E-2</v>
      </c>
      <c r="R206" s="159">
        <f t="shared" si="131"/>
        <v>3.8692403295797734E-2</v>
      </c>
      <c r="S206" s="159">
        <f t="shared" si="131"/>
        <v>1.1075591774084905E-2</v>
      </c>
      <c r="T206" s="159">
        <f t="shared" si="131"/>
        <v>2.8442341991719123E-2</v>
      </c>
      <c r="U206" s="159">
        <f t="shared" si="131"/>
        <v>6.2533415545617144E-2</v>
      </c>
      <c r="V206" s="159">
        <f t="shared" si="131"/>
        <v>5.219843070706446E-2</v>
      </c>
      <c r="W206" s="159">
        <f t="shared" si="131"/>
        <v>1.8466142161225815E-2</v>
      </c>
      <c r="X206" s="159">
        <f t="shared" si="131"/>
        <v>1.2280516668742091E-2</v>
      </c>
      <c r="Y206" s="159">
        <f t="shared" si="131"/>
        <v>2.1936339911578978E-2</v>
      </c>
      <c r="Z206" s="159">
        <f t="shared" si="131"/>
        <v>2.2008112183770384E-2</v>
      </c>
      <c r="AA206" s="159">
        <f t="shared" si="131"/>
        <v>1.6564993008015991E-2</v>
      </c>
      <c r="AB206" s="159">
        <f t="shared" si="131"/>
        <v>1.5174944177714977E-2</v>
      </c>
      <c r="AC206" s="159">
        <f t="shared" si="131"/>
        <v>1.7188201448690304E-2</v>
      </c>
      <c r="AD206" s="159">
        <f t="shared" si="131"/>
        <v>3.4409958573763812E-2</v>
      </c>
      <c r="AE206" s="159">
        <f t="shared" si="131"/>
        <v>1.4765131596124699E-2</v>
      </c>
      <c r="AF206" s="159">
        <f t="shared" si="131"/>
        <v>2.6341401023796587E-2</v>
      </c>
      <c r="AG206" s="159">
        <f t="shared" si="131"/>
        <v>3.4320322602953931E-3</v>
      </c>
      <c r="AH206" s="159">
        <f t="shared" si="131"/>
        <v>4.5620309547024118E-2</v>
      </c>
      <c r="AI206" s="159">
        <f t="shared" ref="AI206:BN206" si="132">AI39/AI$84</f>
        <v>7.6750881180506578E-3</v>
      </c>
      <c r="AJ206" s="159">
        <f t="shared" si="132"/>
        <v>1.6420160493318271E-2</v>
      </c>
      <c r="AK206" s="159">
        <f t="shared" si="132"/>
        <v>6.944378479902559E-2</v>
      </c>
      <c r="AL206" s="159">
        <f t="shared" si="132"/>
        <v>5.7363043179904122E-2</v>
      </c>
      <c r="AM206" s="159">
        <f t="shared" si="132"/>
        <v>2.0105913073136382E-2</v>
      </c>
      <c r="AN206" s="159">
        <f t="shared" si="132"/>
        <v>7.9193653844168835E-2</v>
      </c>
      <c r="AO206" s="159">
        <f t="shared" si="132"/>
        <v>1.03786995032559E-2</v>
      </c>
      <c r="AP206" s="159">
        <f t="shared" si="132"/>
        <v>8.5631883054096386E-2</v>
      </c>
      <c r="AQ206" s="159">
        <f t="shared" si="132"/>
        <v>1.0347569291207918E-2</v>
      </c>
      <c r="AR206" s="159">
        <f t="shared" si="132"/>
        <v>7.0806788390174432E-3</v>
      </c>
      <c r="AS206" s="159">
        <f t="shared" si="132"/>
        <v>1.2664715202662592E-2</v>
      </c>
      <c r="AT206" s="159">
        <f t="shared" si="132"/>
        <v>6.9279367517718409E-3</v>
      </c>
      <c r="AU206" s="159">
        <f t="shared" si="132"/>
        <v>1.2465104085282604E-4</v>
      </c>
      <c r="AV206" s="159">
        <f t="shared" si="132"/>
        <v>2.8755203576361675E-3</v>
      </c>
      <c r="AW206" s="159">
        <f t="shared" si="132"/>
        <v>3.8755437672954585E-3</v>
      </c>
      <c r="AX206" s="159">
        <f t="shared" si="132"/>
        <v>3.5314095581239074E-3</v>
      </c>
      <c r="AY206" s="159">
        <f t="shared" si="132"/>
        <v>1.8584748518419717E-3</v>
      </c>
      <c r="AZ206" s="159">
        <f t="shared" si="132"/>
        <v>6.1130884589970296E-3</v>
      </c>
      <c r="BA206" s="159">
        <f t="shared" si="132"/>
        <v>4.6623220003577043E-3</v>
      </c>
      <c r="BB206" s="159">
        <f t="shared" si="132"/>
        <v>5.0218313788915536E-3</v>
      </c>
      <c r="BC206" s="159">
        <f t="shared" si="132"/>
        <v>4.6947810755372781E-3</v>
      </c>
      <c r="BD206" s="159">
        <f t="shared" si="132"/>
        <v>3.2377505266168749E-3</v>
      </c>
      <c r="BE206" s="159">
        <f t="shared" si="132"/>
        <v>5.4784250657656779E-3</v>
      </c>
      <c r="BF206" s="159">
        <f t="shared" si="132"/>
        <v>5.3421611773552154E-3</v>
      </c>
      <c r="BG206" s="159">
        <f t="shared" si="132"/>
        <v>2.7735117702417465E-3</v>
      </c>
      <c r="BH206" s="159">
        <f t="shared" si="132"/>
        <v>3.2386925187584473E-2</v>
      </c>
      <c r="BI206" s="159">
        <f t="shared" si="132"/>
        <v>5.8010206741470054E-4</v>
      </c>
      <c r="BJ206" s="159">
        <f t="shared" si="132"/>
        <v>2.6468724863269639E-2</v>
      </c>
      <c r="BK206" s="159">
        <f t="shared" si="132"/>
        <v>1.1457118329336456E-2</v>
      </c>
      <c r="BL206" s="159">
        <f t="shared" si="132"/>
        <v>0.27046374895780684</v>
      </c>
      <c r="BM206" s="159">
        <f t="shared" si="132"/>
        <v>7.0460619988509483E-3</v>
      </c>
      <c r="BN206" s="159">
        <f t="shared" si="132"/>
        <v>1.1793389122285114E-2</v>
      </c>
      <c r="BO206" s="159">
        <f t="shared" ref="BO206:CA206" si="133">BO39/BO$84</f>
        <v>1.3751802583917895E-2</v>
      </c>
      <c r="BP206" s="159">
        <f t="shared" si="133"/>
        <v>6.8707036201808977E-3</v>
      </c>
      <c r="BQ206" s="159">
        <f t="shared" si="133"/>
        <v>6.0533499484452715E-3</v>
      </c>
      <c r="BR206" s="159">
        <f t="shared" si="133"/>
        <v>3.7379736161179539E-3</v>
      </c>
      <c r="BS206" s="159">
        <f t="shared" si="133"/>
        <v>2.2684973807747841E-3</v>
      </c>
      <c r="BT206" s="159">
        <f t="shared" si="133"/>
        <v>7.3244633735525888E-3</v>
      </c>
      <c r="BU206" s="159">
        <f t="shared" si="133"/>
        <v>4.2972018760592872E-3</v>
      </c>
      <c r="BV206" s="159">
        <f t="shared" si="133"/>
        <v>5.0939277962187032E-4</v>
      </c>
      <c r="BW206" s="159">
        <f t="shared" si="133"/>
        <v>5.970040060086711E-3</v>
      </c>
      <c r="BX206" s="159">
        <f t="shared" si="133"/>
        <v>4.1358118944309855E-3</v>
      </c>
      <c r="BY206" s="159">
        <f t="shared" si="133"/>
        <v>1.2032774016318049E-2</v>
      </c>
      <c r="BZ206" s="159">
        <f t="shared" si="133"/>
        <v>1.0806462270495757E-2</v>
      </c>
      <c r="CA206" s="118">
        <f t="shared" si="133"/>
        <v>0</v>
      </c>
      <c r="CB206" s="18"/>
      <c r="CC206" s="271"/>
      <c r="CD206" s="147">
        <f t="shared" si="82"/>
        <v>2.1507579260980233E-2</v>
      </c>
      <c r="CE206" s="148">
        <f t="shared" si="82"/>
        <v>2.7319459709987989E-2</v>
      </c>
      <c r="CF206" s="148">
        <f t="shared" si="82"/>
        <v>2.6104881697940211E-3</v>
      </c>
      <c r="CG206" s="119">
        <f t="shared" si="82"/>
        <v>3.7310138766522769E-2</v>
      </c>
      <c r="CH206" s="18"/>
      <c r="CI206" s="18"/>
      <c r="CJ206" s="18"/>
    </row>
    <row r="207" spans="1:88" ht="13.95" customHeight="1" x14ac:dyDescent="0.25">
      <c r="A207" s="8" t="s">
        <v>38</v>
      </c>
      <c r="B207" s="256"/>
      <c r="C207" s="22">
        <f t="shared" ref="C207:AH207" si="134">C40/C$84</f>
        <v>1.4390695055310521E-4</v>
      </c>
      <c r="D207" s="159">
        <f t="shared" si="134"/>
        <v>9.2966703931544534E-4</v>
      </c>
      <c r="E207" s="159">
        <f t="shared" si="134"/>
        <v>4.4830285348324206E-3</v>
      </c>
      <c r="F207" s="159">
        <f t="shared" si="134"/>
        <v>4.7945316356085841E-5</v>
      </c>
      <c r="G207" s="159">
        <f t="shared" si="134"/>
        <v>1.5248841369789685E-3</v>
      </c>
      <c r="H207" s="159">
        <f t="shared" si="134"/>
        <v>2.6282008095680916E-4</v>
      </c>
      <c r="I207" s="159">
        <f t="shared" si="134"/>
        <v>4.0107321911738483E-4</v>
      </c>
      <c r="J207" s="159">
        <f t="shared" si="134"/>
        <v>3.2583233343258739E-4</v>
      </c>
      <c r="K207" s="159">
        <f t="shared" si="134"/>
        <v>7.811145511882235E-4</v>
      </c>
      <c r="L207" s="159">
        <f t="shared" si="134"/>
        <v>4.1413190554729317E-4</v>
      </c>
      <c r="M207" s="159">
        <f t="shared" si="134"/>
        <v>4.0791718412431881E-4</v>
      </c>
      <c r="N207" s="159">
        <f t="shared" si="134"/>
        <v>8.8586517762794285E-4</v>
      </c>
      <c r="O207" s="159">
        <f t="shared" si="134"/>
        <v>1.8118246486401673E-3</v>
      </c>
      <c r="P207" s="159">
        <f t="shared" si="134"/>
        <v>7.5587526827006332E-4</v>
      </c>
      <c r="Q207" s="159">
        <f t="shared" si="134"/>
        <v>1.4416537128913772E-3</v>
      </c>
      <c r="R207" s="159">
        <f t="shared" si="134"/>
        <v>1.511485091655459E-3</v>
      </c>
      <c r="S207" s="159">
        <f t="shared" si="134"/>
        <v>5.870187512920606E-4</v>
      </c>
      <c r="T207" s="159">
        <f t="shared" si="134"/>
        <v>4.1936540218286405E-4</v>
      </c>
      <c r="U207" s="159">
        <f t="shared" si="134"/>
        <v>8.4676842010831101E-4</v>
      </c>
      <c r="V207" s="159">
        <f t="shared" si="134"/>
        <v>2.9932404050087491E-4</v>
      </c>
      <c r="W207" s="159">
        <f t="shared" si="134"/>
        <v>4.6487866655447807E-4</v>
      </c>
      <c r="X207" s="159">
        <f t="shared" si="134"/>
        <v>1.1247622194395272E-3</v>
      </c>
      <c r="Y207" s="159">
        <f t="shared" si="134"/>
        <v>9.9082844510986457E-4</v>
      </c>
      <c r="Z207" s="159">
        <f t="shared" si="134"/>
        <v>6.8422599811735786E-4</v>
      </c>
      <c r="AA207" s="159">
        <f t="shared" si="134"/>
        <v>4.294855472725591E-4</v>
      </c>
      <c r="AB207" s="159">
        <f t="shared" si="134"/>
        <v>1.9450161684853996E-3</v>
      </c>
      <c r="AC207" s="159">
        <f t="shared" si="134"/>
        <v>1.0696399843011203E-3</v>
      </c>
      <c r="AD207" s="159">
        <f t="shared" si="134"/>
        <v>2.6955087118703887E-4</v>
      </c>
      <c r="AE207" s="159">
        <f t="shared" si="134"/>
        <v>8.1791028408293234E-4</v>
      </c>
      <c r="AF207" s="159">
        <f t="shared" si="134"/>
        <v>1.1791059657061803E-4</v>
      </c>
      <c r="AG207" s="159">
        <f t="shared" si="134"/>
        <v>1.5557305905472535E-4</v>
      </c>
      <c r="AH207" s="159">
        <f t="shared" si="134"/>
        <v>4.7250228069395834E-4</v>
      </c>
      <c r="AI207" s="159">
        <f t="shared" ref="AI207:BN207" si="135">AI40/AI$84</f>
        <v>8.5860244235597602E-5</v>
      </c>
      <c r="AJ207" s="159">
        <f t="shared" si="135"/>
        <v>2.6066111586487849E-4</v>
      </c>
      <c r="AK207" s="159">
        <f t="shared" si="135"/>
        <v>6.7287967101387677E-4</v>
      </c>
      <c r="AL207" s="159">
        <f t="shared" si="135"/>
        <v>1.9650241099015524E-3</v>
      </c>
      <c r="AM207" s="159">
        <f t="shared" si="135"/>
        <v>2.1207805396395829E-4</v>
      </c>
      <c r="AN207" s="159">
        <f t="shared" si="135"/>
        <v>1.0279714305855624E-3</v>
      </c>
      <c r="AO207" s="159">
        <f t="shared" si="135"/>
        <v>2.4824154341419213E-2</v>
      </c>
      <c r="AP207" s="159">
        <f t="shared" si="135"/>
        <v>5.6568877271240582E-3</v>
      </c>
      <c r="AQ207" s="159">
        <f t="shared" si="135"/>
        <v>3.2213661537286068E-4</v>
      </c>
      <c r="AR207" s="159">
        <f t="shared" si="135"/>
        <v>9.6232776196896385E-5</v>
      </c>
      <c r="AS207" s="159">
        <f t="shared" si="135"/>
        <v>4.6941874913709788E-4</v>
      </c>
      <c r="AT207" s="159">
        <f t="shared" si="135"/>
        <v>1.2651813481798942E-3</v>
      </c>
      <c r="AU207" s="159">
        <f t="shared" si="135"/>
        <v>6.3212716446717835E-6</v>
      </c>
      <c r="AV207" s="159">
        <f t="shared" si="135"/>
        <v>6.2156414118773974E-5</v>
      </c>
      <c r="AW207" s="159">
        <f t="shared" si="135"/>
        <v>7.2600504346393129E-4</v>
      </c>
      <c r="AX207" s="159">
        <f t="shared" si="135"/>
        <v>2.4026450154209606E-4</v>
      </c>
      <c r="AY207" s="159">
        <f t="shared" si="135"/>
        <v>5.5620742331690927E-4</v>
      </c>
      <c r="AZ207" s="159">
        <f t="shared" si="135"/>
        <v>2.3884800869351273E-4</v>
      </c>
      <c r="BA207" s="159">
        <f t="shared" si="135"/>
        <v>3.8134576513243121E-4</v>
      </c>
      <c r="BB207" s="159">
        <f t="shared" si="135"/>
        <v>1.4829816257668957E-4</v>
      </c>
      <c r="BC207" s="159">
        <f t="shared" si="135"/>
        <v>3.3247017788068801E-4</v>
      </c>
      <c r="BD207" s="159">
        <f t="shared" si="135"/>
        <v>6.6775109481285403E-4</v>
      </c>
      <c r="BE207" s="159">
        <f t="shared" si="135"/>
        <v>1.3271215511740414E-4</v>
      </c>
      <c r="BF207" s="159">
        <f t="shared" si="135"/>
        <v>1.7590466180211527E-3</v>
      </c>
      <c r="BG207" s="159">
        <f t="shared" si="135"/>
        <v>1.8960637542024043E-4</v>
      </c>
      <c r="BH207" s="159">
        <f t="shared" si="135"/>
        <v>2.2341032440660908E-4</v>
      </c>
      <c r="BI207" s="159">
        <f t="shared" si="135"/>
        <v>0</v>
      </c>
      <c r="BJ207" s="159">
        <f t="shared" si="135"/>
        <v>1.0154902788949659E-3</v>
      </c>
      <c r="BK207" s="159">
        <f t="shared" si="135"/>
        <v>4.73404437311237E-4</v>
      </c>
      <c r="BL207" s="159">
        <f t="shared" si="135"/>
        <v>9.5266866249357401E-2</v>
      </c>
      <c r="BM207" s="159">
        <f t="shared" si="135"/>
        <v>4.8616141683111431E-4</v>
      </c>
      <c r="BN207" s="159">
        <f t="shared" si="135"/>
        <v>1.8122348154471178E-5</v>
      </c>
      <c r="BO207" s="159">
        <f t="shared" ref="BO207:CA207" si="136">BO40/BO$84</f>
        <v>1.24141704488787E-4</v>
      </c>
      <c r="BP207" s="159">
        <f t="shared" si="136"/>
        <v>1.2402811341726051E-4</v>
      </c>
      <c r="BQ207" s="159">
        <f t="shared" si="136"/>
        <v>9.5944344631060345E-5</v>
      </c>
      <c r="BR207" s="159">
        <f t="shared" si="136"/>
        <v>7.3995768893035625E-5</v>
      </c>
      <c r="BS207" s="159">
        <f t="shared" si="136"/>
        <v>0</v>
      </c>
      <c r="BT207" s="159">
        <f t="shared" si="136"/>
        <v>2.0666486146615937E-3</v>
      </c>
      <c r="BU207" s="159">
        <f t="shared" si="136"/>
        <v>2.1105419842159138E-4</v>
      </c>
      <c r="BV207" s="159">
        <f t="shared" si="136"/>
        <v>9.5731580740015198E-6</v>
      </c>
      <c r="BW207" s="159">
        <f t="shared" si="136"/>
        <v>8.6788877622440575E-4</v>
      </c>
      <c r="BX207" s="159">
        <f t="shared" si="136"/>
        <v>6.4290434510610702E-5</v>
      </c>
      <c r="BY207" s="159">
        <f t="shared" si="136"/>
        <v>1.2697991847663334E-3</v>
      </c>
      <c r="BZ207" s="159">
        <f t="shared" si="136"/>
        <v>1.3344427700182402E-4</v>
      </c>
      <c r="CA207" s="118">
        <f t="shared" si="136"/>
        <v>0</v>
      </c>
      <c r="CB207" s="18"/>
      <c r="CC207" s="271"/>
      <c r="CD207" s="147">
        <f t="shared" si="82"/>
        <v>1.2401954763959287E-3</v>
      </c>
      <c r="CE207" s="148">
        <f t="shared" si="82"/>
        <v>0</v>
      </c>
      <c r="CF207" s="148">
        <f t="shared" si="82"/>
        <v>1.4926417190936612E-5</v>
      </c>
      <c r="CG207" s="119">
        <f t="shared" si="82"/>
        <v>6.3791993851620137E-3</v>
      </c>
      <c r="CH207" s="18"/>
      <c r="CI207" s="18"/>
      <c r="CJ207" s="18"/>
    </row>
    <row r="208" spans="1:88" ht="13.95" customHeight="1" x14ac:dyDescent="0.25">
      <c r="A208" s="8" t="s">
        <v>39</v>
      </c>
      <c r="B208" s="256"/>
      <c r="C208" s="22">
        <f t="shared" ref="C208:AH208" si="137">C41/C$84</f>
        <v>1.9828540676210837E-3</v>
      </c>
      <c r="D208" s="159">
        <f t="shared" si="137"/>
        <v>5.5849530174950299E-4</v>
      </c>
      <c r="E208" s="159">
        <f t="shared" si="137"/>
        <v>1.5633125147107928E-2</v>
      </c>
      <c r="F208" s="159">
        <f t="shared" si="137"/>
        <v>3.210377139920621E-3</v>
      </c>
      <c r="G208" s="159">
        <f t="shared" si="137"/>
        <v>1.5758061649854743E-2</v>
      </c>
      <c r="H208" s="159">
        <f t="shared" si="137"/>
        <v>4.9035580726123395E-3</v>
      </c>
      <c r="I208" s="159">
        <f t="shared" si="137"/>
        <v>2.3654562474447974E-2</v>
      </c>
      <c r="J208" s="159">
        <f t="shared" si="137"/>
        <v>7.4292917823101231E-3</v>
      </c>
      <c r="K208" s="159">
        <f t="shared" si="137"/>
        <v>3.3136324048730057E-3</v>
      </c>
      <c r="L208" s="159">
        <f t="shared" si="137"/>
        <v>5.4551655371472977E-3</v>
      </c>
      <c r="M208" s="159">
        <f t="shared" si="137"/>
        <v>2.9608262436889151E-3</v>
      </c>
      <c r="N208" s="159">
        <f t="shared" si="137"/>
        <v>1.6068853592830451E-3</v>
      </c>
      <c r="O208" s="159">
        <f t="shared" si="137"/>
        <v>4.181607464836143E-3</v>
      </c>
      <c r="P208" s="159">
        <f t="shared" si="137"/>
        <v>1.0927773286662208E-2</v>
      </c>
      <c r="Q208" s="159">
        <f t="shared" si="137"/>
        <v>1.2330361461623147E-2</v>
      </c>
      <c r="R208" s="159">
        <f t="shared" si="137"/>
        <v>6.1828181341805439E-3</v>
      </c>
      <c r="S208" s="159">
        <f t="shared" si="137"/>
        <v>5.886841503285516E-3</v>
      </c>
      <c r="T208" s="159">
        <f t="shared" si="137"/>
        <v>3.7482325273215859E-3</v>
      </c>
      <c r="U208" s="159">
        <f t="shared" si="137"/>
        <v>8.7869519753181052E-3</v>
      </c>
      <c r="V208" s="159">
        <f t="shared" si="137"/>
        <v>3.5775858736576804E-3</v>
      </c>
      <c r="W208" s="159">
        <f t="shared" si="137"/>
        <v>1.8030280991044845E-3</v>
      </c>
      <c r="X208" s="159">
        <f t="shared" si="137"/>
        <v>2.1047510959168836E-3</v>
      </c>
      <c r="Y208" s="159">
        <f t="shared" si="137"/>
        <v>8.276758513621205E-3</v>
      </c>
      <c r="Z208" s="159">
        <f t="shared" si="137"/>
        <v>3.8777436249335454E-3</v>
      </c>
      <c r="AA208" s="159">
        <f t="shared" si="137"/>
        <v>3.8297407065244087E-3</v>
      </c>
      <c r="AB208" s="159">
        <f t="shared" si="137"/>
        <v>2.8937458261047763E-3</v>
      </c>
      <c r="AC208" s="159">
        <f t="shared" si="137"/>
        <v>3.6543412848870781E-3</v>
      </c>
      <c r="AD208" s="159">
        <f t="shared" si="137"/>
        <v>3.7473996257648716E-3</v>
      </c>
      <c r="AE208" s="159">
        <f t="shared" si="137"/>
        <v>2.3955886675176619E-3</v>
      </c>
      <c r="AF208" s="159">
        <f t="shared" si="137"/>
        <v>5.5822658136739358E-3</v>
      </c>
      <c r="AG208" s="159">
        <f t="shared" si="137"/>
        <v>2.6306657633392268E-3</v>
      </c>
      <c r="AH208" s="159">
        <f t="shared" si="137"/>
        <v>3.2890612951204912E-3</v>
      </c>
      <c r="AI208" s="159">
        <f t="shared" ref="AI208:BN208" si="138">AI41/AI$84</f>
        <v>2.1171591652676142E-3</v>
      </c>
      <c r="AJ208" s="159">
        <f t="shared" si="138"/>
        <v>2.7030146355115584E-3</v>
      </c>
      <c r="AK208" s="159">
        <f t="shared" si="138"/>
        <v>9.0084358689458688E-3</v>
      </c>
      <c r="AL208" s="159">
        <f t="shared" si="138"/>
        <v>3.653578358053209E-2</v>
      </c>
      <c r="AM208" s="159">
        <f t="shared" si="138"/>
        <v>3.6487930146101757E-2</v>
      </c>
      <c r="AN208" s="159">
        <f t="shared" si="138"/>
        <v>4.9981632938699776E-2</v>
      </c>
      <c r="AO208" s="159">
        <f t="shared" si="138"/>
        <v>0.24615905908783739</v>
      </c>
      <c r="AP208" s="159">
        <f t="shared" si="138"/>
        <v>0.13699289641764409</v>
      </c>
      <c r="AQ208" s="159">
        <f t="shared" si="138"/>
        <v>4.0007417697974735E-3</v>
      </c>
      <c r="AR208" s="159">
        <f t="shared" si="138"/>
        <v>1.393625865277514E-3</v>
      </c>
      <c r="AS208" s="159">
        <f t="shared" si="138"/>
        <v>2.4930861478928174E-2</v>
      </c>
      <c r="AT208" s="159">
        <f t="shared" si="138"/>
        <v>5.7965900321654742E-3</v>
      </c>
      <c r="AU208" s="159">
        <f t="shared" si="138"/>
        <v>5.182333753605482E-4</v>
      </c>
      <c r="AV208" s="159">
        <f t="shared" si="138"/>
        <v>2.1256730547643793E-2</v>
      </c>
      <c r="AW208" s="159">
        <f t="shared" si="138"/>
        <v>3.2555471982978722E-3</v>
      </c>
      <c r="AX208" s="159">
        <f t="shared" si="138"/>
        <v>6.5162413059667917E-3</v>
      </c>
      <c r="AY208" s="159">
        <f t="shared" si="138"/>
        <v>1.983683767584391E-3</v>
      </c>
      <c r="AZ208" s="159">
        <f t="shared" si="138"/>
        <v>1.7691059704268929E-3</v>
      </c>
      <c r="BA208" s="159">
        <f t="shared" si="138"/>
        <v>2.7633909456158128E-3</v>
      </c>
      <c r="BB208" s="159">
        <f t="shared" si="138"/>
        <v>2.1449416207492255E-3</v>
      </c>
      <c r="BC208" s="159">
        <f t="shared" si="138"/>
        <v>5.3212315107866353E-3</v>
      </c>
      <c r="BD208" s="159">
        <f t="shared" si="138"/>
        <v>3.4941153053977443E-2</v>
      </c>
      <c r="BE208" s="159">
        <f t="shared" si="138"/>
        <v>1.5905327949852894E-3</v>
      </c>
      <c r="BF208" s="159">
        <f t="shared" si="138"/>
        <v>2.6392641048604668E-3</v>
      </c>
      <c r="BG208" s="159">
        <f t="shared" si="138"/>
        <v>6.2304829401807309E-3</v>
      </c>
      <c r="BH208" s="159">
        <f t="shared" si="138"/>
        <v>1.1210980845414303E-2</v>
      </c>
      <c r="BI208" s="159">
        <f t="shared" si="138"/>
        <v>2.224776102849739E-4</v>
      </c>
      <c r="BJ208" s="159">
        <f t="shared" si="138"/>
        <v>1.6976456551623949E-2</v>
      </c>
      <c r="BK208" s="159">
        <f t="shared" si="138"/>
        <v>7.7824796812451594E-3</v>
      </c>
      <c r="BL208" s="159">
        <f t="shared" si="138"/>
        <v>7.2696483111070794E-3</v>
      </c>
      <c r="BM208" s="159">
        <f t="shared" si="138"/>
        <v>7.2585949924645499E-3</v>
      </c>
      <c r="BN208" s="159">
        <f t="shared" si="138"/>
        <v>6.4366863239931991E-3</v>
      </c>
      <c r="BO208" s="159">
        <f t="shared" ref="BO208:CA208" si="139">BO41/BO$84</f>
        <v>1.5943989117683386E-2</v>
      </c>
      <c r="BP208" s="159">
        <f t="shared" si="139"/>
        <v>1.3528542092660465E-3</v>
      </c>
      <c r="BQ208" s="159">
        <f t="shared" si="139"/>
        <v>7.0718492167267581E-4</v>
      </c>
      <c r="BR208" s="159">
        <f t="shared" si="139"/>
        <v>9.7329242814624844E-4</v>
      </c>
      <c r="BS208" s="159">
        <f t="shared" si="139"/>
        <v>6.2592238395853608E-4</v>
      </c>
      <c r="BT208" s="159">
        <f t="shared" si="139"/>
        <v>4.9150714354556681E-3</v>
      </c>
      <c r="BU208" s="159">
        <f t="shared" si="139"/>
        <v>4.8863742519809194E-3</v>
      </c>
      <c r="BV208" s="159">
        <f t="shared" si="139"/>
        <v>7.2554461192432572E-4</v>
      </c>
      <c r="BW208" s="159">
        <f t="shared" si="139"/>
        <v>1.860217487275105E-3</v>
      </c>
      <c r="BX208" s="159">
        <f t="shared" si="139"/>
        <v>7.9056628539554176E-3</v>
      </c>
      <c r="BY208" s="159">
        <f t="shared" si="139"/>
        <v>3.9753304650892163E-3</v>
      </c>
      <c r="BZ208" s="159">
        <f t="shared" si="139"/>
        <v>6.534394350892596E-3</v>
      </c>
      <c r="CA208" s="118">
        <f t="shared" si="139"/>
        <v>0</v>
      </c>
      <c r="CB208" s="18"/>
      <c r="CC208" s="271"/>
      <c r="CD208" s="147">
        <f t="shared" si="82"/>
        <v>4.0536527576317321E-3</v>
      </c>
      <c r="CE208" s="148">
        <f t="shared" si="82"/>
        <v>6.5970874208301056E-2</v>
      </c>
      <c r="CF208" s="148">
        <f t="shared" si="82"/>
        <v>-9.0370245932576858E-6</v>
      </c>
      <c r="CG208" s="119">
        <f t="shared" si="82"/>
        <v>1.2886604416813593E-2</v>
      </c>
      <c r="CH208" s="18"/>
      <c r="CI208" s="18"/>
      <c r="CJ208" s="18"/>
    </row>
    <row r="209" spans="1:88" ht="13.95" customHeight="1" x14ac:dyDescent="0.25">
      <c r="A209" s="8" t="s">
        <v>40</v>
      </c>
      <c r="B209" s="256"/>
      <c r="C209" s="22">
        <f t="shared" ref="C209:AH209" si="140">C42/C$84</f>
        <v>1.1578653123867541E-4</v>
      </c>
      <c r="D209" s="159">
        <f t="shared" si="140"/>
        <v>4.1278954241006364E-4</v>
      </c>
      <c r="E209" s="159">
        <f t="shared" si="140"/>
        <v>8.7580533037019199E-5</v>
      </c>
      <c r="F209" s="159">
        <f t="shared" si="140"/>
        <v>1.0235036189434111E-3</v>
      </c>
      <c r="G209" s="159">
        <f t="shared" si="140"/>
        <v>1.2615036782513433E-3</v>
      </c>
      <c r="H209" s="159">
        <f t="shared" si="140"/>
        <v>4.9776225986910454E-4</v>
      </c>
      <c r="I209" s="159">
        <f t="shared" si="140"/>
        <v>9.5919072054784455E-4</v>
      </c>
      <c r="J209" s="159">
        <f t="shared" si="140"/>
        <v>1.3638254966402245E-3</v>
      </c>
      <c r="K209" s="159">
        <f t="shared" si="140"/>
        <v>1.0941518050716597E-3</v>
      </c>
      <c r="L209" s="159">
        <f t="shared" si="140"/>
        <v>1.026928165066286E-3</v>
      </c>
      <c r="M209" s="159">
        <f t="shared" si="140"/>
        <v>1.0384224010434031E-3</v>
      </c>
      <c r="N209" s="159">
        <f t="shared" si="140"/>
        <v>5.8669428147526477E-4</v>
      </c>
      <c r="O209" s="159">
        <f t="shared" si="140"/>
        <v>9.4872400169351292E-4</v>
      </c>
      <c r="P209" s="159">
        <f t="shared" si="140"/>
        <v>1.0428258439059003E-3</v>
      </c>
      <c r="Q209" s="159">
        <f t="shared" si="140"/>
        <v>3.3545429514583611E-4</v>
      </c>
      <c r="R209" s="159">
        <f t="shared" si="140"/>
        <v>7.945275542798275E-4</v>
      </c>
      <c r="S209" s="159">
        <f t="shared" si="140"/>
        <v>1.3955631016942202E-3</v>
      </c>
      <c r="T209" s="159">
        <f t="shared" si="140"/>
        <v>9.8027279741493435E-4</v>
      </c>
      <c r="U209" s="159">
        <f t="shared" si="140"/>
        <v>1.2975369799037607E-3</v>
      </c>
      <c r="V209" s="159">
        <f t="shared" si="140"/>
        <v>1.3882231516772713E-4</v>
      </c>
      <c r="W209" s="159">
        <f t="shared" si="140"/>
        <v>9.4896813380305133E-4</v>
      </c>
      <c r="X209" s="159">
        <f t="shared" si="140"/>
        <v>2.3513599053094872E-4</v>
      </c>
      <c r="Y209" s="159">
        <f t="shared" si="140"/>
        <v>1.6101912361434787E-3</v>
      </c>
      <c r="Z209" s="159">
        <f t="shared" si="140"/>
        <v>1.4945478989449085E-3</v>
      </c>
      <c r="AA209" s="159">
        <f t="shared" si="140"/>
        <v>7.4028209300643967E-4</v>
      </c>
      <c r="AB209" s="159">
        <f t="shared" si="140"/>
        <v>8.4681608134570179E-4</v>
      </c>
      <c r="AC209" s="159">
        <f t="shared" si="140"/>
        <v>1.1355948212515351E-3</v>
      </c>
      <c r="AD209" s="159">
        <f t="shared" si="140"/>
        <v>3.0389489535360536E-4</v>
      </c>
      <c r="AE209" s="159">
        <f t="shared" si="140"/>
        <v>3.4768155425252702E-3</v>
      </c>
      <c r="AF209" s="159">
        <f t="shared" si="140"/>
        <v>2.4481009209038326E-4</v>
      </c>
      <c r="AG209" s="159">
        <f t="shared" si="140"/>
        <v>1.7221974357985726E-4</v>
      </c>
      <c r="AH209" s="159">
        <f t="shared" si="140"/>
        <v>1.3393489631664658E-3</v>
      </c>
      <c r="AI209" s="159">
        <f t="shared" ref="AI209:BN209" si="141">AI42/AI$84</f>
        <v>1.4519012728940209E-4</v>
      </c>
      <c r="AJ209" s="159">
        <f t="shared" si="141"/>
        <v>1.1566970809776449E-3</v>
      </c>
      <c r="AK209" s="159">
        <f t="shared" si="141"/>
        <v>1.5014664036921961E-3</v>
      </c>
      <c r="AL209" s="159">
        <f t="shared" si="141"/>
        <v>1.8708026249409471E-3</v>
      </c>
      <c r="AM209" s="159">
        <f t="shared" si="141"/>
        <v>9.204194858856696E-4</v>
      </c>
      <c r="AN209" s="159">
        <f t="shared" si="141"/>
        <v>2.5776430163595152E-4</v>
      </c>
      <c r="AO209" s="159">
        <f t="shared" si="141"/>
        <v>3.5045293391091528E-3</v>
      </c>
      <c r="AP209" s="159">
        <f t="shared" si="141"/>
        <v>1.3131828681478286E-3</v>
      </c>
      <c r="AQ209" s="159">
        <f t="shared" si="141"/>
        <v>1.1627559931537513E-2</v>
      </c>
      <c r="AR209" s="159">
        <f t="shared" si="141"/>
        <v>5.6902574630594317E-4</v>
      </c>
      <c r="AS209" s="159">
        <f t="shared" si="141"/>
        <v>8.3503786714188646E-4</v>
      </c>
      <c r="AT209" s="159">
        <f t="shared" si="141"/>
        <v>3.4873781450008626E-3</v>
      </c>
      <c r="AU209" s="159">
        <f t="shared" si="141"/>
        <v>4.325080598985957E-6</v>
      </c>
      <c r="AV209" s="159">
        <f t="shared" si="141"/>
        <v>5.5119882565074962E-4</v>
      </c>
      <c r="AW209" s="159">
        <f t="shared" si="141"/>
        <v>3.6172594402350622E-3</v>
      </c>
      <c r="AX209" s="159">
        <f t="shared" si="141"/>
        <v>2.1655393698752348E-3</v>
      </c>
      <c r="AY209" s="159">
        <f t="shared" si="141"/>
        <v>1.3753276022466668E-3</v>
      </c>
      <c r="AZ209" s="159">
        <f t="shared" si="141"/>
        <v>2.8557530344372347E-3</v>
      </c>
      <c r="BA209" s="159">
        <f t="shared" si="141"/>
        <v>5.0702894547465802E-3</v>
      </c>
      <c r="BB209" s="159">
        <f t="shared" si="141"/>
        <v>3.5640263095589985E-4</v>
      </c>
      <c r="BC209" s="159">
        <f t="shared" si="141"/>
        <v>1.9988978812947472E-3</v>
      </c>
      <c r="BD209" s="159">
        <f t="shared" si="141"/>
        <v>2.9536180172390521E-3</v>
      </c>
      <c r="BE209" s="159">
        <f t="shared" si="141"/>
        <v>1.428285650399828E-3</v>
      </c>
      <c r="BF209" s="159">
        <f t="shared" si="141"/>
        <v>9.6481462490147305E-4</v>
      </c>
      <c r="BG209" s="159">
        <f t="shared" si="141"/>
        <v>1.1422970426276954E-3</v>
      </c>
      <c r="BH209" s="159">
        <f t="shared" si="141"/>
        <v>1.5615111559017329E-3</v>
      </c>
      <c r="BI209" s="159">
        <f t="shared" si="141"/>
        <v>0</v>
      </c>
      <c r="BJ209" s="159">
        <f t="shared" si="141"/>
        <v>1.5434793135638133E-3</v>
      </c>
      <c r="BK209" s="159">
        <f t="shared" si="141"/>
        <v>4.5177931017321878E-3</v>
      </c>
      <c r="BL209" s="159">
        <f t="shared" si="141"/>
        <v>0.17022822410284988</v>
      </c>
      <c r="BM209" s="159">
        <f t="shared" si="141"/>
        <v>5.1832238403317266E-4</v>
      </c>
      <c r="BN209" s="159">
        <f t="shared" si="141"/>
        <v>1.2547015489341349E-3</v>
      </c>
      <c r="BO209" s="159">
        <f t="shared" ref="BO209:CA209" si="142">BO42/BO$84</f>
        <v>9.9360786143678115E-4</v>
      </c>
      <c r="BP209" s="159">
        <f t="shared" si="142"/>
        <v>6.4606249284894415E-4</v>
      </c>
      <c r="BQ209" s="159">
        <f t="shared" si="142"/>
        <v>1.2708753063133504E-3</v>
      </c>
      <c r="BR209" s="159">
        <f t="shared" si="142"/>
        <v>7.1931405164393379E-4</v>
      </c>
      <c r="BS209" s="159">
        <f t="shared" si="142"/>
        <v>8.4997962617818011E-4</v>
      </c>
      <c r="BT209" s="159">
        <f t="shared" si="142"/>
        <v>1.0446052806704331E-2</v>
      </c>
      <c r="BU209" s="159">
        <f t="shared" si="142"/>
        <v>3.4505137217356661E-3</v>
      </c>
      <c r="BV209" s="159">
        <f t="shared" si="142"/>
        <v>1.9902091785424213E-4</v>
      </c>
      <c r="BW209" s="159">
        <f t="shared" si="142"/>
        <v>3.948346943096535E-3</v>
      </c>
      <c r="BX209" s="159">
        <f t="shared" si="142"/>
        <v>6.7092838066201428E-4</v>
      </c>
      <c r="BY209" s="159">
        <f t="shared" si="142"/>
        <v>4.0520920848143818E-4</v>
      </c>
      <c r="BZ209" s="159">
        <f t="shared" si="142"/>
        <v>1.5336836577485803E-3</v>
      </c>
      <c r="CA209" s="118">
        <f t="shared" si="142"/>
        <v>0</v>
      </c>
      <c r="CB209" s="18"/>
      <c r="CC209" s="271"/>
      <c r="CD209" s="147">
        <f t="shared" ref="CD209:CG228" si="143">CD42/(CD$79+CD$80)</f>
        <v>7.4021232363508972E-3</v>
      </c>
      <c r="CE209" s="148">
        <f t="shared" si="143"/>
        <v>3.6098154842733165E-3</v>
      </c>
      <c r="CF209" s="148">
        <f t="shared" si="143"/>
        <v>1.2877192393093631E-5</v>
      </c>
      <c r="CG209" s="119">
        <f t="shared" si="143"/>
        <v>1.1806696100281862E-3</v>
      </c>
      <c r="CH209" s="18"/>
      <c r="CI209" s="18"/>
      <c r="CJ209" s="18"/>
    </row>
    <row r="210" spans="1:88" ht="13.95" customHeight="1" x14ac:dyDescent="0.25">
      <c r="A210" s="8" t="s">
        <v>41</v>
      </c>
      <c r="B210" s="256"/>
      <c r="C210" s="22">
        <f t="shared" ref="C210:AH210" si="144">C43/C$84</f>
        <v>2.3435302788486099E-5</v>
      </c>
      <c r="D210" s="159">
        <f t="shared" si="144"/>
        <v>1.3119600274451611E-5</v>
      </c>
      <c r="E210" s="159">
        <f t="shared" si="144"/>
        <v>6.5685399777764392E-5</v>
      </c>
      <c r="F210" s="159">
        <f t="shared" si="144"/>
        <v>2.4231459778158567E-3</v>
      </c>
      <c r="G210" s="159">
        <f t="shared" si="144"/>
        <v>7.8790646871617167E-4</v>
      </c>
      <c r="H210" s="159">
        <f t="shared" si="144"/>
        <v>5.0587313192419971E-5</v>
      </c>
      <c r="I210" s="159">
        <f t="shared" si="144"/>
        <v>2.0913524911325113E-4</v>
      </c>
      <c r="J210" s="159">
        <f t="shared" si="144"/>
        <v>5.6019446854544354E-5</v>
      </c>
      <c r="K210" s="159">
        <f t="shared" si="144"/>
        <v>9.6572626501691667E-5</v>
      </c>
      <c r="L210" s="159">
        <f t="shared" si="144"/>
        <v>6.6915388688072497E-5</v>
      </c>
      <c r="M210" s="159">
        <f t="shared" si="144"/>
        <v>5.1583280453392324E-4</v>
      </c>
      <c r="N210" s="159">
        <f t="shared" si="144"/>
        <v>2.5467478736356576E-5</v>
      </c>
      <c r="O210" s="159">
        <f t="shared" si="144"/>
        <v>4.5054254140252827E-5</v>
      </c>
      <c r="P210" s="159">
        <f t="shared" si="144"/>
        <v>1.9234492563421411E-4</v>
      </c>
      <c r="Q210" s="159">
        <f t="shared" si="144"/>
        <v>8.0667208786721383E-5</v>
      </c>
      <c r="R210" s="159">
        <f t="shared" si="144"/>
        <v>7.892332816536976E-5</v>
      </c>
      <c r="S210" s="159">
        <f t="shared" si="144"/>
        <v>1.1981238522854367E-4</v>
      </c>
      <c r="T210" s="159">
        <f t="shared" si="144"/>
        <v>1.5164749645310468E-4</v>
      </c>
      <c r="U210" s="159">
        <f t="shared" si="144"/>
        <v>1.7321125337639649E-4</v>
      </c>
      <c r="V210" s="159">
        <f t="shared" si="144"/>
        <v>2.7300594524805369E-5</v>
      </c>
      <c r="W210" s="159">
        <f t="shared" si="144"/>
        <v>1.3644726683210667E-4</v>
      </c>
      <c r="X210" s="159">
        <f t="shared" si="144"/>
        <v>3.3594912656776851E-5</v>
      </c>
      <c r="Y210" s="159">
        <f t="shared" si="144"/>
        <v>2.1462536791346949E-4</v>
      </c>
      <c r="Z210" s="159">
        <f t="shared" si="144"/>
        <v>1.7502330154216847E-4</v>
      </c>
      <c r="AA210" s="159">
        <f t="shared" si="144"/>
        <v>1.133512908377612E-4</v>
      </c>
      <c r="AB210" s="159">
        <f t="shared" si="144"/>
        <v>2.1007796451937759E-4</v>
      </c>
      <c r="AC210" s="159">
        <f t="shared" si="144"/>
        <v>6.5932218693573103E-5</v>
      </c>
      <c r="AD210" s="159">
        <f t="shared" si="144"/>
        <v>1.8763004739551825E-4</v>
      </c>
      <c r="AE210" s="159">
        <f t="shared" si="144"/>
        <v>2.1817473738623268E-4</v>
      </c>
      <c r="AF210" s="159">
        <f t="shared" si="144"/>
        <v>1.2712111531634183E-5</v>
      </c>
      <c r="AG210" s="159">
        <f t="shared" si="144"/>
        <v>1.215452774518822E-4</v>
      </c>
      <c r="AH210" s="159">
        <f t="shared" si="144"/>
        <v>1.0021983537179886E-4</v>
      </c>
      <c r="AI210" s="159">
        <f t="shared" ref="AI210:BN210" si="145">AI43/AI$84</f>
        <v>1.8244166182548147E-4</v>
      </c>
      <c r="AJ210" s="159">
        <f t="shared" si="145"/>
        <v>1.6315894311275815E-3</v>
      </c>
      <c r="AK210" s="159">
        <f t="shared" si="145"/>
        <v>2.0594930349807935E-4</v>
      </c>
      <c r="AL210" s="159">
        <f t="shared" si="145"/>
        <v>7.5638278130990653E-4</v>
      </c>
      <c r="AM210" s="159">
        <f t="shared" si="145"/>
        <v>4.2977438112368915E-4</v>
      </c>
      <c r="AN210" s="159">
        <f t="shared" si="145"/>
        <v>3.8459224374784015E-3</v>
      </c>
      <c r="AO210" s="159">
        <f t="shared" si="145"/>
        <v>1.5846352075406491E-2</v>
      </c>
      <c r="AP210" s="159">
        <f t="shared" si="145"/>
        <v>1.2577077103064974E-4</v>
      </c>
      <c r="AQ210" s="159">
        <f t="shared" si="145"/>
        <v>1.2452367621217746E-2</v>
      </c>
      <c r="AR210" s="159">
        <f t="shared" si="145"/>
        <v>8.3707146822114484E-3</v>
      </c>
      <c r="AS210" s="159">
        <f t="shared" si="145"/>
        <v>3.5471319550877095E-4</v>
      </c>
      <c r="AT210" s="159">
        <f t="shared" si="145"/>
        <v>5.8065260113396625E-4</v>
      </c>
      <c r="AU210" s="159">
        <f t="shared" si="145"/>
        <v>4.4027102507626279E-5</v>
      </c>
      <c r="AV210" s="159">
        <f t="shared" si="145"/>
        <v>4.0674528435611387E-5</v>
      </c>
      <c r="AW210" s="159">
        <f t="shared" si="145"/>
        <v>2.0585101009039906E-4</v>
      </c>
      <c r="AX210" s="159">
        <f t="shared" si="145"/>
        <v>6.2794228291480089E-4</v>
      </c>
      <c r="AY210" s="159">
        <f t="shared" si="145"/>
        <v>3.1332015123929487E-4</v>
      </c>
      <c r="AZ210" s="159">
        <f t="shared" si="145"/>
        <v>8.5107727890966614E-5</v>
      </c>
      <c r="BA210" s="159">
        <f t="shared" si="145"/>
        <v>3.6257151412695336E-6</v>
      </c>
      <c r="BB210" s="159">
        <f t="shared" si="145"/>
        <v>8.6452932808046861E-5</v>
      </c>
      <c r="BC210" s="159">
        <f t="shared" si="145"/>
        <v>1.0497796077343516E-3</v>
      </c>
      <c r="BD210" s="159">
        <f t="shared" si="145"/>
        <v>5.7043976642795762E-4</v>
      </c>
      <c r="BE210" s="159">
        <f t="shared" si="145"/>
        <v>4.0531740378849486E-4</v>
      </c>
      <c r="BF210" s="159">
        <f t="shared" si="145"/>
        <v>1.4670754232541058E-3</v>
      </c>
      <c r="BG210" s="159">
        <f t="shared" si="145"/>
        <v>5.1065870548220259E-4</v>
      </c>
      <c r="BH210" s="159">
        <f t="shared" si="145"/>
        <v>4.2972291990454908E-4</v>
      </c>
      <c r="BI210" s="159">
        <f t="shared" si="145"/>
        <v>0</v>
      </c>
      <c r="BJ210" s="159">
        <f t="shared" si="145"/>
        <v>1.0024427185197341E-4</v>
      </c>
      <c r="BK210" s="159">
        <f t="shared" si="145"/>
        <v>6.3460144758492197E-4</v>
      </c>
      <c r="BL210" s="159">
        <f t="shared" si="145"/>
        <v>1.6751986106971139E-3</v>
      </c>
      <c r="BM210" s="159">
        <f t="shared" si="145"/>
        <v>1.541436648098652E-4</v>
      </c>
      <c r="BN210" s="159">
        <f t="shared" si="145"/>
        <v>2.5302360536526834E-3</v>
      </c>
      <c r="BO210" s="159">
        <f t="shared" ref="BO210:CA210" si="146">BO43/BO$84</f>
        <v>6.1391128989764742E-4</v>
      </c>
      <c r="BP210" s="159">
        <f t="shared" si="146"/>
        <v>2.4919088467286002E-4</v>
      </c>
      <c r="BQ210" s="159">
        <f t="shared" si="146"/>
        <v>1.1201483540363624E-3</v>
      </c>
      <c r="BR210" s="159">
        <f t="shared" si="146"/>
        <v>1.4055558444339953E-3</v>
      </c>
      <c r="BS210" s="159">
        <f t="shared" si="146"/>
        <v>1.8693107554709574E-2</v>
      </c>
      <c r="BT210" s="159">
        <f t="shared" si="146"/>
        <v>2.5278926425840678E-4</v>
      </c>
      <c r="BU210" s="159">
        <f t="shared" si="146"/>
        <v>6.9692369970595754E-5</v>
      </c>
      <c r="BV210" s="159">
        <f t="shared" si="146"/>
        <v>9.1196926915488157E-5</v>
      </c>
      <c r="BW210" s="159">
        <f t="shared" si="146"/>
        <v>2.219862573641206E-4</v>
      </c>
      <c r="BX210" s="159">
        <f t="shared" si="146"/>
        <v>9.066599738675869E-6</v>
      </c>
      <c r="BY210" s="159">
        <f t="shared" si="146"/>
        <v>2.7568790820945087E-5</v>
      </c>
      <c r="BZ210" s="159">
        <f t="shared" si="146"/>
        <v>9.0196888364410681E-5</v>
      </c>
      <c r="CA210" s="118">
        <f t="shared" si="146"/>
        <v>0</v>
      </c>
      <c r="CB210" s="18"/>
      <c r="CC210" s="271"/>
      <c r="CD210" s="147">
        <f t="shared" si="143"/>
        <v>2.6352736209118693E-2</v>
      </c>
      <c r="CE210" s="148">
        <f t="shared" si="143"/>
        <v>4.5962890809495352E-3</v>
      </c>
      <c r="CF210" s="148">
        <f t="shared" si="143"/>
        <v>-5.1372533020717371E-7</v>
      </c>
      <c r="CG210" s="119">
        <f t="shared" si="143"/>
        <v>1.5626672264717812E-3</v>
      </c>
      <c r="CH210" s="18"/>
      <c r="CI210" s="18"/>
      <c r="CJ210" s="18"/>
    </row>
    <row r="211" spans="1:88" ht="13.95" customHeight="1" x14ac:dyDescent="0.25">
      <c r="A211" s="8" t="s">
        <v>42</v>
      </c>
      <c r="B211" s="256"/>
      <c r="C211" s="22">
        <f t="shared" ref="C211:AH211" si="147">C44/C$84</f>
        <v>1.3035704923118502E-4</v>
      </c>
      <c r="D211" s="159">
        <f t="shared" si="147"/>
        <v>2.6477264818784E-3</v>
      </c>
      <c r="E211" s="159">
        <f t="shared" si="147"/>
        <v>5.2000941490730143E-4</v>
      </c>
      <c r="F211" s="159">
        <f t="shared" si="147"/>
        <v>9.6313376361762976E-4</v>
      </c>
      <c r="G211" s="159">
        <f t="shared" si="147"/>
        <v>1.1928310670017131E-3</v>
      </c>
      <c r="H211" s="159">
        <f t="shared" si="147"/>
        <v>2.2962940312525401E-4</v>
      </c>
      <c r="I211" s="159">
        <f t="shared" si="147"/>
        <v>2.6748802202703739E-4</v>
      </c>
      <c r="J211" s="159">
        <f t="shared" si="147"/>
        <v>1.5156708655440112E-3</v>
      </c>
      <c r="K211" s="159">
        <f t="shared" si="147"/>
        <v>1.0476820372886935E-3</v>
      </c>
      <c r="L211" s="159">
        <f t="shared" si="147"/>
        <v>9.4752190382310663E-4</v>
      </c>
      <c r="M211" s="159">
        <f t="shared" si="147"/>
        <v>1.4955676409896346E-3</v>
      </c>
      <c r="N211" s="159">
        <f t="shared" si="147"/>
        <v>3.5018437617031307E-4</v>
      </c>
      <c r="O211" s="159">
        <f t="shared" si="147"/>
        <v>7.7699583504081693E-4</v>
      </c>
      <c r="P211" s="159">
        <f t="shared" si="147"/>
        <v>6.0331992713574308E-3</v>
      </c>
      <c r="Q211" s="159">
        <f t="shared" si="147"/>
        <v>3.2125019880858312E-4</v>
      </c>
      <c r="R211" s="159">
        <f t="shared" si="147"/>
        <v>3.6887398375990793E-4</v>
      </c>
      <c r="S211" s="159">
        <f t="shared" si="147"/>
        <v>1.4861965947131702E-3</v>
      </c>
      <c r="T211" s="159">
        <f t="shared" si="147"/>
        <v>5.5433492129585858E-4</v>
      </c>
      <c r="U211" s="159">
        <f t="shared" si="147"/>
        <v>8.962259733778596E-4</v>
      </c>
      <c r="V211" s="159">
        <f t="shared" si="147"/>
        <v>3.3979978919753323E-4</v>
      </c>
      <c r="W211" s="159">
        <f t="shared" si="147"/>
        <v>4.7587248855297961E-4</v>
      </c>
      <c r="X211" s="159">
        <f t="shared" si="147"/>
        <v>7.7242740850746429E-6</v>
      </c>
      <c r="Y211" s="159">
        <f t="shared" si="147"/>
        <v>6.5016422623883914E-4</v>
      </c>
      <c r="Z211" s="159">
        <f t="shared" si="147"/>
        <v>6.61266947740719E-4</v>
      </c>
      <c r="AA211" s="159">
        <f t="shared" si="147"/>
        <v>4.0130410280630975E-4</v>
      </c>
      <c r="AB211" s="159">
        <f t="shared" si="147"/>
        <v>1.1464327038427796E-3</v>
      </c>
      <c r="AC211" s="159">
        <f t="shared" si="147"/>
        <v>9.6156995311144882E-4</v>
      </c>
      <c r="AD211" s="159">
        <f t="shared" si="147"/>
        <v>8.5768272378554671E-4</v>
      </c>
      <c r="AE211" s="159">
        <f t="shared" si="147"/>
        <v>1.5853000181373131E-5</v>
      </c>
      <c r="AF211" s="159">
        <f t="shared" si="147"/>
        <v>4.4727307345090843E-4</v>
      </c>
      <c r="AG211" s="159">
        <f t="shared" si="147"/>
        <v>1.8122853755816394E-3</v>
      </c>
      <c r="AH211" s="159">
        <f t="shared" si="147"/>
        <v>1.8687313590844811E-3</v>
      </c>
      <c r="AI211" s="159">
        <f t="shared" ref="AI211:BN211" si="148">AI44/AI$84</f>
        <v>4.824528009428818E-5</v>
      </c>
      <c r="AJ211" s="159">
        <f t="shared" si="148"/>
        <v>1.5306818218274382E-4</v>
      </c>
      <c r="AK211" s="159">
        <f t="shared" si="148"/>
        <v>1.4847507926605722E-4</v>
      </c>
      <c r="AL211" s="159">
        <f t="shared" si="148"/>
        <v>1.6767599581133511E-3</v>
      </c>
      <c r="AM211" s="159">
        <f t="shared" si="148"/>
        <v>1.5373215616834395E-3</v>
      </c>
      <c r="AN211" s="159">
        <f t="shared" si="148"/>
        <v>5.8904530280601535E-4</v>
      </c>
      <c r="AO211" s="159">
        <f t="shared" si="148"/>
        <v>1.7420241926741438E-3</v>
      </c>
      <c r="AP211" s="159">
        <f t="shared" si="148"/>
        <v>6.2891188356103262E-5</v>
      </c>
      <c r="AQ211" s="159">
        <f t="shared" si="148"/>
        <v>1.387502160510654E-4</v>
      </c>
      <c r="AR211" s="159">
        <f t="shared" si="148"/>
        <v>9.9698856481256226E-4</v>
      </c>
      <c r="AS211" s="159">
        <f t="shared" si="148"/>
        <v>2.3017142795265282E-2</v>
      </c>
      <c r="AT211" s="159">
        <f t="shared" si="148"/>
        <v>6.8061457343185404E-4</v>
      </c>
      <c r="AU211" s="159">
        <f t="shared" si="148"/>
        <v>6.2658218934027329E-5</v>
      </c>
      <c r="AV211" s="159">
        <f t="shared" si="148"/>
        <v>4.1330546839089665E-3</v>
      </c>
      <c r="AW211" s="159">
        <f t="shared" si="148"/>
        <v>5.0741109309946492E-3</v>
      </c>
      <c r="AX211" s="159">
        <f t="shared" si="148"/>
        <v>3.8923806478909371E-3</v>
      </c>
      <c r="AY211" s="159">
        <f t="shared" si="148"/>
        <v>2.1201961599218314E-3</v>
      </c>
      <c r="AZ211" s="159">
        <f t="shared" si="148"/>
        <v>9.1757058078438137E-3</v>
      </c>
      <c r="BA211" s="159">
        <f t="shared" si="148"/>
        <v>3.1661433302809447E-3</v>
      </c>
      <c r="BB211" s="159">
        <f t="shared" si="148"/>
        <v>3.3311799143056234E-4</v>
      </c>
      <c r="BC211" s="159">
        <f t="shared" si="148"/>
        <v>4.7294040180539308E-4</v>
      </c>
      <c r="BD211" s="159">
        <f t="shared" si="148"/>
        <v>1.2409869653909275E-3</v>
      </c>
      <c r="BE211" s="159">
        <f t="shared" si="148"/>
        <v>3.9317290455859796E-3</v>
      </c>
      <c r="BF211" s="159">
        <f t="shared" si="148"/>
        <v>3.3144677396126005E-3</v>
      </c>
      <c r="BG211" s="159">
        <f t="shared" si="148"/>
        <v>6.3556108096098629E-3</v>
      </c>
      <c r="BH211" s="159">
        <f t="shared" si="148"/>
        <v>1.5852851408604538E-3</v>
      </c>
      <c r="BI211" s="159">
        <f t="shared" si="148"/>
        <v>0</v>
      </c>
      <c r="BJ211" s="159">
        <f t="shared" si="148"/>
        <v>3.0289844155634528E-3</v>
      </c>
      <c r="BK211" s="159">
        <f t="shared" si="148"/>
        <v>4.4424434138618543E-4</v>
      </c>
      <c r="BL211" s="159">
        <f t="shared" si="148"/>
        <v>1.0037886151466847E-3</v>
      </c>
      <c r="BM211" s="159">
        <f t="shared" si="148"/>
        <v>1.1865211200759374E-4</v>
      </c>
      <c r="BN211" s="159">
        <f t="shared" si="148"/>
        <v>1.1570422283239291E-4</v>
      </c>
      <c r="BO211" s="159">
        <f t="shared" ref="BO211:CA211" si="149">BO44/BO$84</f>
        <v>1.8073261731601842E-4</v>
      </c>
      <c r="BP211" s="159">
        <f t="shared" si="149"/>
        <v>1.0730692783197373E-3</v>
      </c>
      <c r="BQ211" s="159">
        <f t="shared" si="149"/>
        <v>2.2276373106350444E-3</v>
      </c>
      <c r="BR211" s="159">
        <f t="shared" si="149"/>
        <v>9.5444740438747314E-4</v>
      </c>
      <c r="BS211" s="159">
        <f t="shared" si="149"/>
        <v>1.0521177486346032E-4</v>
      </c>
      <c r="BT211" s="159">
        <f t="shared" si="149"/>
        <v>2.148616956340155E-3</v>
      </c>
      <c r="BU211" s="159">
        <f t="shared" si="149"/>
        <v>5.5165712144809873E-3</v>
      </c>
      <c r="BV211" s="159">
        <f t="shared" si="149"/>
        <v>8.363917054127643E-5</v>
      </c>
      <c r="BW211" s="159">
        <f t="shared" si="149"/>
        <v>8.3894395621902245E-4</v>
      </c>
      <c r="BX211" s="159">
        <f t="shared" si="149"/>
        <v>2.3599122765263467E-2</v>
      </c>
      <c r="BY211" s="159">
        <f t="shared" si="149"/>
        <v>3.7154704610438125E-6</v>
      </c>
      <c r="BZ211" s="159">
        <f t="shared" si="149"/>
        <v>1.7405531380271539E-3</v>
      </c>
      <c r="CA211" s="118">
        <f t="shared" si="149"/>
        <v>0</v>
      </c>
      <c r="CB211" s="18"/>
      <c r="CC211" s="271"/>
      <c r="CD211" s="147">
        <f t="shared" si="143"/>
        <v>2.8870738729313708E-3</v>
      </c>
      <c r="CE211" s="148">
        <f t="shared" si="143"/>
        <v>1.8545582246914506E-3</v>
      </c>
      <c r="CF211" s="148">
        <f t="shared" si="143"/>
        <v>7.7635818092573956E-4</v>
      </c>
      <c r="CG211" s="119">
        <f t="shared" si="143"/>
        <v>5.9958530813588656E-3</v>
      </c>
      <c r="CH211" s="18"/>
      <c r="CI211" s="18"/>
      <c r="CJ211" s="18"/>
    </row>
    <row r="212" spans="1:88" ht="13.95" customHeight="1" x14ac:dyDescent="0.25">
      <c r="A212" s="8" t="s">
        <v>43</v>
      </c>
      <c r="B212" s="256"/>
      <c r="C212" s="22">
        <f t="shared" ref="C212:AH212" si="150">C45/C$84</f>
        <v>8.748142890766275E-8</v>
      </c>
      <c r="D212" s="159">
        <f t="shared" si="150"/>
        <v>4.8655471216509291E-6</v>
      </c>
      <c r="E212" s="159">
        <f t="shared" si="150"/>
        <v>0</v>
      </c>
      <c r="F212" s="159">
        <f t="shared" si="150"/>
        <v>1.8043936263043059E-6</v>
      </c>
      <c r="G212" s="159">
        <f t="shared" si="150"/>
        <v>0</v>
      </c>
      <c r="H212" s="159">
        <f t="shared" si="150"/>
        <v>3.3579731732546065E-4</v>
      </c>
      <c r="I212" s="159">
        <f t="shared" si="150"/>
        <v>8.536475247488812E-4</v>
      </c>
      <c r="J212" s="159">
        <f t="shared" si="150"/>
        <v>0</v>
      </c>
      <c r="K212" s="159">
        <f t="shared" si="150"/>
        <v>0</v>
      </c>
      <c r="L212" s="159">
        <f t="shared" si="150"/>
        <v>0</v>
      </c>
      <c r="M212" s="159">
        <f t="shared" si="150"/>
        <v>0</v>
      </c>
      <c r="N212" s="159">
        <f t="shared" si="150"/>
        <v>8.6113057597752455E-6</v>
      </c>
      <c r="O212" s="159">
        <f t="shared" si="150"/>
        <v>1.5102550881659554E-5</v>
      </c>
      <c r="P212" s="159">
        <f t="shared" si="150"/>
        <v>1.6541812824810555E-3</v>
      </c>
      <c r="Q212" s="159">
        <f t="shared" si="150"/>
        <v>0</v>
      </c>
      <c r="R212" s="159">
        <f t="shared" si="150"/>
        <v>3.683683509810079E-5</v>
      </c>
      <c r="S212" s="159">
        <f t="shared" si="150"/>
        <v>1.1830526791866136E-3</v>
      </c>
      <c r="T212" s="159">
        <f t="shared" si="150"/>
        <v>1.5573905631458031E-5</v>
      </c>
      <c r="U212" s="159">
        <f t="shared" si="150"/>
        <v>0</v>
      </c>
      <c r="V212" s="159">
        <f t="shared" si="150"/>
        <v>0</v>
      </c>
      <c r="W212" s="159">
        <f t="shared" si="150"/>
        <v>4.3768831242860665E-6</v>
      </c>
      <c r="X212" s="159">
        <f t="shared" si="150"/>
        <v>1.8458743218009259E-6</v>
      </c>
      <c r="Y212" s="159">
        <f t="shared" si="150"/>
        <v>0</v>
      </c>
      <c r="Z212" s="159">
        <f t="shared" si="150"/>
        <v>1.3889068055528577E-6</v>
      </c>
      <c r="AA212" s="159">
        <f t="shared" si="150"/>
        <v>6.255129727637473E-7</v>
      </c>
      <c r="AB212" s="159">
        <f t="shared" si="150"/>
        <v>0</v>
      </c>
      <c r="AC212" s="159">
        <f t="shared" si="150"/>
        <v>2.0718323267002733E-5</v>
      </c>
      <c r="AD212" s="159">
        <f t="shared" si="150"/>
        <v>8.4139034706510424E-6</v>
      </c>
      <c r="AE212" s="159">
        <f t="shared" si="150"/>
        <v>3.0486538810332945E-7</v>
      </c>
      <c r="AF212" s="159">
        <f t="shared" si="150"/>
        <v>0</v>
      </c>
      <c r="AG212" s="159">
        <f t="shared" si="150"/>
        <v>0</v>
      </c>
      <c r="AH212" s="159">
        <f t="shared" si="150"/>
        <v>4.0255228605260889E-6</v>
      </c>
      <c r="AI212" s="159">
        <f t="shared" ref="AI212:BN212" si="151">AI45/AI$84</f>
        <v>0</v>
      </c>
      <c r="AJ212" s="159">
        <f t="shared" si="151"/>
        <v>0</v>
      </c>
      <c r="AK212" s="159">
        <f t="shared" si="151"/>
        <v>1.5362715115936596E-4</v>
      </c>
      <c r="AL212" s="159">
        <f t="shared" si="151"/>
        <v>2.4514419534445322E-4</v>
      </c>
      <c r="AM212" s="159">
        <f t="shared" si="151"/>
        <v>1.0276945329707186E-3</v>
      </c>
      <c r="AN212" s="159">
        <f t="shared" si="151"/>
        <v>9.2445767344083532E-7</v>
      </c>
      <c r="AO212" s="159">
        <f t="shared" si="151"/>
        <v>0</v>
      </c>
      <c r="AP212" s="159">
        <f t="shared" si="151"/>
        <v>2.8027720959584677E-5</v>
      </c>
      <c r="AQ212" s="159">
        <f t="shared" si="151"/>
        <v>9.7894511898361625E-5</v>
      </c>
      <c r="AR212" s="159">
        <f t="shared" si="151"/>
        <v>1.1827181498612783E-4</v>
      </c>
      <c r="AS212" s="159">
        <f t="shared" si="151"/>
        <v>4.7429160812468023E-4</v>
      </c>
      <c r="AT212" s="159">
        <f t="shared" si="151"/>
        <v>3.0956747478293647E-2</v>
      </c>
      <c r="AU212" s="159">
        <f t="shared" si="151"/>
        <v>5.3558471152765949E-2</v>
      </c>
      <c r="AV212" s="159">
        <f t="shared" si="151"/>
        <v>3.8223419843129978E-5</v>
      </c>
      <c r="AW212" s="159">
        <f t="shared" si="151"/>
        <v>1.1699298032983297E-4</v>
      </c>
      <c r="AX212" s="159">
        <f t="shared" si="151"/>
        <v>4.5056773257316578E-4</v>
      </c>
      <c r="AY212" s="159">
        <f t="shared" si="151"/>
        <v>0</v>
      </c>
      <c r="AZ212" s="159">
        <f t="shared" si="151"/>
        <v>0</v>
      </c>
      <c r="BA212" s="159">
        <f t="shared" si="151"/>
        <v>0</v>
      </c>
      <c r="BB212" s="159">
        <f t="shared" si="151"/>
        <v>3.2718657625638909E-5</v>
      </c>
      <c r="BC212" s="159">
        <f t="shared" si="151"/>
        <v>2.3891329165170712E-5</v>
      </c>
      <c r="BD212" s="159">
        <f t="shared" si="151"/>
        <v>2.8473660595346494E-3</v>
      </c>
      <c r="BE212" s="159">
        <f t="shared" si="151"/>
        <v>4.0561786146365317E-6</v>
      </c>
      <c r="BF212" s="159">
        <f t="shared" si="151"/>
        <v>5.0906374107426149E-6</v>
      </c>
      <c r="BG212" s="159">
        <f t="shared" si="151"/>
        <v>2.7294553578670892E-3</v>
      </c>
      <c r="BH212" s="159">
        <f t="shared" si="151"/>
        <v>4.3981872173633462E-4</v>
      </c>
      <c r="BI212" s="159">
        <f t="shared" si="151"/>
        <v>0</v>
      </c>
      <c r="BJ212" s="159">
        <f t="shared" si="151"/>
        <v>0</v>
      </c>
      <c r="BK212" s="159">
        <f t="shared" si="151"/>
        <v>0</v>
      </c>
      <c r="BL212" s="159">
        <f t="shared" si="151"/>
        <v>8.4671444555323719E-6</v>
      </c>
      <c r="BM212" s="159">
        <f t="shared" si="151"/>
        <v>0</v>
      </c>
      <c r="BN212" s="159">
        <f t="shared" si="151"/>
        <v>0</v>
      </c>
      <c r="BO212" s="159">
        <f t="shared" ref="BO212:CA212" si="152">BO45/BO$84</f>
        <v>1.4700991321040565E-5</v>
      </c>
      <c r="BP212" s="159">
        <f t="shared" si="152"/>
        <v>4.9340929823064625E-5</v>
      </c>
      <c r="BQ212" s="159">
        <f t="shared" si="152"/>
        <v>4.3747031651730553E-5</v>
      </c>
      <c r="BR212" s="159">
        <f t="shared" si="152"/>
        <v>3.4335330151377173E-5</v>
      </c>
      <c r="BS212" s="159">
        <f t="shared" si="152"/>
        <v>0</v>
      </c>
      <c r="BT212" s="159">
        <f t="shared" si="152"/>
        <v>4.3600181743915483E-3</v>
      </c>
      <c r="BU212" s="159">
        <f t="shared" si="152"/>
        <v>2.0265157225492382E-4</v>
      </c>
      <c r="BV212" s="159">
        <f t="shared" si="152"/>
        <v>8.2530699606392051E-4</v>
      </c>
      <c r="BW212" s="159">
        <f t="shared" si="152"/>
        <v>6.1536231507507759E-5</v>
      </c>
      <c r="BX212" s="159">
        <f t="shared" si="152"/>
        <v>5.563595294187465E-6</v>
      </c>
      <c r="BY212" s="159">
        <f t="shared" si="152"/>
        <v>0</v>
      </c>
      <c r="BZ212" s="159">
        <f t="shared" si="152"/>
        <v>1.8740535076212445E-4</v>
      </c>
      <c r="CA212" s="118">
        <f t="shared" si="152"/>
        <v>0</v>
      </c>
      <c r="CB212" s="18"/>
      <c r="CC212" s="271"/>
      <c r="CD212" s="147">
        <f t="shared" si="143"/>
        <v>2.4072540703618255E-3</v>
      </c>
      <c r="CE212" s="148">
        <f t="shared" si="143"/>
        <v>0</v>
      </c>
      <c r="CF212" s="148">
        <f t="shared" si="143"/>
        <v>5.5870893660746931E-4</v>
      </c>
      <c r="CG212" s="119">
        <f t="shared" si="143"/>
        <v>3.2389513195693717E-3</v>
      </c>
      <c r="CH212" s="18"/>
      <c r="CI212" s="18"/>
      <c r="CJ212" s="18"/>
    </row>
    <row r="213" spans="1:88" ht="13.95" customHeight="1" x14ac:dyDescent="0.25">
      <c r="A213" s="8" t="s">
        <v>44</v>
      </c>
      <c r="B213" s="256"/>
      <c r="C213" s="22">
        <f t="shared" ref="C213:AH213" si="153">C46/C$84</f>
        <v>2.4621162158123304E-5</v>
      </c>
      <c r="D213" s="159">
        <f t="shared" si="153"/>
        <v>3.8924376973207433E-5</v>
      </c>
      <c r="E213" s="159">
        <f t="shared" si="153"/>
        <v>9.1229721913561665E-6</v>
      </c>
      <c r="F213" s="159">
        <f t="shared" si="153"/>
        <v>3.411850576823399E-4</v>
      </c>
      <c r="G213" s="159">
        <f t="shared" si="153"/>
        <v>3.1146483149610397E-4</v>
      </c>
      <c r="H213" s="159">
        <f t="shared" si="153"/>
        <v>5.2144559402743829E-4</v>
      </c>
      <c r="I213" s="159">
        <f t="shared" si="153"/>
        <v>7.8635579673088347E-5</v>
      </c>
      <c r="J213" s="159">
        <f t="shared" si="153"/>
        <v>2.3351518883211794E-4</v>
      </c>
      <c r="K213" s="159">
        <f t="shared" si="153"/>
        <v>1.4025420821767994E-4</v>
      </c>
      <c r="L213" s="159">
        <f t="shared" si="153"/>
        <v>2.8067288033052634E-4</v>
      </c>
      <c r="M213" s="159">
        <f t="shared" si="153"/>
        <v>1.0251018682915915E-4</v>
      </c>
      <c r="N213" s="159">
        <f t="shared" si="153"/>
        <v>5.4494646175842133E-5</v>
      </c>
      <c r="O213" s="159">
        <f t="shared" si="153"/>
        <v>2.4478295556515316E-5</v>
      </c>
      <c r="P213" s="159">
        <f t="shared" si="153"/>
        <v>4.716106574607709E-4</v>
      </c>
      <c r="Q213" s="159">
        <f t="shared" si="153"/>
        <v>1.2129340692485694E-5</v>
      </c>
      <c r="R213" s="159">
        <f t="shared" si="153"/>
        <v>2.6408753895380056E-3</v>
      </c>
      <c r="S213" s="159">
        <f t="shared" si="153"/>
        <v>1.9797878364209282E-2</v>
      </c>
      <c r="T213" s="159">
        <f t="shared" si="153"/>
        <v>1.3641130687370496E-4</v>
      </c>
      <c r="U213" s="159">
        <f t="shared" si="153"/>
        <v>1.4378031533872403E-4</v>
      </c>
      <c r="V213" s="159">
        <f t="shared" si="153"/>
        <v>2.9281699614216023E-5</v>
      </c>
      <c r="W213" s="159">
        <f t="shared" si="153"/>
        <v>1.4249644964067182E-4</v>
      </c>
      <c r="X213" s="159">
        <f t="shared" si="153"/>
        <v>1.7038839893547007E-6</v>
      </c>
      <c r="Y213" s="159">
        <f t="shared" si="153"/>
        <v>2.3051842477763497E-4</v>
      </c>
      <c r="Z213" s="159">
        <f t="shared" si="153"/>
        <v>1.2100324442316564E-5</v>
      </c>
      <c r="AA213" s="159">
        <f t="shared" si="153"/>
        <v>4.4629933598044864E-4</v>
      </c>
      <c r="AB213" s="159">
        <f t="shared" si="153"/>
        <v>1.0859518744918049E-3</v>
      </c>
      <c r="AC213" s="159">
        <f t="shared" si="153"/>
        <v>1.6210504678450718E-4</v>
      </c>
      <c r="AD213" s="159">
        <f t="shared" si="153"/>
        <v>3.4420514198117901E-6</v>
      </c>
      <c r="AE213" s="159">
        <f t="shared" si="153"/>
        <v>1.4574743161254171E-4</v>
      </c>
      <c r="AF213" s="159">
        <f t="shared" si="153"/>
        <v>2.3503222666542334E-4</v>
      </c>
      <c r="AG213" s="159">
        <f t="shared" si="153"/>
        <v>1.5202339838392518E-4</v>
      </c>
      <c r="AH213" s="159">
        <f t="shared" si="153"/>
        <v>4.571843820168915E-4</v>
      </c>
      <c r="AI213" s="159">
        <f t="shared" ref="AI213:BN213" si="154">AI46/AI$84</f>
        <v>1.1448032564746346E-5</v>
      </c>
      <c r="AJ213" s="159">
        <f t="shared" si="154"/>
        <v>1.0661226515530855E-4</v>
      </c>
      <c r="AK213" s="159">
        <f t="shared" si="154"/>
        <v>8.4360406815992662E-5</v>
      </c>
      <c r="AL213" s="159">
        <f t="shared" si="154"/>
        <v>8.511482041090667E-4</v>
      </c>
      <c r="AM213" s="159">
        <f t="shared" si="154"/>
        <v>3.1964577388525229E-4</v>
      </c>
      <c r="AN213" s="159">
        <f t="shared" si="154"/>
        <v>1.0433620569558117E-4</v>
      </c>
      <c r="AO213" s="159">
        <f t="shared" si="154"/>
        <v>3.1855027616899091E-4</v>
      </c>
      <c r="AP213" s="159">
        <f t="shared" si="154"/>
        <v>4.4449760362405511E-6</v>
      </c>
      <c r="AQ213" s="159">
        <f t="shared" si="154"/>
        <v>3.7893665601632744E-3</v>
      </c>
      <c r="AR213" s="159">
        <f t="shared" si="154"/>
        <v>5.0069164651108285E-3</v>
      </c>
      <c r="AS213" s="159">
        <f t="shared" si="154"/>
        <v>1.8007921102998704E-3</v>
      </c>
      <c r="AT213" s="159">
        <f t="shared" si="154"/>
        <v>0.22659813450485553</v>
      </c>
      <c r="AU213" s="159">
        <f t="shared" si="154"/>
        <v>0.19198411741684451</v>
      </c>
      <c r="AV213" s="159">
        <f t="shared" si="154"/>
        <v>3.5331574177321244E-3</v>
      </c>
      <c r="AW213" s="159">
        <f t="shared" si="154"/>
        <v>1.1365195494973254E-3</v>
      </c>
      <c r="AX213" s="159">
        <f t="shared" si="154"/>
        <v>6.2239035419390783E-4</v>
      </c>
      <c r="AY213" s="159">
        <f t="shared" si="154"/>
        <v>1.3273947514964275E-5</v>
      </c>
      <c r="AZ213" s="159">
        <f t="shared" si="154"/>
        <v>5.5477630032630095E-5</v>
      </c>
      <c r="BA213" s="159">
        <f t="shared" si="154"/>
        <v>3.7498834680253394E-5</v>
      </c>
      <c r="BB213" s="159">
        <f t="shared" si="154"/>
        <v>1.9184101373407678E-3</v>
      </c>
      <c r="BC213" s="159">
        <f t="shared" si="154"/>
        <v>2.258734821324483E-4</v>
      </c>
      <c r="BD213" s="159">
        <f t="shared" si="154"/>
        <v>3.9076418492977187E-5</v>
      </c>
      <c r="BE213" s="159">
        <f t="shared" si="154"/>
        <v>1.8357963952169782E-5</v>
      </c>
      <c r="BF213" s="159">
        <f t="shared" si="154"/>
        <v>3.9855063073923088E-4</v>
      </c>
      <c r="BG213" s="159">
        <f t="shared" si="154"/>
        <v>2.9736057416546017E-3</v>
      </c>
      <c r="BH213" s="159">
        <f t="shared" si="154"/>
        <v>4.6408121323530307E-6</v>
      </c>
      <c r="BI213" s="159">
        <f t="shared" si="154"/>
        <v>0</v>
      </c>
      <c r="BJ213" s="159">
        <f t="shared" si="154"/>
        <v>1.4019401856788901E-4</v>
      </c>
      <c r="BK213" s="159">
        <f t="shared" si="154"/>
        <v>1.2441640928021998E-6</v>
      </c>
      <c r="BL213" s="159">
        <f t="shared" si="154"/>
        <v>7.0329138640850519E-5</v>
      </c>
      <c r="BM213" s="159">
        <f t="shared" si="154"/>
        <v>6.1823995203956741E-5</v>
      </c>
      <c r="BN213" s="159">
        <f t="shared" si="154"/>
        <v>4.9720288526369644E-5</v>
      </c>
      <c r="BO213" s="159">
        <f t="shared" ref="BO213:CA213" si="155">BO46/BO$84</f>
        <v>6.5183879367142874E-3</v>
      </c>
      <c r="BP213" s="159">
        <f t="shared" si="155"/>
        <v>1.1495502224671897E-3</v>
      </c>
      <c r="BQ213" s="159">
        <f t="shared" si="155"/>
        <v>9.7610898217792932E-5</v>
      </c>
      <c r="BR213" s="159">
        <f t="shared" si="155"/>
        <v>7.2055691380067875E-5</v>
      </c>
      <c r="BS213" s="159">
        <f t="shared" si="155"/>
        <v>3.206767221359218E-4</v>
      </c>
      <c r="BT213" s="159">
        <f t="shared" si="155"/>
        <v>1.3673016994891895E-3</v>
      </c>
      <c r="BU213" s="159">
        <f t="shared" si="155"/>
        <v>6.8604971290203481E-4</v>
      </c>
      <c r="BV213" s="159">
        <f t="shared" si="155"/>
        <v>1.0732014051380651E-4</v>
      </c>
      <c r="BW213" s="159">
        <f t="shared" si="155"/>
        <v>6.5650042539768926E-4</v>
      </c>
      <c r="BX213" s="159">
        <f t="shared" si="155"/>
        <v>9.6765346301867902E-4</v>
      </c>
      <c r="BY213" s="159">
        <f t="shared" si="155"/>
        <v>0</v>
      </c>
      <c r="BZ213" s="159">
        <f t="shared" si="155"/>
        <v>1.1498981414617034E-3</v>
      </c>
      <c r="CA213" s="118">
        <f t="shared" si="155"/>
        <v>0</v>
      </c>
      <c r="CB213" s="18"/>
      <c r="CC213" s="271"/>
      <c r="CD213" s="147">
        <f t="shared" si="143"/>
        <v>3.4363313233933645E-3</v>
      </c>
      <c r="CE213" s="148">
        <f t="shared" si="143"/>
        <v>1.1601264380685916E-3</v>
      </c>
      <c r="CF213" s="148">
        <f t="shared" si="143"/>
        <v>-2.459353583560862E-4</v>
      </c>
      <c r="CG213" s="119">
        <f t="shared" si="143"/>
        <v>0</v>
      </c>
      <c r="CH213" s="18"/>
      <c r="CI213" s="18"/>
      <c r="CJ213" s="18"/>
    </row>
    <row r="214" spans="1:88" ht="13.95" customHeight="1" x14ac:dyDescent="0.25">
      <c r="A214" s="8" t="s">
        <v>45</v>
      </c>
      <c r="B214" s="256"/>
      <c r="C214" s="22">
        <f t="shared" ref="C214:AH214" si="156">C47/C$84</f>
        <v>6.1758972761179643E-4</v>
      </c>
      <c r="D214" s="159">
        <f t="shared" si="156"/>
        <v>1.8596816177110086E-3</v>
      </c>
      <c r="E214" s="159">
        <f t="shared" si="156"/>
        <v>1.5563790558453621E-3</v>
      </c>
      <c r="F214" s="159">
        <f t="shared" si="156"/>
        <v>8.8353422764580558E-4</v>
      </c>
      <c r="G214" s="159">
        <f t="shared" si="156"/>
        <v>1.4679955832810501E-3</v>
      </c>
      <c r="H214" s="159">
        <f t="shared" si="156"/>
        <v>1.4333467136957083E-3</v>
      </c>
      <c r="I214" s="159">
        <f t="shared" si="156"/>
        <v>1.1199557862037891E-3</v>
      </c>
      <c r="J214" s="159">
        <f t="shared" si="156"/>
        <v>3.8185178028713173E-4</v>
      </c>
      <c r="K214" s="159">
        <f t="shared" si="156"/>
        <v>2.8253618812043475E-3</v>
      </c>
      <c r="L214" s="159">
        <f t="shared" si="156"/>
        <v>2.5051634516176833E-3</v>
      </c>
      <c r="M214" s="159">
        <f t="shared" si="156"/>
        <v>3.2949978696800155E-3</v>
      </c>
      <c r="N214" s="159">
        <f t="shared" si="156"/>
        <v>2.5980754438329808E-3</v>
      </c>
      <c r="O214" s="159">
        <f t="shared" si="156"/>
        <v>1.0952136772755161E-3</v>
      </c>
      <c r="P214" s="159">
        <f t="shared" si="156"/>
        <v>2.6629102951166547E-3</v>
      </c>
      <c r="Q214" s="159">
        <f t="shared" si="156"/>
        <v>3.2176445448121773E-4</v>
      </c>
      <c r="R214" s="159">
        <f t="shared" si="156"/>
        <v>5.5088393830114166E-3</v>
      </c>
      <c r="S214" s="159">
        <f t="shared" si="156"/>
        <v>1.9672354073194424E-3</v>
      </c>
      <c r="T214" s="159">
        <f t="shared" si="156"/>
        <v>1.3282891890610187E-3</v>
      </c>
      <c r="U214" s="159">
        <f t="shared" si="156"/>
        <v>2.5851704691245599E-3</v>
      </c>
      <c r="V214" s="159">
        <f t="shared" si="156"/>
        <v>2.5533706489778144E-4</v>
      </c>
      <c r="W214" s="159">
        <f t="shared" si="156"/>
        <v>3.6666822231828655E-3</v>
      </c>
      <c r="X214" s="159">
        <f t="shared" si="156"/>
        <v>4.9983436827720149E-4</v>
      </c>
      <c r="Y214" s="159">
        <f t="shared" si="156"/>
        <v>1.460243699642439E-3</v>
      </c>
      <c r="Z214" s="159">
        <f t="shared" si="156"/>
        <v>1.8779913974900392E-3</v>
      </c>
      <c r="AA214" s="159">
        <f t="shared" si="156"/>
        <v>2.4015277862453701E-3</v>
      </c>
      <c r="AB214" s="159">
        <f t="shared" si="156"/>
        <v>1.7063449627155961E-3</v>
      </c>
      <c r="AC214" s="159">
        <f t="shared" si="156"/>
        <v>4.8869458097326899E-3</v>
      </c>
      <c r="AD214" s="159">
        <f t="shared" si="156"/>
        <v>9.2843600297056687E-4</v>
      </c>
      <c r="AE214" s="159">
        <f t="shared" si="156"/>
        <v>8.7666219959027394E-4</v>
      </c>
      <c r="AF214" s="159">
        <f t="shared" si="156"/>
        <v>1.5079365550746868E-3</v>
      </c>
      <c r="AG214" s="159">
        <f t="shared" si="156"/>
        <v>2.5078964649663791E-3</v>
      </c>
      <c r="AH214" s="159">
        <f t="shared" si="156"/>
        <v>4.674625351906503E-3</v>
      </c>
      <c r="AI214" s="159">
        <f t="shared" ref="AI214:BN214" si="157">AI47/AI$84</f>
        <v>1.5366712283139284E-3</v>
      </c>
      <c r="AJ214" s="159">
        <f t="shared" si="157"/>
        <v>1.5460629857127906E-3</v>
      </c>
      <c r="AK214" s="159">
        <f t="shared" si="157"/>
        <v>1.3207985077920602E-2</v>
      </c>
      <c r="AL214" s="159">
        <f t="shared" si="157"/>
        <v>4.5322847433280442E-3</v>
      </c>
      <c r="AM214" s="159">
        <f t="shared" si="157"/>
        <v>1.3780500494590961E-3</v>
      </c>
      <c r="AN214" s="159">
        <f t="shared" si="157"/>
        <v>7.9130835351365995E-3</v>
      </c>
      <c r="AO214" s="159">
        <f t="shared" si="157"/>
        <v>4.5864952591831354E-3</v>
      </c>
      <c r="AP214" s="159">
        <f t="shared" si="157"/>
        <v>9.1052838880852985E-3</v>
      </c>
      <c r="AQ214" s="159">
        <f t="shared" si="157"/>
        <v>4.7236091716811078E-3</v>
      </c>
      <c r="AR214" s="159">
        <f t="shared" si="157"/>
        <v>1.5046058321182432E-3</v>
      </c>
      <c r="AS214" s="159">
        <f t="shared" si="157"/>
        <v>4.0289262191139054E-3</v>
      </c>
      <c r="AT214" s="159">
        <f t="shared" si="157"/>
        <v>4.7948626772405557E-3</v>
      </c>
      <c r="AU214" s="159">
        <f t="shared" si="157"/>
        <v>1.732128240192353E-2</v>
      </c>
      <c r="AV214" s="159">
        <f t="shared" si="157"/>
        <v>4.6184851788169279E-2</v>
      </c>
      <c r="AW214" s="159">
        <f t="shared" si="157"/>
        <v>1.3413680236055889E-2</v>
      </c>
      <c r="AX214" s="159">
        <f t="shared" si="157"/>
        <v>7.1348984667104444E-3</v>
      </c>
      <c r="AY214" s="159">
        <f t="shared" si="157"/>
        <v>9.7051650044853409E-3</v>
      </c>
      <c r="AZ214" s="159">
        <f t="shared" si="157"/>
        <v>3.2947365934734602E-2</v>
      </c>
      <c r="BA214" s="159">
        <f t="shared" si="157"/>
        <v>2.3514451380376805E-2</v>
      </c>
      <c r="BB214" s="159">
        <f t="shared" si="157"/>
        <v>2.6158563575892717E-3</v>
      </c>
      <c r="BC214" s="159">
        <f t="shared" si="157"/>
        <v>2.5223488096287631E-3</v>
      </c>
      <c r="BD214" s="159">
        <f t="shared" si="157"/>
        <v>9.7831196637991977E-3</v>
      </c>
      <c r="BE214" s="159">
        <f t="shared" si="157"/>
        <v>2.3443210104223361E-3</v>
      </c>
      <c r="BF214" s="159">
        <f t="shared" si="157"/>
        <v>6.1608282300464603E-3</v>
      </c>
      <c r="BG214" s="159">
        <f t="shared" si="157"/>
        <v>3.4285929690177908E-3</v>
      </c>
      <c r="BH214" s="159">
        <f t="shared" si="157"/>
        <v>8.0019813825272443E-3</v>
      </c>
      <c r="BI214" s="159">
        <f t="shared" si="157"/>
        <v>2.2878667684529406E-4</v>
      </c>
      <c r="BJ214" s="159">
        <f t="shared" si="157"/>
        <v>3.9288961763922553E-3</v>
      </c>
      <c r="BK214" s="159">
        <f t="shared" si="157"/>
        <v>4.3253364686268473E-3</v>
      </c>
      <c r="BL214" s="159">
        <f t="shared" si="157"/>
        <v>4.968053809567009E-3</v>
      </c>
      <c r="BM214" s="159">
        <f t="shared" si="157"/>
        <v>1.4276971498513726E-2</v>
      </c>
      <c r="BN214" s="159">
        <f t="shared" si="157"/>
        <v>3.9454055742794009E-3</v>
      </c>
      <c r="BO214" s="159">
        <f t="shared" ref="BO214:CA214" si="158">BO47/BO$84</f>
        <v>2.7387577989022418E-3</v>
      </c>
      <c r="BP214" s="159">
        <f t="shared" si="158"/>
        <v>4.6855862295655422E-3</v>
      </c>
      <c r="BQ214" s="159">
        <f t="shared" si="158"/>
        <v>2.1547255912154934E-3</v>
      </c>
      <c r="BR214" s="159">
        <f t="shared" si="158"/>
        <v>4.9645775191214346E-3</v>
      </c>
      <c r="BS214" s="159">
        <f t="shared" si="158"/>
        <v>1.6693163229273774E-3</v>
      </c>
      <c r="BT214" s="159">
        <f t="shared" si="158"/>
        <v>5.4173455291455742E-3</v>
      </c>
      <c r="BU214" s="159">
        <f t="shared" si="158"/>
        <v>5.3015628390397874E-3</v>
      </c>
      <c r="BV214" s="159">
        <f t="shared" si="158"/>
        <v>1.411285040277803E-3</v>
      </c>
      <c r="BW214" s="159">
        <f t="shared" si="158"/>
        <v>4.4483858020871719E-3</v>
      </c>
      <c r="BX214" s="159">
        <f t="shared" si="158"/>
        <v>4.1736031306144658E-2</v>
      </c>
      <c r="BY214" s="159">
        <f t="shared" si="158"/>
        <v>9.7568254307010512E-4</v>
      </c>
      <c r="BZ214" s="159">
        <f t="shared" si="158"/>
        <v>5.5389752085326259E-3</v>
      </c>
      <c r="CA214" s="118">
        <f t="shared" si="158"/>
        <v>0</v>
      </c>
      <c r="CB214" s="18"/>
      <c r="CC214" s="271"/>
      <c r="CD214" s="147">
        <f t="shared" si="143"/>
        <v>2.7092631409514484E-2</v>
      </c>
      <c r="CE214" s="148">
        <f t="shared" si="143"/>
        <v>-3.6690455747742629E-4</v>
      </c>
      <c r="CF214" s="148">
        <f t="shared" si="143"/>
        <v>2.7573710403108801E-5</v>
      </c>
      <c r="CG214" s="119">
        <f t="shared" si="143"/>
        <v>2.9949927152402699E-3</v>
      </c>
      <c r="CH214" s="18"/>
      <c r="CI214" s="18"/>
      <c r="CJ214" s="18"/>
    </row>
    <row r="215" spans="1:88" ht="13.95" customHeight="1" x14ac:dyDescent="0.25">
      <c r="A215" s="14" t="s">
        <v>46</v>
      </c>
      <c r="B215" s="256"/>
      <c r="C215" s="22">
        <f t="shared" ref="C215:AH215" si="159">C48/C$84</f>
        <v>5.2829062901460786E-5</v>
      </c>
      <c r="D215" s="159">
        <f t="shared" si="159"/>
        <v>1.3719105187655031E-4</v>
      </c>
      <c r="E215" s="159">
        <f t="shared" si="159"/>
        <v>1.149494496110877E-4</v>
      </c>
      <c r="F215" s="159">
        <f t="shared" si="159"/>
        <v>2.3928321648939445E-3</v>
      </c>
      <c r="G215" s="159">
        <f t="shared" si="159"/>
        <v>1.0946983118728037E-3</v>
      </c>
      <c r="H215" s="159">
        <f t="shared" si="159"/>
        <v>1.4682739632442693E-3</v>
      </c>
      <c r="I215" s="159">
        <f t="shared" si="159"/>
        <v>4.5273765709532964E-3</v>
      </c>
      <c r="J215" s="159">
        <f t="shared" si="159"/>
        <v>5.4255378744092397E-3</v>
      </c>
      <c r="K215" s="159">
        <f t="shared" si="159"/>
        <v>1.5753251278425558E-3</v>
      </c>
      <c r="L215" s="159">
        <f t="shared" si="159"/>
        <v>4.2320265823612074E-4</v>
      </c>
      <c r="M215" s="159">
        <f t="shared" si="159"/>
        <v>1.2052186372400011E-3</v>
      </c>
      <c r="N215" s="159">
        <f t="shared" si="159"/>
        <v>1.2079908310794745E-3</v>
      </c>
      <c r="O215" s="159">
        <f t="shared" si="159"/>
        <v>1.8005484151798678E-3</v>
      </c>
      <c r="P215" s="159">
        <f t="shared" si="159"/>
        <v>2.1331186551075673E-2</v>
      </c>
      <c r="Q215" s="159">
        <f t="shared" si="159"/>
        <v>1.0712300320063863E-3</v>
      </c>
      <c r="R215" s="159">
        <f t="shared" si="159"/>
        <v>3.6011761375354472E-3</v>
      </c>
      <c r="S215" s="159">
        <f t="shared" si="159"/>
        <v>5.0021842878271994E-3</v>
      </c>
      <c r="T215" s="159">
        <f t="shared" si="159"/>
        <v>3.0901538326492009E-3</v>
      </c>
      <c r="U215" s="159">
        <f t="shared" si="159"/>
        <v>1.8084652522551855E-3</v>
      </c>
      <c r="V215" s="159">
        <f t="shared" si="159"/>
        <v>2.2795915895485273E-3</v>
      </c>
      <c r="W215" s="159">
        <f t="shared" si="159"/>
        <v>2.3465874335205392E-3</v>
      </c>
      <c r="X215" s="159">
        <f t="shared" si="159"/>
        <v>2.8341270356266523E-3</v>
      </c>
      <c r="Y215" s="159">
        <f t="shared" si="159"/>
        <v>3.6787935124472778E-3</v>
      </c>
      <c r="Z215" s="159">
        <f t="shared" si="159"/>
        <v>1.5032180444583597E-3</v>
      </c>
      <c r="AA215" s="159">
        <f t="shared" si="159"/>
        <v>2.0852934477349301E-3</v>
      </c>
      <c r="AB215" s="159">
        <f t="shared" si="159"/>
        <v>3.0165658343119235E-3</v>
      </c>
      <c r="AC215" s="159">
        <f t="shared" si="159"/>
        <v>1.2236024586226133E-3</v>
      </c>
      <c r="AD215" s="159">
        <f t="shared" si="159"/>
        <v>1.3601457410465168E-3</v>
      </c>
      <c r="AE215" s="159">
        <f t="shared" si="159"/>
        <v>2.8896883572365581E-3</v>
      </c>
      <c r="AF215" s="159">
        <f t="shared" si="159"/>
        <v>5.5460620037051812E-3</v>
      </c>
      <c r="AG215" s="159">
        <f t="shared" si="159"/>
        <v>1.9963781220948629E-3</v>
      </c>
      <c r="AH215" s="159">
        <f t="shared" si="159"/>
        <v>8.211021045119838E-4</v>
      </c>
      <c r="AI215" s="159">
        <f t="shared" ref="AI215:BN215" si="160">AI48/AI$84</f>
        <v>6.1428689024007981E-4</v>
      </c>
      <c r="AJ215" s="159">
        <f t="shared" si="160"/>
        <v>1.1934388832172274E-3</v>
      </c>
      <c r="AK215" s="159">
        <f t="shared" si="160"/>
        <v>7.100604565105883E-3</v>
      </c>
      <c r="AL215" s="159">
        <f t="shared" si="160"/>
        <v>1.0296880699717055E-2</v>
      </c>
      <c r="AM215" s="159">
        <f t="shared" si="160"/>
        <v>5.8780830535476837E-3</v>
      </c>
      <c r="AN215" s="159">
        <f t="shared" si="160"/>
        <v>2.4737467250050887E-3</v>
      </c>
      <c r="AO215" s="159">
        <f t="shared" si="160"/>
        <v>2.5826006391200698E-3</v>
      </c>
      <c r="AP215" s="159">
        <f t="shared" si="160"/>
        <v>5.5384633525188401E-3</v>
      </c>
      <c r="AQ215" s="159">
        <f t="shared" si="160"/>
        <v>5.2463764770895671E-3</v>
      </c>
      <c r="AR215" s="159">
        <f t="shared" si="160"/>
        <v>6.0532149267990005E-4</v>
      </c>
      <c r="AS215" s="159">
        <f t="shared" si="160"/>
        <v>5.5151095368424878E-2</v>
      </c>
      <c r="AT215" s="159">
        <f t="shared" si="160"/>
        <v>7.149840286662032E-3</v>
      </c>
      <c r="AU215" s="159">
        <f t="shared" si="160"/>
        <v>9.2667624320837583E-4</v>
      </c>
      <c r="AV215" s="159">
        <f t="shared" si="160"/>
        <v>3.8955445736641149E-2</v>
      </c>
      <c r="AW215" s="159">
        <f t="shared" si="160"/>
        <v>0.12817276376013748</v>
      </c>
      <c r="AX215" s="159">
        <f t="shared" si="160"/>
        <v>6.8214920904160314E-2</v>
      </c>
      <c r="AY215" s="159">
        <f t="shared" si="160"/>
        <v>2.1494477243535419E-2</v>
      </c>
      <c r="AZ215" s="159">
        <f t="shared" si="160"/>
        <v>3.335109177874479E-2</v>
      </c>
      <c r="BA215" s="159">
        <f t="shared" si="160"/>
        <v>3.6530123062235298E-2</v>
      </c>
      <c r="BB215" s="159">
        <f t="shared" si="160"/>
        <v>1.8868291865050027E-3</v>
      </c>
      <c r="BC215" s="159">
        <f t="shared" si="160"/>
        <v>2.7212613614586337E-2</v>
      </c>
      <c r="BD215" s="159">
        <f t="shared" si="160"/>
        <v>3.3469055998647926E-2</v>
      </c>
      <c r="BE215" s="159">
        <f t="shared" si="160"/>
        <v>5.0842846874930708E-3</v>
      </c>
      <c r="BF215" s="159">
        <f t="shared" si="160"/>
        <v>8.3158338815795558E-3</v>
      </c>
      <c r="BG215" s="159">
        <f t="shared" si="160"/>
        <v>6.953807968458417E-3</v>
      </c>
      <c r="BH215" s="159">
        <f t="shared" si="160"/>
        <v>2.4628057226587165E-3</v>
      </c>
      <c r="BI215" s="159">
        <f t="shared" si="160"/>
        <v>3.8219661110149993E-4</v>
      </c>
      <c r="BJ215" s="159">
        <f t="shared" si="160"/>
        <v>4.1950260547674711E-3</v>
      </c>
      <c r="BK215" s="159">
        <f t="shared" si="160"/>
        <v>4.0262705248195188E-3</v>
      </c>
      <c r="BL215" s="159">
        <f t="shared" si="160"/>
        <v>8.6554952199513566E-4</v>
      </c>
      <c r="BM215" s="159">
        <f t="shared" si="160"/>
        <v>3.7489904162399355E-3</v>
      </c>
      <c r="BN215" s="159">
        <f t="shared" si="160"/>
        <v>1.9050924882557116E-3</v>
      </c>
      <c r="BO215" s="159">
        <f t="shared" ref="BO215:CA215" si="161">BO48/BO$84</f>
        <v>2.6484968736945626E-3</v>
      </c>
      <c r="BP215" s="159">
        <f t="shared" si="161"/>
        <v>2.9459221573663297E-3</v>
      </c>
      <c r="BQ215" s="159">
        <f t="shared" si="161"/>
        <v>2.8648590307723885E-3</v>
      </c>
      <c r="BR215" s="159">
        <f t="shared" si="161"/>
        <v>1.8247035283684499E-3</v>
      </c>
      <c r="BS215" s="159">
        <f t="shared" si="161"/>
        <v>7.9198163528469755E-4</v>
      </c>
      <c r="BT215" s="159">
        <f t="shared" si="161"/>
        <v>3.4328488358751474E-3</v>
      </c>
      <c r="BU215" s="159">
        <f t="shared" si="161"/>
        <v>5.2303876526868381E-3</v>
      </c>
      <c r="BV215" s="159">
        <f t="shared" si="161"/>
        <v>1.5450069430588558E-2</v>
      </c>
      <c r="BW215" s="159">
        <f t="shared" si="161"/>
        <v>4.9187961051667872E-3</v>
      </c>
      <c r="BX215" s="159">
        <f t="shared" si="161"/>
        <v>1.3718795700041439E-2</v>
      </c>
      <c r="BY215" s="159">
        <f t="shared" si="161"/>
        <v>1.0607148000415538E-2</v>
      </c>
      <c r="BZ215" s="159">
        <f t="shared" si="161"/>
        <v>2.8459698538215827E-3</v>
      </c>
      <c r="CA215" s="118">
        <f t="shared" si="161"/>
        <v>0</v>
      </c>
      <c r="CB215" s="18"/>
      <c r="CC215" s="271"/>
      <c r="CD215" s="147">
        <f t="shared" si="143"/>
        <v>0</v>
      </c>
      <c r="CE215" s="148">
        <f t="shared" si="143"/>
        <v>1.0466418323638769E-3</v>
      </c>
      <c r="CF215" s="148">
        <f t="shared" si="143"/>
        <v>1.6686772248821053E-2</v>
      </c>
      <c r="CG215" s="119">
        <f t="shared" si="143"/>
        <v>1.5151213483804786E-2</v>
      </c>
      <c r="CH215" s="18"/>
      <c r="CI215" s="18"/>
      <c r="CJ215" s="18"/>
    </row>
    <row r="216" spans="1:88" ht="13.95" customHeight="1" x14ac:dyDescent="0.25">
      <c r="A216" s="8" t="s">
        <v>47</v>
      </c>
      <c r="B216" s="256"/>
      <c r="C216" s="22">
        <f t="shared" ref="C216:AH216" si="162">C49/C$84</f>
        <v>1.8769626580077417E-5</v>
      </c>
      <c r="D216" s="159">
        <f t="shared" si="162"/>
        <v>2.5083633107511128E-4</v>
      </c>
      <c r="E216" s="159">
        <f t="shared" si="162"/>
        <v>5.8387022024679466E-5</v>
      </c>
      <c r="F216" s="159">
        <f t="shared" si="162"/>
        <v>1.4290281979294015E-3</v>
      </c>
      <c r="G216" s="159">
        <f t="shared" si="162"/>
        <v>2.2470978710677819E-4</v>
      </c>
      <c r="H216" s="159">
        <f t="shared" si="162"/>
        <v>2.9355276261919E-4</v>
      </c>
      <c r="I216" s="159">
        <f t="shared" si="162"/>
        <v>8.6058996196179661E-4</v>
      </c>
      <c r="J216" s="159">
        <f t="shared" si="162"/>
        <v>1.5851204605645478E-3</v>
      </c>
      <c r="K216" s="159">
        <f t="shared" si="162"/>
        <v>1.6416501600418802E-4</v>
      </c>
      <c r="L216" s="159">
        <f t="shared" si="162"/>
        <v>7.7398799582537191E-5</v>
      </c>
      <c r="M216" s="159">
        <f t="shared" si="162"/>
        <v>2.179548040115267E-4</v>
      </c>
      <c r="N216" s="159">
        <f t="shared" si="162"/>
        <v>1.4448148265641141E-4</v>
      </c>
      <c r="O216" s="159">
        <f t="shared" si="162"/>
        <v>1.9815763069560018E-4</v>
      </c>
      <c r="P216" s="159">
        <f t="shared" si="162"/>
        <v>1.8175028659617751E-3</v>
      </c>
      <c r="Q216" s="159">
        <f t="shared" si="162"/>
        <v>1.1788867971293113E-4</v>
      </c>
      <c r="R216" s="159">
        <f t="shared" si="162"/>
        <v>7.1413194243471936E-4</v>
      </c>
      <c r="S216" s="159">
        <f t="shared" si="162"/>
        <v>3.4573546361268267E-3</v>
      </c>
      <c r="T216" s="159">
        <f t="shared" si="162"/>
        <v>8.4538121277549175E-4</v>
      </c>
      <c r="U216" s="159">
        <f t="shared" si="162"/>
        <v>2.0148412193904516E-4</v>
      </c>
      <c r="V216" s="159">
        <f t="shared" si="162"/>
        <v>3.2101955721173793E-4</v>
      </c>
      <c r="W216" s="159">
        <f t="shared" si="162"/>
        <v>1.7401207270304297E-4</v>
      </c>
      <c r="X216" s="159">
        <f t="shared" si="162"/>
        <v>9.4023158339241319E-4</v>
      </c>
      <c r="Y216" s="159">
        <f t="shared" si="162"/>
        <v>1.0024027365218111E-3</v>
      </c>
      <c r="Z216" s="159">
        <f t="shared" si="162"/>
        <v>7.8999335576445884E-5</v>
      </c>
      <c r="AA216" s="159">
        <f t="shared" si="162"/>
        <v>9.083282381826629E-5</v>
      </c>
      <c r="AB216" s="159">
        <f t="shared" si="162"/>
        <v>6.9151719201362473E-4</v>
      </c>
      <c r="AC216" s="159">
        <f t="shared" si="162"/>
        <v>1.5973012981612805E-4</v>
      </c>
      <c r="AD216" s="159">
        <f t="shared" si="162"/>
        <v>3.8879883037562952E-4</v>
      </c>
      <c r="AE216" s="159">
        <f t="shared" si="162"/>
        <v>1.174167266180823E-4</v>
      </c>
      <c r="AF216" s="159">
        <f t="shared" si="162"/>
        <v>4.0450931750348634E-4</v>
      </c>
      <c r="AG216" s="159">
        <f t="shared" si="162"/>
        <v>6.5301516133513759E-4</v>
      </c>
      <c r="AH216" s="159">
        <f t="shared" si="162"/>
        <v>1.5547928554811153E-4</v>
      </c>
      <c r="AI216" s="159">
        <f t="shared" ref="AI216:BN216" si="163">AI49/AI$84</f>
        <v>1.3265180590896561E-4</v>
      </c>
      <c r="AJ216" s="159">
        <f t="shared" si="163"/>
        <v>3.5542435952791635E-4</v>
      </c>
      <c r="AK216" s="159">
        <f t="shared" si="163"/>
        <v>2.9584341716244068E-3</v>
      </c>
      <c r="AL216" s="159">
        <f t="shared" si="163"/>
        <v>3.2912476222043672E-3</v>
      </c>
      <c r="AM216" s="159">
        <f t="shared" si="163"/>
        <v>1.9839455360937991E-3</v>
      </c>
      <c r="AN216" s="159">
        <f t="shared" si="163"/>
        <v>1.2608646330208744E-3</v>
      </c>
      <c r="AO216" s="159">
        <f t="shared" si="163"/>
        <v>7.4361103791948562E-3</v>
      </c>
      <c r="AP216" s="159">
        <f t="shared" si="163"/>
        <v>7.6582410888617559E-4</v>
      </c>
      <c r="AQ216" s="159">
        <f t="shared" si="163"/>
        <v>9.7377183176947514E-4</v>
      </c>
      <c r="AR216" s="159">
        <f t="shared" si="163"/>
        <v>2.9945625702044754E-4</v>
      </c>
      <c r="AS216" s="159">
        <f t="shared" si="163"/>
        <v>1.8254580584132037E-2</v>
      </c>
      <c r="AT216" s="159">
        <f t="shared" si="163"/>
        <v>1.3902843586912569E-3</v>
      </c>
      <c r="AU216" s="159">
        <f t="shared" si="163"/>
        <v>0.11474594088413298</v>
      </c>
      <c r="AV216" s="159">
        <f t="shared" si="163"/>
        <v>8.8735680727659218E-3</v>
      </c>
      <c r="AW216" s="159">
        <f t="shared" si="163"/>
        <v>1.7311878119394133E-2</v>
      </c>
      <c r="AX216" s="159">
        <f t="shared" si="163"/>
        <v>0.14672675512739761</v>
      </c>
      <c r="AY216" s="159">
        <f t="shared" si="163"/>
        <v>1.1569642918897373E-2</v>
      </c>
      <c r="AZ216" s="159">
        <f t="shared" si="163"/>
        <v>1.6937992905083576E-2</v>
      </c>
      <c r="BA216" s="159">
        <f t="shared" si="163"/>
        <v>9.2009226799359238E-3</v>
      </c>
      <c r="BB216" s="159">
        <f t="shared" si="163"/>
        <v>7.956092238977178E-3</v>
      </c>
      <c r="BC216" s="159">
        <f t="shared" si="163"/>
        <v>1.4405242447080031E-3</v>
      </c>
      <c r="BD216" s="159">
        <f t="shared" si="163"/>
        <v>3.6652783031500217E-3</v>
      </c>
      <c r="BE216" s="159">
        <f t="shared" si="163"/>
        <v>3.2527547912633396E-4</v>
      </c>
      <c r="BF216" s="159">
        <f t="shared" si="163"/>
        <v>8.4083446468893245E-4</v>
      </c>
      <c r="BG216" s="159">
        <f t="shared" si="163"/>
        <v>2.5583139587583904E-3</v>
      </c>
      <c r="BH216" s="159">
        <f t="shared" si="163"/>
        <v>2.588270485745664E-4</v>
      </c>
      <c r="BI216" s="159">
        <f t="shared" si="163"/>
        <v>0</v>
      </c>
      <c r="BJ216" s="159">
        <f t="shared" si="163"/>
        <v>3.7010682858195883E-4</v>
      </c>
      <c r="BK216" s="159">
        <f t="shared" si="163"/>
        <v>1.570757167162777E-4</v>
      </c>
      <c r="BL216" s="159">
        <f t="shared" si="163"/>
        <v>2.5764310986119929E-4</v>
      </c>
      <c r="BM216" s="159">
        <f t="shared" si="163"/>
        <v>9.5889641046136942E-4</v>
      </c>
      <c r="BN216" s="159">
        <f t="shared" si="163"/>
        <v>1.0300308993780627E-5</v>
      </c>
      <c r="BO216" s="159">
        <f t="shared" ref="BO216:CA216" si="164">BO49/BO$84</f>
        <v>9.0039619961986082E-4</v>
      </c>
      <c r="BP216" s="159">
        <f t="shared" si="164"/>
        <v>4.180713549938736E-5</v>
      </c>
      <c r="BQ216" s="159">
        <f t="shared" si="164"/>
        <v>3.6776991766295859E-3</v>
      </c>
      <c r="BR216" s="159">
        <f t="shared" si="164"/>
        <v>3.8720713696314697E-4</v>
      </c>
      <c r="BS216" s="159">
        <f t="shared" si="164"/>
        <v>1.8806604756843533E-5</v>
      </c>
      <c r="BT216" s="159">
        <f t="shared" si="164"/>
        <v>1.1534313343032462E-3</v>
      </c>
      <c r="BU216" s="159">
        <f t="shared" si="164"/>
        <v>1.0829502312452149E-3</v>
      </c>
      <c r="BV216" s="159">
        <f t="shared" si="164"/>
        <v>1.2394720453707229E-4</v>
      </c>
      <c r="BW216" s="159">
        <f t="shared" si="164"/>
        <v>7.429930174610197E-5</v>
      </c>
      <c r="BX216" s="159">
        <f t="shared" si="164"/>
        <v>1.8751376732261456E-5</v>
      </c>
      <c r="BY216" s="159">
        <f t="shared" si="164"/>
        <v>6.4797804840604085E-5</v>
      </c>
      <c r="BZ216" s="159">
        <f t="shared" si="164"/>
        <v>1.480283509910944E-4</v>
      </c>
      <c r="CA216" s="118">
        <f t="shared" si="164"/>
        <v>0</v>
      </c>
      <c r="CB216" s="18"/>
      <c r="CC216" s="271"/>
      <c r="CD216" s="147">
        <f t="shared" si="143"/>
        <v>4.3990198189650852E-4</v>
      </c>
      <c r="CE216" s="148">
        <f t="shared" si="143"/>
        <v>9.1801995993364576E-5</v>
      </c>
      <c r="CF216" s="148">
        <f t="shared" si="143"/>
        <v>-2.0378717518715509E-6</v>
      </c>
      <c r="CG216" s="119">
        <f t="shared" si="143"/>
        <v>6.0821323421612992E-4</v>
      </c>
      <c r="CH216" s="18"/>
      <c r="CI216" s="18"/>
      <c r="CJ216" s="18"/>
    </row>
    <row r="217" spans="1:88" ht="13.95" customHeight="1" x14ac:dyDescent="0.25">
      <c r="A217" s="8" t="s">
        <v>48</v>
      </c>
      <c r="B217" s="256"/>
      <c r="C217" s="22">
        <f t="shared" ref="C217:AH217" si="165">C50/C$84</f>
        <v>6.0865301364094035E-3</v>
      </c>
      <c r="D217" s="159">
        <f t="shared" si="165"/>
        <v>7.7386526969858019E-3</v>
      </c>
      <c r="E217" s="159">
        <f t="shared" si="165"/>
        <v>7.4498190914614451E-3</v>
      </c>
      <c r="F217" s="159">
        <f t="shared" si="165"/>
        <v>3.8918708355239529E-3</v>
      </c>
      <c r="G217" s="159">
        <f t="shared" si="165"/>
        <v>8.517570977952164E-3</v>
      </c>
      <c r="H217" s="159">
        <f t="shared" si="165"/>
        <v>5.7996445376827148E-3</v>
      </c>
      <c r="I217" s="159">
        <f t="shared" si="165"/>
        <v>7.7783883290824139E-3</v>
      </c>
      <c r="J217" s="159">
        <f t="shared" si="165"/>
        <v>3.6931697533220558E-3</v>
      </c>
      <c r="K217" s="159">
        <f t="shared" si="165"/>
        <v>9.4318420311783422E-3</v>
      </c>
      <c r="L217" s="159">
        <f t="shared" si="165"/>
        <v>4.518498796378034E-3</v>
      </c>
      <c r="M217" s="159">
        <f t="shared" si="165"/>
        <v>7.7907741990160956E-3</v>
      </c>
      <c r="N217" s="159">
        <f t="shared" si="165"/>
        <v>6.1048923000478362E-3</v>
      </c>
      <c r="O217" s="159">
        <f t="shared" si="165"/>
        <v>4.3880005469353325E-3</v>
      </c>
      <c r="P217" s="159">
        <f t="shared" si="165"/>
        <v>9.7083452554110067E-3</v>
      </c>
      <c r="Q217" s="159">
        <f t="shared" si="165"/>
        <v>7.4918362355293104E-3</v>
      </c>
      <c r="R217" s="159">
        <f t="shared" si="165"/>
        <v>4.22460648236689E-3</v>
      </c>
      <c r="S217" s="159">
        <f t="shared" si="165"/>
        <v>4.0791953672727893E-3</v>
      </c>
      <c r="T217" s="159">
        <f t="shared" si="165"/>
        <v>5.03160548145885E-3</v>
      </c>
      <c r="U217" s="159">
        <f t="shared" si="165"/>
        <v>4.8618951235910712E-3</v>
      </c>
      <c r="V217" s="159">
        <f t="shared" si="165"/>
        <v>7.3396077991758606E-3</v>
      </c>
      <c r="W217" s="159">
        <f t="shared" si="165"/>
        <v>6.3259071149631401E-3</v>
      </c>
      <c r="X217" s="159">
        <f t="shared" si="165"/>
        <v>4.6036389566379982E-3</v>
      </c>
      <c r="Y217" s="159">
        <f t="shared" si="165"/>
        <v>4.4402436868588935E-3</v>
      </c>
      <c r="Z217" s="159">
        <f t="shared" si="165"/>
        <v>4.4322541450292699E-3</v>
      </c>
      <c r="AA217" s="159">
        <f t="shared" si="165"/>
        <v>4.9623028351834199E-3</v>
      </c>
      <c r="AB217" s="159">
        <f t="shared" si="165"/>
        <v>7.1454383179166345E-3</v>
      </c>
      <c r="AC217" s="159">
        <f t="shared" si="165"/>
        <v>4.1339840394722964E-3</v>
      </c>
      <c r="AD217" s="159">
        <f t="shared" si="165"/>
        <v>4.6562541806582872E-3</v>
      </c>
      <c r="AE217" s="159">
        <f t="shared" si="165"/>
        <v>5.6421001854300174E-3</v>
      </c>
      <c r="AF217" s="159">
        <f t="shared" si="165"/>
        <v>4.3090157583820128E-3</v>
      </c>
      <c r="AG217" s="159">
        <f t="shared" si="165"/>
        <v>3.5395012971561708E-3</v>
      </c>
      <c r="AH217" s="159">
        <f t="shared" si="165"/>
        <v>8.8142221199867202E-3</v>
      </c>
      <c r="AI217" s="159">
        <f t="shared" ref="AI217:BN217" si="166">AI50/AI$84</f>
        <v>5.7185648382947225E-3</v>
      </c>
      <c r="AJ217" s="159">
        <f t="shared" si="166"/>
        <v>5.1028609476857223E-3</v>
      </c>
      <c r="AK217" s="159">
        <f t="shared" si="166"/>
        <v>1.9612601975483732E-2</v>
      </c>
      <c r="AL217" s="159">
        <f t="shared" si="166"/>
        <v>8.3668232043423874E-3</v>
      </c>
      <c r="AM217" s="159">
        <f t="shared" si="166"/>
        <v>6.0501433234557995E-3</v>
      </c>
      <c r="AN217" s="159">
        <f t="shared" si="166"/>
        <v>6.1471079804879753E-3</v>
      </c>
      <c r="AO217" s="159">
        <f t="shared" si="166"/>
        <v>6.4416886289173159E-3</v>
      </c>
      <c r="AP217" s="159">
        <f t="shared" si="166"/>
        <v>6.140194729873932E-3</v>
      </c>
      <c r="AQ217" s="159">
        <f t="shared" si="166"/>
        <v>4.0493574047713891E-3</v>
      </c>
      <c r="AR217" s="159">
        <f t="shared" si="166"/>
        <v>4.3687653063413309E-3</v>
      </c>
      <c r="AS217" s="159">
        <f t="shared" si="166"/>
        <v>9.8976274204283406E-3</v>
      </c>
      <c r="AT217" s="159">
        <f t="shared" si="166"/>
        <v>1.8196541496412661E-2</v>
      </c>
      <c r="AU217" s="159">
        <f t="shared" si="166"/>
        <v>6.5866541542454601E-3</v>
      </c>
      <c r="AV217" s="159">
        <f t="shared" si="166"/>
        <v>8.8275519774919792E-3</v>
      </c>
      <c r="AW217" s="159">
        <f t="shared" si="166"/>
        <v>4.9130200695371743E-3</v>
      </c>
      <c r="AX217" s="159">
        <f t="shared" si="166"/>
        <v>8.2397322821681617E-3</v>
      </c>
      <c r="AY217" s="159">
        <f t="shared" si="166"/>
        <v>0.11984353727697171</v>
      </c>
      <c r="AZ217" s="159">
        <f t="shared" si="166"/>
        <v>1.744473062122253E-2</v>
      </c>
      <c r="BA217" s="159">
        <f t="shared" si="166"/>
        <v>8.9618042830026626E-2</v>
      </c>
      <c r="BB217" s="159">
        <f t="shared" si="166"/>
        <v>2.4762079624212122E-2</v>
      </c>
      <c r="BC217" s="159">
        <f t="shared" si="166"/>
        <v>4.9137899223136109E-3</v>
      </c>
      <c r="BD217" s="159">
        <f t="shared" si="166"/>
        <v>1.2077823656131937E-2</v>
      </c>
      <c r="BE217" s="159">
        <f t="shared" si="166"/>
        <v>6.423664911813569E-3</v>
      </c>
      <c r="BF217" s="159">
        <f t="shared" si="166"/>
        <v>1.0259254130913423E-2</v>
      </c>
      <c r="BG217" s="159">
        <f t="shared" si="166"/>
        <v>8.0056096087482119E-3</v>
      </c>
      <c r="BH217" s="159">
        <f t="shared" si="166"/>
        <v>1.2679350087642144E-2</v>
      </c>
      <c r="BI217" s="159">
        <f t="shared" si="166"/>
        <v>1.3816855767101141E-2</v>
      </c>
      <c r="BJ217" s="159">
        <f t="shared" si="166"/>
        <v>5.0882122690111024E-3</v>
      </c>
      <c r="BK217" s="159">
        <f t="shared" si="166"/>
        <v>6.0162332310008367E-3</v>
      </c>
      <c r="BL217" s="159">
        <f t="shared" si="166"/>
        <v>7.5926093924823853E-3</v>
      </c>
      <c r="BM217" s="159">
        <f t="shared" si="166"/>
        <v>9.3996411294015765E-3</v>
      </c>
      <c r="BN217" s="159">
        <f t="shared" si="166"/>
        <v>1.0061001063022866E-2</v>
      </c>
      <c r="BO217" s="159">
        <f t="shared" ref="BO217:CA217" si="167">BO50/BO$84</f>
        <v>7.7947922871117303E-3</v>
      </c>
      <c r="BP217" s="159">
        <f t="shared" si="167"/>
        <v>6.5555774347992651E-3</v>
      </c>
      <c r="BQ217" s="159">
        <f t="shared" si="167"/>
        <v>8.904086005873682E-3</v>
      </c>
      <c r="BR217" s="159">
        <f t="shared" si="167"/>
        <v>6.5691529817607048E-3</v>
      </c>
      <c r="BS217" s="159">
        <f t="shared" si="167"/>
        <v>7.9543170473542861E-3</v>
      </c>
      <c r="BT217" s="159">
        <f t="shared" si="167"/>
        <v>1.4181899958235615E-2</v>
      </c>
      <c r="BU217" s="159">
        <f t="shared" si="167"/>
        <v>1.3155546944236712E-2</v>
      </c>
      <c r="BV217" s="159">
        <f t="shared" si="167"/>
        <v>2.8467045159105888E-2</v>
      </c>
      <c r="BW217" s="159">
        <f t="shared" si="167"/>
        <v>9.314876110472577E-3</v>
      </c>
      <c r="BX217" s="159">
        <f t="shared" si="167"/>
        <v>3.6814516120723423E-2</v>
      </c>
      <c r="BY217" s="159">
        <f t="shared" si="167"/>
        <v>5.7590535240271299E-3</v>
      </c>
      <c r="BZ217" s="159">
        <f t="shared" si="167"/>
        <v>6.697231146242026E-3</v>
      </c>
      <c r="CA217" s="118">
        <f t="shared" si="167"/>
        <v>0</v>
      </c>
      <c r="CB217" s="18"/>
      <c r="CC217" s="271"/>
      <c r="CD217" s="147">
        <f t="shared" si="143"/>
        <v>2.9416821727857465E-2</v>
      </c>
      <c r="CE217" s="148">
        <f t="shared" si="143"/>
        <v>0</v>
      </c>
      <c r="CF217" s="148">
        <f t="shared" si="143"/>
        <v>-1.4191307464286568E-8</v>
      </c>
      <c r="CG217" s="119">
        <f t="shared" si="143"/>
        <v>2.869235366740427E-3</v>
      </c>
      <c r="CH217" s="18"/>
      <c r="CI217" s="18"/>
      <c r="CJ217" s="18"/>
    </row>
    <row r="218" spans="1:88" ht="13.95" customHeight="1" x14ac:dyDescent="0.25">
      <c r="A218" s="8" t="s">
        <v>49</v>
      </c>
      <c r="B218" s="256"/>
      <c r="C218" s="22">
        <f t="shared" ref="C218:AH218" si="168">C51/C$84</f>
        <v>9.8234548947404975E-3</v>
      </c>
      <c r="D218" s="159">
        <f t="shared" si="168"/>
        <v>9.7545531312098169E-4</v>
      </c>
      <c r="E218" s="159">
        <f t="shared" si="168"/>
        <v>1.6384858055675674E-3</v>
      </c>
      <c r="F218" s="159">
        <f t="shared" si="168"/>
        <v>1.6760754624222654E-3</v>
      </c>
      <c r="G218" s="159">
        <f t="shared" si="168"/>
        <v>1.1148124790731392E-3</v>
      </c>
      <c r="H218" s="159">
        <f t="shared" si="168"/>
        <v>3.4776265716785642E-4</v>
      </c>
      <c r="I218" s="159">
        <f t="shared" si="168"/>
        <v>3.8968399205567382E-4</v>
      </c>
      <c r="J218" s="159">
        <f t="shared" si="168"/>
        <v>1.9189382875012387E-4</v>
      </c>
      <c r="K218" s="159">
        <f t="shared" si="168"/>
        <v>4.8125781325777408E-4</v>
      </c>
      <c r="L218" s="159">
        <f t="shared" si="168"/>
        <v>5.6476588052733188E-4</v>
      </c>
      <c r="M218" s="159">
        <f t="shared" si="168"/>
        <v>4.2374738246705144E-4</v>
      </c>
      <c r="N218" s="159">
        <f t="shared" si="168"/>
        <v>8.0428025345402349E-4</v>
      </c>
      <c r="O218" s="159">
        <f t="shared" si="168"/>
        <v>4.8931251262558054E-4</v>
      </c>
      <c r="P218" s="159">
        <f t="shared" si="168"/>
        <v>6.3396230919857154E-4</v>
      </c>
      <c r="Q218" s="159">
        <f t="shared" si="168"/>
        <v>5.0849246251027382E-4</v>
      </c>
      <c r="R218" s="159">
        <f t="shared" si="168"/>
        <v>6.6761372677591468E-4</v>
      </c>
      <c r="S218" s="159">
        <f t="shared" si="168"/>
        <v>6.4172917418504872E-4</v>
      </c>
      <c r="T218" s="159">
        <f t="shared" si="168"/>
        <v>6.6310546821648369E-4</v>
      </c>
      <c r="U218" s="159">
        <f t="shared" si="168"/>
        <v>5.9211293589360664E-4</v>
      </c>
      <c r="V218" s="159">
        <f t="shared" si="168"/>
        <v>3.2665684811656503E-4</v>
      </c>
      <c r="W218" s="159">
        <f t="shared" si="168"/>
        <v>5.8164028216485465E-4</v>
      </c>
      <c r="X218" s="159">
        <f t="shared" si="168"/>
        <v>3.0442727276470656E-4</v>
      </c>
      <c r="Y218" s="159">
        <f t="shared" si="168"/>
        <v>4.6103684955526995E-4</v>
      </c>
      <c r="Z218" s="159">
        <f t="shared" si="168"/>
        <v>5.2549078547667295E-4</v>
      </c>
      <c r="AA218" s="159">
        <f t="shared" si="168"/>
        <v>3.7936944789472766E-4</v>
      </c>
      <c r="AB218" s="159">
        <f t="shared" si="168"/>
        <v>4.8815462684257468E-4</v>
      </c>
      <c r="AC218" s="159">
        <f t="shared" si="168"/>
        <v>4.3757279685964501E-4</v>
      </c>
      <c r="AD218" s="159">
        <f t="shared" si="168"/>
        <v>5.3619512117512554E-4</v>
      </c>
      <c r="AE218" s="159">
        <f t="shared" si="168"/>
        <v>5.6966275377022123E-4</v>
      </c>
      <c r="AF218" s="159">
        <f t="shared" si="168"/>
        <v>1.1017783862846706E-3</v>
      </c>
      <c r="AG218" s="159">
        <f t="shared" si="168"/>
        <v>1.1234064012622103E-3</v>
      </c>
      <c r="AH218" s="159">
        <f t="shared" si="168"/>
        <v>1.4391505623969113E-3</v>
      </c>
      <c r="AI218" s="159">
        <f t="shared" ref="AI218:BN218" si="169">AI51/AI$84</f>
        <v>2.7795096207993671E-3</v>
      </c>
      <c r="AJ218" s="159">
        <f t="shared" si="169"/>
        <v>1.3880017832430206E-3</v>
      </c>
      <c r="AK218" s="159">
        <f t="shared" si="169"/>
        <v>1.7152010602734975E-3</v>
      </c>
      <c r="AL218" s="159">
        <f t="shared" si="169"/>
        <v>1.7646774898081796E-3</v>
      </c>
      <c r="AM218" s="159">
        <f t="shared" si="169"/>
        <v>7.711093026949472E-4</v>
      </c>
      <c r="AN218" s="159">
        <f t="shared" si="169"/>
        <v>2.3823082977465476E-3</v>
      </c>
      <c r="AO218" s="159">
        <f t="shared" si="169"/>
        <v>1.4242359985055571E-3</v>
      </c>
      <c r="AP218" s="159">
        <f t="shared" si="169"/>
        <v>1.6968202776882141E-3</v>
      </c>
      <c r="AQ218" s="159">
        <f t="shared" si="169"/>
        <v>1.0700745629865626E-3</v>
      </c>
      <c r="AR218" s="159">
        <f t="shared" si="169"/>
        <v>7.7875630238032078E-4</v>
      </c>
      <c r="AS218" s="159">
        <f t="shared" si="169"/>
        <v>3.2918869605000638E-4</v>
      </c>
      <c r="AT218" s="159">
        <f t="shared" si="169"/>
        <v>3.6055560791180947E-4</v>
      </c>
      <c r="AU218" s="159">
        <f t="shared" si="169"/>
        <v>2.801321434112443E-4</v>
      </c>
      <c r="AV218" s="159">
        <f t="shared" si="169"/>
        <v>2.4770070983642364E-4</v>
      </c>
      <c r="AW218" s="159">
        <f t="shared" si="169"/>
        <v>2.3419149195440895E-4</v>
      </c>
      <c r="AX218" s="159">
        <f t="shared" si="169"/>
        <v>1.5870858309035668E-4</v>
      </c>
      <c r="AY218" s="159">
        <f t="shared" si="169"/>
        <v>7.107244208740141E-3</v>
      </c>
      <c r="AZ218" s="159">
        <f t="shared" si="169"/>
        <v>6.0761622122192507E-2</v>
      </c>
      <c r="BA218" s="159">
        <f t="shared" si="169"/>
        <v>3.1387120635340521E-2</v>
      </c>
      <c r="BB218" s="159">
        <f t="shared" si="169"/>
        <v>1.4887468590504135E-3</v>
      </c>
      <c r="BC218" s="159">
        <f t="shared" si="169"/>
        <v>2.2611329472130824E-4</v>
      </c>
      <c r="BD218" s="159">
        <f t="shared" si="169"/>
        <v>2.9818206973704678E-4</v>
      </c>
      <c r="BE218" s="159">
        <f t="shared" si="169"/>
        <v>6.8333089061243428E-4</v>
      </c>
      <c r="BF218" s="159">
        <f t="shared" si="169"/>
        <v>1.0666736516382412E-3</v>
      </c>
      <c r="BG218" s="159">
        <f t="shared" si="169"/>
        <v>8.7453361309616112E-4</v>
      </c>
      <c r="BH218" s="159">
        <f t="shared" si="169"/>
        <v>1.0120227158797925E-4</v>
      </c>
      <c r="BI218" s="159">
        <f t="shared" si="169"/>
        <v>4.5159634326502162E-4</v>
      </c>
      <c r="BJ218" s="159">
        <f t="shared" si="169"/>
        <v>2.4529413505435587E-3</v>
      </c>
      <c r="BK218" s="159">
        <f t="shared" si="169"/>
        <v>6.3880050139812942E-4</v>
      </c>
      <c r="BL218" s="159">
        <f t="shared" si="169"/>
        <v>1.3651974443047654E-3</v>
      </c>
      <c r="BM218" s="159">
        <f t="shared" si="169"/>
        <v>1.5370652544983722E-3</v>
      </c>
      <c r="BN218" s="159">
        <f t="shared" si="169"/>
        <v>1.3976667399305186E-3</v>
      </c>
      <c r="BO218" s="159">
        <f t="shared" ref="BO218:CA218" si="170">BO51/BO$84</f>
        <v>2.7347005360645353E-3</v>
      </c>
      <c r="BP218" s="159">
        <f t="shared" si="170"/>
        <v>1.4441107345289279E-3</v>
      </c>
      <c r="BQ218" s="159">
        <f t="shared" si="170"/>
        <v>6.3644185852303973E-4</v>
      </c>
      <c r="BR218" s="159">
        <f t="shared" si="170"/>
        <v>6.076585489444877E-4</v>
      </c>
      <c r="BS218" s="159">
        <f t="shared" si="170"/>
        <v>1.0092877886172696E-3</v>
      </c>
      <c r="BT218" s="159">
        <f t="shared" si="170"/>
        <v>4.597753902216266E-4</v>
      </c>
      <c r="BU218" s="159">
        <f t="shared" si="170"/>
        <v>2.9962776366081662E-3</v>
      </c>
      <c r="BV218" s="159">
        <f t="shared" si="170"/>
        <v>3.1188341304247056E-4</v>
      </c>
      <c r="BW218" s="159">
        <f t="shared" si="170"/>
        <v>1.6888276869282686E-3</v>
      </c>
      <c r="BX218" s="159">
        <f t="shared" si="170"/>
        <v>7.9085476811449965E-4</v>
      </c>
      <c r="BY218" s="159">
        <f t="shared" si="170"/>
        <v>4.6510259231346445E-4</v>
      </c>
      <c r="BZ218" s="159">
        <f t="shared" si="170"/>
        <v>1.1751398079815944E-4</v>
      </c>
      <c r="CA218" s="118">
        <f t="shared" si="170"/>
        <v>0</v>
      </c>
      <c r="CB218" s="18"/>
      <c r="CC218" s="271"/>
      <c r="CD218" s="147">
        <f t="shared" si="143"/>
        <v>1.6438131938414341E-2</v>
      </c>
      <c r="CE218" s="148">
        <f t="shared" si="143"/>
        <v>2.4243157795212299E-5</v>
      </c>
      <c r="CF218" s="148">
        <f t="shared" si="143"/>
        <v>-5.6765229857146267E-9</v>
      </c>
      <c r="CG218" s="119">
        <f t="shared" si="143"/>
        <v>1.8265450822372046E-3</v>
      </c>
      <c r="CH218" s="18"/>
      <c r="CI218" s="18"/>
      <c r="CJ218" s="18"/>
    </row>
    <row r="219" spans="1:88" ht="13.95" customHeight="1" x14ac:dyDescent="0.25">
      <c r="A219" s="8" t="s">
        <v>50</v>
      </c>
      <c r="B219" s="256"/>
      <c r="C219" s="22">
        <f t="shared" ref="C219:AH219" si="171">C52/C$84</f>
        <v>8.0978642692193148E-5</v>
      </c>
      <c r="D219" s="159">
        <f t="shared" si="171"/>
        <v>4.578827380553642E-5</v>
      </c>
      <c r="E219" s="159">
        <f t="shared" si="171"/>
        <v>1.5144133837651237E-4</v>
      </c>
      <c r="F219" s="159">
        <f t="shared" si="171"/>
        <v>2.3276677779325548E-4</v>
      </c>
      <c r="G219" s="159">
        <f t="shared" si="171"/>
        <v>1.4824886195802817E-4</v>
      </c>
      <c r="H219" s="159">
        <f t="shared" si="171"/>
        <v>3.6332996623929378E-4</v>
      </c>
      <c r="I219" s="159">
        <f t="shared" si="171"/>
        <v>6.7577593079705986E-4</v>
      </c>
      <c r="J219" s="159">
        <f t="shared" si="171"/>
        <v>1.0552950657998616E-3</v>
      </c>
      <c r="K219" s="159">
        <f t="shared" si="171"/>
        <v>4.8362354689036142E-4</v>
      </c>
      <c r="L219" s="159">
        <f t="shared" si="171"/>
        <v>4.6974602859026899E-4</v>
      </c>
      <c r="M219" s="159">
        <f t="shared" si="171"/>
        <v>4.0270480174317509E-4</v>
      </c>
      <c r="N219" s="159">
        <f t="shared" si="171"/>
        <v>1.7492205590449229E-4</v>
      </c>
      <c r="O219" s="159">
        <f t="shared" si="171"/>
        <v>8.1644998222662888E-5</v>
      </c>
      <c r="P219" s="159">
        <f t="shared" si="171"/>
        <v>1.7361778198247334E-4</v>
      </c>
      <c r="Q219" s="159">
        <f t="shared" si="171"/>
        <v>5.0113328650533003E-5</v>
      </c>
      <c r="R219" s="159">
        <f t="shared" si="171"/>
        <v>2.2387634863415797E-4</v>
      </c>
      <c r="S219" s="159">
        <f t="shared" si="171"/>
        <v>7.6388137624172018E-4</v>
      </c>
      <c r="T219" s="159">
        <f t="shared" si="171"/>
        <v>4.1887181718370191E-4</v>
      </c>
      <c r="U219" s="159">
        <f t="shared" si="171"/>
        <v>3.9969370260388529E-4</v>
      </c>
      <c r="V219" s="159">
        <f t="shared" si="171"/>
        <v>9.3595135565571676E-4</v>
      </c>
      <c r="W219" s="159">
        <f t="shared" si="171"/>
        <v>2.6146715248830604E-4</v>
      </c>
      <c r="X219" s="159">
        <f t="shared" si="171"/>
        <v>2.4064521542986223E-4</v>
      </c>
      <c r="Y219" s="159">
        <f t="shared" si="171"/>
        <v>4.6787777403158466E-4</v>
      </c>
      <c r="Z219" s="159">
        <f t="shared" si="171"/>
        <v>4.8969486916992423E-4</v>
      </c>
      <c r="AA219" s="159">
        <f t="shared" si="171"/>
        <v>5.6522186236229223E-4</v>
      </c>
      <c r="AB219" s="159">
        <f t="shared" si="171"/>
        <v>7.9904805201891935E-4</v>
      </c>
      <c r="AC219" s="159">
        <f t="shared" si="171"/>
        <v>2.6746088715317391E-4</v>
      </c>
      <c r="AD219" s="159">
        <f t="shared" si="171"/>
        <v>1.9680885118168303E-4</v>
      </c>
      <c r="AE219" s="159">
        <f t="shared" si="171"/>
        <v>5.3852293198538117E-4</v>
      </c>
      <c r="AF219" s="159">
        <f t="shared" si="171"/>
        <v>4.8366304404878729E-5</v>
      </c>
      <c r="AG219" s="159">
        <f t="shared" si="171"/>
        <v>2.1053159840607994E-4</v>
      </c>
      <c r="AH219" s="159">
        <f t="shared" si="171"/>
        <v>5.9776400502928957E-4</v>
      </c>
      <c r="AI219" s="159">
        <f t="shared" ref="AI219:BN219" si="172">AI52/AI$84</f>
        <v>2.4531498353027887E-4</v>
      </c>
      <c r="AJ219" s="159">
        <f t="shared" si="172"/>
        <v>2.8452115719013448E-4</v>
      </c>
      <c r="AK219" s="159">
        <f t="shared" si="172"/>
        <v>1.003528196077781E-3</v>
      </c>
      <c r="AL219" s="159">
        <f t="shared" si="172"/>
        <v>8.8136251962542039E-4</v>
      </c>
      <c r="AM219" s="159">
        <f t="shared" si="172"/>
        <v>3.8081439666043572E-4</v>
      </c>
      <c r="AN219" s="159">
        <f t="shared" si="172"/>
        <v>3.1335289787547322E-4</v>
      </c>
      <c r="AO219" s="159">
        <f t="shared" si="172"/>
        <v>1.9528351260359789E-4</v>
      </c>
      <c r="AP219" s="159">
        <f t="shared" si="172"/>
        <v>3.799235914422211E-4</v>
      </c>
      <c r="AQ219" s="159">
        <f t="shared" si="172"/>
        <v>2.5236356217700945E-4</v>
      </c>
      <c r="AR219" s="159">
        <f t="shared" si="172"/>
        <v>1.477334974031865E-4</v>
      </c>
      <c r="AS219" s="159">
        <f t="shared" si="172"/>
        <v>6.6448780257650488E-4</v>
      </c>
      <c r="AT219" s="159">
        <f t="shared" si="172"/>
        <v>3.4911417734759335E-4</v>
      </c>
      <c r="AU219" s="159">
        <f t="shared" si="172"/>
        <v>3.5598740314730573E-5</v>
      </c>
      <c r="AV219" s="159">
        <f t="shared" si="172"/>
        <v>9.6548242511204229E-4</v>
      </c>
      <c r="AW219" s="159">
        <f t="shared" si="172"/>
        <v>3.9975836827517587E-4</v>
      </c>
      <c r="AX219" s="159">
        <f t="shared" si="172"/>
        <v>1.2187440771450069E-3</v>
      </c>
      <c r="AY219" s="159">
        <f t="shared" si="172"/>
        <v>8.2655756102991418E-3</v>
      </c>
      <c r="AZ219" s="159">
        <f t="shared" si="172"/>
        <v>5.9821360350154625E-2</v>
      </c>
      <c r="BA219" s="159">
        <f t="shared" si="172"/>
        <v>0.11042825705565408</v>
      </c>
      <c r="BB219" s="159">
        <f t="shared" si="172"/>
        <v>4.1498174741203984E-4</v>
      </c>
      <c r="BC219" s="159">
        <f t="shared" si="172"/>
        <v>1.3668418267807892E-3</v>
      </c>
      <c r="BD219" s="159">
        <f t="shared" si="172"/>
        <v>2.5038940065265905E-3</v>
      </c>
      <c r="BE219" s="159">
        <f t="shared" si="172"/>
        <v>3.2900115429829641E-4</v>
      </c>
      <c r="BF219" s="159">
        <f t="shared" si="172"/>
        <v>2.3750137447210091E-4</v>
      </c>
      <c r="BG219" s="159">
        <f t="shared" si="172"/>
        <v>3.7259684342931797E-4</v>
      </c>
      <c r="BH219" s="159">
        <f t="shared" si="172"/>
        <v>3.8494315371517774E-4</v>
      </c>
      <c r="BI219" s="159">
        <f t="shared" si="172"/>
        <v>1.6370367443357034E-4</v>
      </c>
      <c r="BJ219" s="159">
        <f t="shared" si="172"/>
        <v>2.3573040781024274E-4</v>
      </c>
      <c r="BK219" s="159">
        <f t="shared" si="172"/>
        <v>5.4976500850697195E-4</v>
      </c>
      <c r="BL219" s="159">
        <f t="shared" si="172"/>
        <v>6.7020040348535312E-4</v>
      </c>
      <c r="BM219" s="159">
        <f t="shared" si="172"/>
        <v>5.87109384757575E-3</v>
      </c>
      <c r="BN219" s="159">
        <f t="shared" si="172"/>
        <v>9.8898455526750823E-4</v>
      </c>
      <c r="BO219" s="159">
        <f t="shared" ref="BO219:CA219" si="173">BO52/BO$84</f>
        <v>4.4872273150530986E-4</v>
      </c>
      <c r="BP219" s="159">
        <f t="shared" si="173"/>
        <v>4.0513959286574537E-4</v>
      </c>
      <c r="BQ219" s="159">
        <f t="shared" si="173"/>
        <v>7.7505424818877935E-5</v>
      </c>
      <c r="BR219" s="159">
        <f t="shared" si="173"/>
        <v>4.3005051537451814E-4</v>
      </c>
      <c r="BS219" s="159">
        <f t="shared" si="173"/>
        <v>7.0185021481833327E-5</v>
      </c>
      <c r="BT219" s="159">
        <f t="shared" si="173"/>
        <v>3.3283001895460535E-4</v>
      </c>
      <c r="BU219" s="159">
        <f t="shared" si="173"/>
        <v>3.692212792059222E-4</v>
      </c>
      <c r="BV219" s="159">
        <f t="shared" si="173"/>
        <v>8.1119918416539197E-5</v>
      </c>
      <c r="BW219" s="159">
        <f t="shared" si="173"/>
        <v>3.9485748550650813E-4</v>
      </c>
      <c r="BX219" s="159">
        <f t="shared" si="173"/>
        <v>1.3620505516510794E-4</v>
      </c>
      <c r="BY219" s="159">
        <f t="shared" si="173"/>
        <v>2.830445397223176E-4</v>
      </c>
      <c r="BZ219" s="159">
        <f t="shared" si="173"/>
        <v>1.5846157315264938E-4</v>
      </c>
      <c r="CA219" s="118">
        <f t="shared" si="173"/>
        <v>0</v>
      </c>
      <c r="CB219" s="18"/>
      <c r="CC219" s="271"/>
      <c r="CD219" s="147">
        <f t="shared" si="143"/>
        <v>1.5372543122447593E-2</v>
      </c>
      <c r="CE219" s="148">
        <f t="shared" si="143"/>
        <v>1.0217422825568402E-4</v>
      </c>
      <c r="CF219" s="148">
        <f t="shared" si="143"/>
        <v>-1.4191307464286568E-8</v>
      </c>
      <c r="CG219" s="119">
        <f t="shared" si="143"/>
        <v>1.0572561079863919E-4</v>
      </c>
      <c r="CH219" s="18"/>
      <c r="CI219" s="18"/>
      <c r="CJ219" s="18"/>
    </row>
    <row r="220" spans="1:88" ht="13.95" customHeight="1" x14ac:dyDescent="0.25">
      <c r="A220" s="8" t="s">
        <v>51</v>
      </c>
      <c r="B220" s="256"/>
      <c r="C220" s="22">
        <f t="shared" ref="C220:AH220" si="174">C53/C$84</f>
        <v>1.3885344000987257E-3</v>
      </c>
      <c r="D220" s="159">
        <f t="shared" si="174"/>
        <v>3.3119605487537812E-3</v>
      </c>
      <c r="E220" s="159">
        <f t="shared" si="174"/>
        <v>5.2457090100297959E-3</v>
      </c>
      <c r="F220" s="159">
        <f t="shared" si="174"/>
        <v>5.0177609042342309E-4</v>
      </c>
      <c r="G220" s="159">
        <f t="shared" si="174"/>
        <v>3.8776321792000279E-3</v>
      </c>
      <c r="H220" s="159">
        <f t="shared" si="174"/>
        <v>2.2819222255589821E-3</v>
      </c>
      <c r="I220" s="159">
        <f t="shared" si="174"/>
        <v>6.5753501733567411E-3</v>
      </c>
      <c r="J220" s="159">
        <f t="shared" si="174"/>
        <v>8.2819247023619025E-3</v>
      </c>
      <c r="K220" s="159">
        <f t="shared" si="174"/>
        <v>3.9832195133821099E-3</v>
      </c>
      <c r="L220" s="159">
        <f t="shared" si="174"/>
        <v>7.309762709853165E-3</v>
      </c>
      <c r="M220" s="159">
        <f t="shared" si="174"/>
        <v>6.8315027896863551E-3</v>
      </c>
      <c r="N220" s="159">
        <f t="shared" si="174"/>
        <v>1.8913463653536754E-3</v>
      </c>
      <c r="O220" s="159">
        <f t="shared" si="174"/>
        <v>3.7721154811991993E-3</v>
      </c>
      <c r="P220" s="159">
        <f t="shared" si="174"/>
        <v>4.2617308581172656E-3</v>
      </c>
      <c r="Q220" s="159">
        <f t="shared" si="174"/>
        <v>1.9401625221708476E-3</v>
      </c>
      <c r="R220" s="159">
        <f t="shared" si="174"/>
        <v>3.3933461938552055E-3</v>
      </c>
      <c r="S220" s="159">
        <f t="shared" si="174"/>
        <v>3.2656272925043555E-3</v>
      </c>
      <c r="T220" s="159">
        <f t="shared" si="174"/>
        <v>2.8407375391252166E-3</v>
      </c>
      <c r="U220" s="159">
        <f t="shared" si="174"/>
        <v>3.3693432374363287E-3</v>
      </c>
      <c r="V220" s="159">
        <f t="shared" si="174"/>
        <v>8.1705283720019271E-4</v>
      </c>
      <c r="W220" s="159">
        <f t="shared" si="174"/>
        <v>2.8959482026437839E-3</v>
      </c>
      <c r="X220" s="159">
        <f t="shared" si="174"/>
        <v>1.2646510949655481E-3</v>
      </c>
      <c r="Y220" s="159">
        <f t="shared" si="174"/>
        <v>3.4302226480793681E-3</v>
      </c>
      <c r="Z220" s="159">
        <f t="shared" si="174"/>
        <v>3.4522751734991867E-3</v>
      </c>
      <c r="AA220" s="159">
        <f t="shared" si="174"/>
        <v>1.340082312503112E-3</v>
      </c>
      <c r="AB220" s="159">
        <f t="shared" si="174"/>
        <v>5.0422090301932799E-3</v>
      </c>
      <c r="AC220" s="159">
        <f t="shared" si="174"/>
        <v>5.9728935572166807E-3</v>
      </c>
      <c r="AD220" s="159">
        <f t="shared" si="174"/>
        <v>5.0474242020120087E-3</v>
      </c>
      <c r="AE220" s="159">
        <f t="shared" si="174"/>
        <v>6.2897431502572402E-3</v>
      </c>
      <c r="AF220" s="159">
        <f t="shared" si="174"/>
        <v>4.8907943187711956E-3</v>
      </c>
      <c r="AG220" s="159">
        <f t="shared" si="174"/>
        <v>6.4044446647682106E-3</v>
      </c>
      <c r="AH220" s="159">
        <f t="shared" si="174"/>
        <v>5.8917448027624494E-3</v>
      </c>
      <c r="AI220" s="159">
        <f t="shared" ref="AI220:BN220" si="175">AI53/AI$84</f>
        <v>1.2204965575039219E-2</v>
      </c>
      <c r="AJ220" s="159">
        <f t="shared" si="175"/>
        <v>3.2476819852692998E-3</v>
      </c>
      <c r="AK220" s="159">
        <f t="shared" si="175"/>
        <v>2.457324577533444E-2</v>
      </c>
      <c r="AL220" s="159">
        <f t="shared" si="175"/>
        <v>2.749585734079326E-2</v>
      </c>
      <c r="AM220" s="159">
        <f t="shared" si="175"/>
        <v>2.3108767730812906E-2</v>
      </c>
      <c r="AN220" s="159">
        <f t="shared" si="175"/>
        <v>5.1794111902107561E-3</v>
      </c>
      <c r="AO220" s="159">
        <f t="shared" si="175"/>
        <v>5.9866304144259074E-3</v>
      </c>
      <c r="AP220" s="159">
        <f t="shared" si="175"/>
        <v>1.4004912499312074E-2</v>
      </c>
      <c r="AQ220" s="159">
        <f t="shared" si="175"/>
        <v>4.650075536625746E-2</v>
      </c>
      <c r="AR220" s="159">
        <f t="shared" si="175"/>
        <v>2.0786410454012048E-2</v>
      </c>
      <c r="AS220" s="159">
        <f t="shared" si="175"/>
        <v>1.1958150649463154E-2</v>
      </c>
      <c r="AT220" s="159">
        <f t="shared" si="175"/>
        <v>9.7675191636434691E-3</v>
      </c>
      <c r="AU220" s="159">
        <f t="shared" si="175"/>
        <v>5.5105962811182619E-3</v>
      </c>
      <c r="AV220" s="159">
        <f t="shared" si="175"/>
        <v>1.9114623503476806E-2</v>
      </c>
      <c r="AW220" s="159">
        <f t="shared" si="175"/>
        <v>1.1269714790159856E-2</v>
      </c>
      <c r="AX220" s="159">
        <f t="shared" si="175"/>
        <v>1.5304465856595596E-2</v>
      </c>
      <c r="AY220" s="159">
        <f t="shared" si="175"/>
        <v>2.2318836736616655E-2</v>
      </c>
      <c r="AZ220" s="159">
        <f t="shared" si="175"/>
        <v>2.5856063961336464E-2</v>
      </c>
      <c r="BA220" s="159">
        <f t="shared" si="175"/>
        <v>3.3091355753729311E-2</v>
      </c>
      <c r="BB220" s="159">
        <f t="shared" si="175"/>
        <v>2.3007953069006888E-2</v>
      </c>
      <c r="BC220" s="159">
        <f t="shared" si="175"/>
        <v>2.3337152248889017E-2</v>
      </c>
      <c r="BD220" s="159">
        <f t="shared" si="175"/>
        <v>3.1647376884945282E-2</v>
      </c>
      <c r="BE220" s="159">
        <f t="shared" si="175"/>
        <v>4.040254357853143E-3</v>
      </c>
      <c r="BF220" s="159">
        <f t="shared" si="175"/>
        <v>4.9855388874717379E-3</v>
      </c>
      <c r="BG220" s="159">
        <f t="shared" si="175"/>
        <v>3.3557541684524476E-3</v>
      </c>
      <c r="BH220" s="159">
        <f t="shared" si="175"/>
        <v>2.2339322667770039E-2</v>
      </c>
      <c r="BI220" s="159">
        <f t="shared" si="175"/>
        <v>7.4679424706105418E-4</v>
      </c>
      <c r="BJ220" s="159">
        <f t="shared" si="175"/>
        <v>1.5685151607271124E-2</v>
      </c>
      <c r="BK220" s="159">
        <f t="shared" si="175"/>
        <v>2.3560035583093053E-2</v>
      </c>
      <c r="BL220" s="159">
        <f t="shared" si="175"/>
        <v>8.8853177123158072E-3</v>
      </c>
      <c r="BM220" s="159">
        <f t="shared" si="175"/>
        <v>2.0779627640529895E-2</v>
      </c>
      <c r="BN220" s="159">
        <f t="shared" si="175"/>
        <v>2.6071011414446177E-2</v>
      </c>
      <c r="BO220" s="159">
        <f t="shared" ref="BO220:CA220" si="176">BO53/BO$84</f>
        <v>7.6415647503318522E-3</v>
      </c>
      <c r="BP220" s="159">
        <f t="shared" si="176"/>
        <v>4.8287450078600917E-3</v>
      </c>
      <c r="BQ220" s="159">
        <f t="shared" si="176"/>
        <v>9.6492598028952124E-3</v>
      </c>
      <c r="BR220" s="159">
        <f t="shared" si="176"/>
        <v>2.2253477230229746E-2</v>
      </c>
      <c r="BS220" s="159">
        <f t="shared" si="176"/>
        <v>4.0530512839453185E-2</v>
      </c>
      <c r="BT220" s="159">
        <f t="shared" si="176"/>
        <v>1.3858799664049126E-2</v>
      </c>
      <c r="BU220" s="159">
        <f t="shared" si="176"/>
        <v>2.8344035148679527E-2</v>
      </c>
      <c r="BV220" s="159">
        <f t="shared" si="176"/>
        <v>7.9583174620449476E-2</v>
      </c>
      <c r="BW220" s="159">
        <f t="shared" si="176"/>
        <v>3.9355382904642314E-2</v>
      </c>
      <c r="BX220" s="159">
        <f t="shared" si="176"/>
        <v>9.4107184105756119E-4</v>
      </c>
      <c r="BY220" s="159">
        <f t="shared" si="176"/>
        <v>8.4720900546813218E-3</v>
      </c>
      <c r="BZ220" s="159">
        <f t="shared" si="176"/>
        <v>2.5366023796945712E-2</v>
      </c>
      <c r="CA220" s="118">
        <f t="shared" si="176"/>
        <v>0</v>
      </c>
      <c r="CB220" s="18"/>
      <c r="CC220" s="271"/>
      <c r="CD220" s="147">
        <f t="shared" si="143"/>
        <v>0.11660716377619995</v>
      </c>
      <c r="CE220" s="148">
        <f t="shared" si="143"/>
        <v>1.6308719021977638E-2</v>
      </c>
      <c r="CF220" s="148">
        <f t="shared" si="143"/>
        <v>1.2631398947812187E-3</v>
      </c>
      <c r="CG220" s="119">
        <f t="shared" si="143"/>
        <v>5.1630265847352527E-3</v>
      </c>
      <c r="CH220" s="18"/>
      <c r="CI220" s="18"/>
      <c r="CJ220" s="18"/>
    </row>
    <row r="221" spans="1:88" ht="13.95" customHeight="1" x14ac:dyDescent="0.25">
      <c r="A221" s="8" t="s">
        <v>52</v>
      </c>
      <c r="B221" s="256"/>
      <c r="C221" s="22">
        <f t="shared" ref="C221:AH221" si="177">C54/C$84</f>
        <v>5.1727768913100987E-4</v>
      </c>
      <c r="D221" s="159">
        <f t="shared" si="177"/>
        <v>3.2136938738504383E-3</v>
      </c>
      <c r="E221" s="159">
        <f t="shared" si="177"/>
        <v>5.3825535929001383E-4</v>
      </c>
      <c r="F221" s="159">
        <f t="shared" si="177"/>
        <v>4.3492072886366813E-3</v>
      </c>
      <c r="G221" s="159">
        <f t="shared" si="177"/>
        <v>4.8835437126228658E-3</v>
      </c>
      <c r="H221" s="159">
        <f t="shared" si="177"/>
        <v>2.5081918519498513E-3</v>
      </c>
      <c r="I221" s="159">
        <f t="shared" si="177"/>
        <v>1.6410832561573292E-2</v>
      </c>
      <c r="J221" s="159">
        <f t="shared" si="177"/>
        <v>2.6513048356881868E-3</v>
      </c>
      <c r="K221" s="159">
        <f t="shared" si="177"/>
        <v>3.9468041135376402E-3</v>
      </c>
      <c r="L221" s="159">
        <f t="shared" si="177"/>
        <v>4.9577611478992915E-3</v>
      </c>
      <c r="M221" s="159">
        <f t="shared" si="177"/>
        <v>3.8874720003366811E-3</v>
      </c>
      <c r="N221" s="159">
        <f t="shared" si="177"/>
        <v>5.9303105085046718E-3</v>
      </c>
      <c r="O221" s="159">
        <f t="shared" si="177"/>
        <v>3.626183282327593E-3</v>
      </c>
      <c r="P221" s="159">
        <f t="shared" si="177"/>
        <v>5.2833674239470925E-3</v>
      </c>
      <c r="Q221" s="159">
        <f t="shared" si="177"/>
        <v>3.8824529988491492E-4</v>
      </c>
      <c r="R221" s="159">
        <f t="shared" si="177"/>
        <v>4.2255136470584452E-3</v>
      </c>
      <c r="S221" s="159">
        <f t="shared" si="177"/>
        <v>1.1931345369901642E-2</v>
      </c>
      <c r="T221" s="159">
        <f t="shared" si="177"/>
        <v>1.8469301214700993E-3</v>
      </c>
      <c r="U221" s="159">
        <f t="shared" si="177"/>
        <v>4.2970367537906963E-3</v>
      </c>
      <c r="V221" s="159">
        <f t="shared" si="177"/>
        <v>8.5823566324177078E-3</v>
      </c>
      <c r="W221" s="159">
        <f t="shared" si="177"/>
        <v>1.0624801201503968E-2</v>
      </c>
      <c r="X221" s="159">
        <f t="shared" si="177"/>
        <v>1.6113630887327405E-3</v>
      </c>
      <c r="Y221" s="159">
        <f t="shared" si="177"/>
        <v>9.1033529461140902E-3</v>
      </c>
      <c r="Z221" s="159">
        <f t="shared" si="177"/>
        <v>4.5644317760243835E-3</v>
      </c>
      <c r="AA221" s="159">
        <f t="shared" si="177"/>
        <v>2.6440766965642407E-3</v>
      </c>
      <c r="AB221" s="159">
        <f t="shared" si="177"/>
        <v>8.9318612502198337E-3</v>
      </c>
      <c r="AC221" s="159">
        <f t="shared" si="177"/>
        <v>9.1447195688996435E-3</v>
      </c>
      <c r="AD221" s="159">
        <f t="shared" si="177"/>
        <v>2.9695724949189584E-3</v>
      </c>
      <c r="AE221" s="159">
        <f t="shared" si="177"/>
        <v>5.529583081120738E-3</v>
      </c>
      <c r="AF221" s="159">
        <f t="shared" si="177"/>
        <v>6.5270398712718751E-3</v>
      </c>
      <c r="AG221" s="159">
        <f t="shared" si="177"/>
        <v>8.2437809027031885E-4</v>
      </c>
      <c r="AH221" s="159">
        <f t="shared" si="177"/>
        <v>4.62569172336816E-3</v>
      </c>
      <c r="AI221" s="159">
        <f t="shared" ref="AI221:BN221" si="178">AI54/AI$84</f>
        <v>2.9442340893698839E-3</v>
      </c>
      <c r="AJ221" s="159">
        <f t="shared" si="178"/>
        <v>2.5699011775118428E-3</v>
      </c>
      <c r="AK221" s="159">
        <f t="shared" si="178"/>
        <v>1.1888310485071194E-2</v>
      </c>
      <c r="AL221" s="159">
        <f t="shared" si="178"/>
        <v>1.3909544053554173E-2</v>
      </c>
      <c r="AM221" s="159">
        <f t="shared" si="178"/>
        <v>9.3999982126051779E-3</v>
      </c>
      <c r="AN221" s="159">
        <f t="shared" si="178"/>
        <v>4.0943656555380049E-3</v>
      </c>
      <c r="AO221" s="159">
        <f t="shared" si="178"/>
        <v>1.9928444310572039E-3</v>
      </c>
      <c r="AP221" s="159">
        <f t="shared" si="178"/>
        <v>3.3911337281601673E-3</v>
      </c>
      <c r="AQ221" s="159">
        <f t="shared" si="178"/>
        <v>3.7490414495709953E-3</v>
      </c>
      <c r="AR221" s="159">
        <f t="shared" si="178"/>
        <v>3.4107537952925136E-3</v>
      </c>
      <c r="AS221" s="159">
        <f t="shared" si="178"/>
        <v>7.7455253812142005E-3</v>
      </c>
      <c r="AT221" s="159">
        <f t="shared" si="178"/>
        <v>3.3737165650537162E-3</v>
      </c>
      <c r="AU221" s="159">
        <f t="shared" si="178"/>
        <v>3.0224550421734174E-3</v>
      </c>
      <c r="AV221" s="159">
        <f t="shared" si="178"/>
        <v>1.3646824572631874E-2</v>
      </c>
      <c r="AW221" s="159">
        <f t="shared" si="178"/>
        <v>4.6850858636671641E-3</v>
      </c>
      <c r="AX221" s="159">
        <f t="shared" si="178"/>
        <v>1.3955442900327564E-2</v>
      </c>
      <c r="AY221" s="159">
        <f t="shared" si="178"/>
        <v>4.4768488302368119E-3</v>
      </c>
      <c r="AZ221" s="159">
        <f t="shared" si="178"/>
        <v>1.0012157166108515E-2</v>
      </c>
      <c r="BA221" s="159">
        <f t="shared" si="178"/>
        <v>2.5296316536653322E-2</v>
      </c>
      <c r="BB221" s="159">
        <f t="shared" si="178"/>
        <v>3.2902480363148851E-3</v>
      </c>
      <c r="BC221" s="159">
        <f t="shared" si="178"/>
        <v>0.10106976498935846</v>
      </c>
      <c r="BD221" s="159">
        <f t="shared" si="178"/>
        <v>3.2049981362757649E-2</v>
      </c>
      <c r="BE221" s="159">
        <f t="shared" si="178"/>
        <v>2.1444265191395443E-3</v>
      </c>
      <c r="BF221" s="159">
        <f t="shared" si="178"/>
        <v>3.6243950008829941E-3</v>
      </c>
      <c r="BG221" s="159">
        <f t="shared" si="178"/>
        <v>3.524598082029296E-3</v>
      </c>
      <c r="BH221" s="159">
        <f t="shared" si="178"/>
        <v>2.3452547655237813E-2</v>
      </c>
      <c r="BI221" s="159">
        <f t="shared" si="178"/>
        <v>1.5334352302925514E-3</v>
      </c>
      <c r="BJ221" s="159">
        <f t="shared" si="178"/>
        <v>1.0067975099336324E-2</v>
      </c>
      <c r="BK221" s="159">
        <f t="shared" si="178"/>
        <v>4.7873101483354641E-3</v>
      </c>
      <c r="BL221" s="159">
        <f t="shared" si="178"/>
        <v>2.2721322948121461E-3</v>
      </c>
      <c r="BM221" s="159">
        <f t="shared" si="178"/>
        <v>1.2935786309627891E-2</v>
      </c>
      <c r="BN221" s="159">
        <f t="shared" si="178"/>
        <v>1.4434450305036293E-2</v>
      </c>
      <c r="BO221" s="159">
        <f t="shared" ref="BO221:CA221" si="179">BO54/BO$84</f>
        <v>1.2690433163918899E-2</v>
      </c>
      <c r="BP221" s="159">
        <f t="shared" si="179"/>
        <v>1.493618525798807E-3</v>
      </c>
      <c r="BQ221" s="159">
        <f t="shared" si="179"/>
        <v>4.0428026085537723E-3</v>
      </c>
      <c r="BR221" s="159">
        <f t="shared" si="179"/>
        <v>3.7036079722554366E-3</v>
      </c>
      <c r="BS221" s="159">
        <f t="shared" si="179"/>
        <v>1.3235641277823309E-3</v>
      </c>
      <c r="BT221" s="159">
        <f t="shared" si="179"/>
        <v>1.20098765885382E-2</v>
      </c>
      <c r="BU221" s="159">
        <f t="shared" si="179"/>
        <v>1.2324675497991525E-2</v>
      </c>
      <c r="BV221" s="159">
        <f t="shared" si="179"/>
        <v>4.8430102845948737E-3</v>
      </c>
      <c r="BW221" s="159">
        <f t="shared" si="179"/>
        <v>7.4339186340597573E-3</v>
      </c>
      <c r="BX221" s="159">
        <f t="shared" si="179"/>
        <v>2.2872558431659578E-5</v>
      </c>
      <c r="BY221" s="159">
        <f t="shared" si="179"/>
        <v>4.4327048788437096E-3</v>
      </c>
      <c r="BZ221" s="159">
        <f t="shared" si="179"/>
        <v>6.6415872947137335E-3</v>
      </c>
      <c r="CA221" s="118">
        <f t="shared" si="179"/>
        <v>0</v>
      </c>
      <c r="CB221" s="18"/>
      <c r="CC221" s="271"/>
      <c r="CD221" s="147">
        <f t="shared" si="143"/>
        <v>3.9038589784742292E-3</v>
      </c>
      <c r="CE221" s="148">
        <f t="shared" si="143"/>
        <v>0</v>
      </c>
      <c r="CF221" s="148">
        <f t="shared" si="143"/>
        <v>1.1050487296290664E-4</v>
      </c>
      <c r="CG221" s="119">
        <f t="shared" si="143"/>
        <v>6.8764081888632632E-3</v>
      </c>
      <c r="CH221" s="18"/>
      <c r="CI221" s="18"/>
      <c r="CJ221" s="18"/>
    </row>
    <row r="222" spans="1:88" ht="13.95" customHeight="1" x14ac:dyDescent="0.25">
      <c r="A222" s="8" t="s">
        <v>53</v>
      </c>
      <c r="B222" s="256"/>
      <c r="C222" s="22">
        <f t="shared" ref="C222:AH222" si="180">C55/C$84</f>
        <v>4.5889841557329622E-4</v>
      </c>
      <c r="D222" s="159">
        <f t="shared" si="180"/>
        <v>2.0733312672135021E-3</v>
      </c>
      <c r="E222" s="159">
        <f t="shared" si="180"/>
        <v>1.5162379782033949E-3</v>
      </c>
      <c r="F222" s="159">
        <f t="shared" si="180"/>
        <v>1.7850092833474368E-3</v>
      </c>
      <c r="G222" s="159">
        <f t="shared" si="180"/>
        <v>3.6999908978314084E-3</v>
      </c>
      <c r="H222" s="159">
        <f t="shared" si="180"/>
        <v>3.3142703105485953E-3</v>
      </c>
      <c r="I222" s="159">
        <f t="shared" si="180"/>
        <v>7.4353502550324729E-3</v>
      </c>
      <c r="J222" s="159">
        <f t="shared" si="180"/>
        <v>1.0944602816677147E-2</v>
      </c>
      <c r="K222" s="159">
        <f t="shared" si="180"/>
        <v>4.7305378698190856E-3</v>
      </c>
      <c r="L222" s="159">
        <f t="shared" si="180"/>
        <v>3.2972186023888348E-3</v>
      </c>
      <c r="M222" s="159">
        <f t="shared" si="180"/>
        <v>2.9951893571646031E-3</v>
      </c>
      <c r="N222" s="159">
        <f t="shared" si="180"/>
        <v>2.8112903274777499E-3</v>
      </c>
      <c r="O222" s="159">
        <f t="shared" si="180"/>
        <v>6.2106453117272932E-3</v>
      </c>
      <c r="P222" s="159">
        <f t="shared" si="180"/>
        <v>2.2562328373375972E-2</v>
      </c>
      <c r="Q222" s="159">
        <f t="shared" si="180"/>
        <v>1.6114112837234905E-3</v>
      </c>
      <c r="R222" s="159">
        <f t="shared" si="180"/>
        <v>7.0809409219255992E-3</v>
      </c>
      <c r="S222" s="159">
        <f t="shared" si="180"/>
        <v>2.1545859171104749E-2</v>
      </c>
      <c r="T222" s="159">
        <f t="shared" si="180"/>
        <v>1.0347178206383034E-2</v>
      </c>
      <c r="U222" s="159">
        <f t="shared" si="180"/>
        <v>9.8730813758847718E-3</v>
      </c>
      <c r="V222" s="159">
        <f t="shared" si="180"/>
        <v>7.1652705513077231E-3</v>
      </c>
      <c r="W222" s="159">
        <f t="shared" si="180"/>
        <v>8.7992899621997297E-3</v>
      </c>
      <c r="X222" s="159">
        <f t="shared" si="180"/>
        <v>7.1009365256357159E-3</v>
      </c>
      <c r="Y222" s="159">
        <f t="shared" si="180"/>
        <v>8.798085328889451E-3</v>
      </c>
      <c r="Z222" s="159">
        <f t="shared" si="180"/>
        <v>9.3764467121598173E-3</v>
      </c>
      <c r="AA222" s="159">
        <f t="shared" si="180"/>
        <v>1.0342465016518964E-2</v>
      </c>
      <c r="AB222" s="159">
        <f t="shared" si="180"/>
        <v>1.4655239844500071E-2</v>
      </c>
      <c r="AC222" s="159">
        <f t="shared" si="180"/>
        <v>4.1271307076492592E-3</v>
      </c>
      <c r="AD222" s="159">
        <f t="shared" si="180"/>
        <v>3.3397842476276043E-3</v>
      </c>
      <c r="AE222" s="159">
        <f t="shared" si="180"/>
        <v>3.3718982968194244E-3</v>
      </c>
      <c r="AF222" s="159">
        <f t="shared" si="180"/>
        <v>5.7250244218367231E-3</v>
      </c>
      <c r="AG222" s="159">
        <f t="shared" si="180"/>
        <v>2.0200017258694986E-3</v>
      </c>
      <c r="AH222" s="159">
        <f t="shared" si="180"/>
        <v>5.1177988231880574E-3</v>
      </c>
      <c r="AI222" s="159">
        <f t="shared" ref="AI222:BN222" si="181">AI55/AI$84</f>
        <v>1.550299838510055E-3</v>
      </c>
      <c r="AJ222" s="159">
        <f t="shared" si="181"/>
        <v>3.2214180042809391E-3</v>
      </c>
      <c r="AK222" s="159">
        <f t="shared" si="181"/>
        <v>5.9020036617492303E-3</v>
      </c>
      <c r="AL222" s="159">
        <f t="shared" si="181"/>
        <v>1.5829959535032776E-2</v>
      </c>
      <c r="AM222" s="159">
        <f t="shared" si="181"/>
        <v>1.6266066366805925E-2</v>
      </c>
      <c r="AN222" s="159">
        <f t="shared" si="181"/>
        <v>2.3602424494170394E-3</v>
      </c>
      <c r="AO222" s="159">
        <f t="shared" si="181"/>
        <v>1.874912241494641E-3</v>
      </c>
      <c r="AP222" s="159">
        <f t="shared" si="181"/>
        <v>4.7718036345605775E-3</v>
      </c>
      <c r="AQ222" s="159">
        <f t="shared" si="181"/>
        <v>1.7567621164687353E-2</v>
      </c>
      <c r="AR222" s="159">
        <f t="shared" si="181"/>
        <v>5.3307333807336163E-3</v>
      </c>
      <c r="AS222" s="159">
        <f t="shared" si="181"/>
        <v>1.6365226195407059E-2</v>
      </c>
      <c r="AT222" s="159">
        <f t="shared" si="181"/>
        <v>3.7767259021643271E-3</v>
      </c>
      <c r="AU222" s="159">
        <f t="shared" si="181"/>
        <v>4.0483863401533943E-3</v>
      </c>
      <c r="AV222" s="159">
        <f t="shared" si="181"/>
        <v>1.548143310677228E-2</v>
      </c>
      <c r="AW222" s="159">
        <f t="shared" si="181"/>
        <v>1.5006502096693249E-2</v>
      </c>
      <c r="AX222" s="159">
        <f t="shared" si="181"/>
        <v>5.0059156757750203E-2</v>
      </c>
      <c r="AY222" s="159">
        <f t="shared" si="181"/>
        <v>6.7187559381439547E-3</v>
      </c>
      <c r="AZ222" s="159">
        <f t="shared" si="181"/>
        <v>7.6464145017852451E-3</v>
      </c>
      <c r="BA222" s="159">
        <f t="shared" si="181"/>
        <v>2.2385363951520909E-2</v>
      </c>
      <c r="BB222" s="159">
        <f t="shared" si="181"/>
        <v>6.3907802696127327E-3</v>
      </c>
      <c r="BC222" s="159">
        <f t="shared" si="181"/>
        <v>1.5032592179537613E-2</v>
      </c>
      <c r="BD222" s="159">
        <f t="shared" si="181"/>
        <v>5.328487351149741E-2</v>
      </c>
      <c r="BE222" s="159">
        <f t="shared" si="181"/>
        <v>4.1251937426203837E-3</v>
      </c>
      <c r="BF222" s="159">
        <f t="shared" si="181"/>
        <v>5.3155973057755221E-3</v>
      </c>
      <c r="BG222" s="159">
        <f t="shared" si="181"/>
        <v>5.3943471176863354E-3</v>
      </c>
      <c r="BH222" s="159">
        <f t="shared" si="181"/>
        <v>2.0155942686133001E-2</v>
      </c>
      <c r="BI222" s="159">
        <f t="shared" si="181"/>
        <v>0</v>
      </c>
      <c r="BJ222" s="159">
        <f t="shared" si="181"/>
        <v>1.0431322753600186E-2</v>
      </c>
      <c r="BK222" s="159">
        <f t="shared" si="181"/>
        <v>1.3645680728831325E-2</v>
      </c>
      <c r="BL222" s="159">
        <f t="shared" si="181"/>
        <v>2.4434623708868468E-3</v>
      </c>
      <c r="BM222" s="159">
        <f t="shared" si="181"/>
        <v>3.0389511985944931E-3</v>
      </c>
      <c r="BN222" s="159">
        <f t="shared" si="181"/>
        <v>4.1464552144888332E-3</v>
      </c>
      <c r="BO222" s="159">
        <f t="shared" ref="BO222:CA222" si="182">BO55/BO$84</f>
        <v>8.0256874267848471E-3</v>
      </c>
      <c r="BP222" s="159">
        <f t="shared" si="182"/>
        <v>9.8896276605285952E-4</v>
      </c>
      <c r="BQ222" s="159">
        <f t="shared" si="182"/>
        <v>1.677290037724043E-3</v>
      </c>
      <c r="BR222" s="159">
        <f t="shared" si="182"/>
        <v>2.1258803531159333E-3</v>
      </c>
      <c r="BS222" s="159">
        <f t="shared" si="182"/>
        <v>1.0348016440216588E-3</v>
      </c>
      <c r="BT222" s="159">
        <f t="shared" si="182"/>
        <v>9.7205457824855773E-5</v>
      </c>
      <c r="BU222" s="159">
        <f t="shared" si="182"/>
        <v>2.2489381799022033E-4</v>
      </c>
      <c r="BV222" s="159">
        <f t="shared" si="182"/>
        <v>1.2545371730766518E-2</v>
      </c>
      <c r="BW222" s="159">
        <f t="shared" si="182"/>
        <v>7.3892478882246777E-3</v>
      </c>
      <c r="BX222" s="159">
        <f t="shared" si="182"/>
        <v>1.6128244580594551E-3</v>
      </c>
      <c r="BY222" s="159">
        <f t="shared" si="182"/>
        <v>4.1353186231417628E-3</v>
      </c>
      <c r="BZ222" s="159">
        <f t="shared" si="182"/>
        <v>1.6927061568238939E-3</v>
      </c>
      <c r="CA222" s="118">
        <f t="shared" si="182"/>
        <v>0</v>
      </c>
      <c r="CB222" s="18"/>
      <c r="CC222" s="271"/>
      <c r="CD222" s="147">
        <f t="shared" si="143"/>
        <v>0</v>
      </c>
      <c r="CE222" s="148">
        <f t="shared" si="143"/>
        <v>3.1095178275249921E-3</v>
      </c>
      <c r="CF222" s="148">
        <f t="shared" si="143"/>
        <v>-6.1720834423675133E-5</v>
      </c>
      <c r="CG222" s="119">
        <f t="shared" si="143"/>
        <v>2.0343359089497054E-3</v>
      </c>
      <c r="CH222" s="18"/>
      <c r="CI222" s="18"/>
      <c r="CJ222" s="18"/>
    </row>
    <row r="223" spans="1:88" ht="13.95" customHeight="1" x14ac:dyDescent="0.25">
      <c r="A223" s="8" t="s">
        <v>54</v>
      </c>
      <c r="B223" s="256"/>
      <c r="C223" s="22">
        <f t="shared" ref="C223:AH223" si="183">C56/C$84</f>
        <v>5.9660390483272493E-4</v>
      </c>
      <c r="D223" s="159">
        <f t="shared" si="183"/>
        <v>2.0125988129628949E-3</v>
      </c>
      <c r="E223" s="159">
        <f t="shared" si="183"/>
        <v>9.1412181357388789E-4</v>
      </c>
      <c r="F223" s="159">
        <f t="shared" si="183"/>
        <v>5.9789871660183395E-3</v>
      </c>
      <c r="G223" s="159">
        <f t="shared" si="183"/>
        <v>4.760217455142021E-3</v>
      </c>
      <c r="H223" s="159">
        <f t="shared" si="183"/>
        <v>1.3730562416216213E-3</v>
      </c>
      <c r="I223" s="159">
        <f t="shared" si="183"/>
        <v>1.8554003767066259E-4</v>
      </c>
      <c r="J223" s="159">
        <f t="shared" si="183"/>
        <v>1.3908067852980289E-3</v>
      </c>
      <c r="K223" s="159">
        <f t="shared" si="183"/>
        <v>3.3104217663716372E-3</v>
      </c>
      <c r="L223" s="159">
        <f t="shared" si="183"/>
        <v>3.7450312535757912E-3</v>
      </c>
      <c r="M223" s="159">
        <f t="shared" si="183"/>
        <v>4.6565879783543275E-3</v>
      </c>
      <c r="N223" s="159">
        <f t="shared" si="183"/>
        <v>2.0461143013948638E-3</v>
      </c>
      <c r="O223" s="159">
        <f t="shared" si="183"/>
        <v>4.6223434841057816E-3</v>
      </c>
      <c r="P223" s="159">
        <f t="shared" si="183"/>
        <v>1.3331935636821743E-2</v>
      </c>
      <c r="Q223" s="159">
        <f t="shared" si="183"/>
        <v>2.6817901339268955E-3</v>
      </c>
      <c r="R223" s="159">
        <f t="shared" si="183"/>
        <v>5.9241126100115643E-3</v>
      </c>
      <c r="S223" s="159">
        <f t="shared" si="183"/>
        <v>8.3235542753545995E-4</v>
      </c>
      <c r="T223" s="159">
        <f t="shared" si="183"/>
        <v>4.6165654425581173E-3</v>
      </c>
      <c r="U223" s="159">
        <f t="shared" si="183"/>
        <v>6.4376682782268302E-3</v>
      </c>
      <c r="V223" s="159">
        <f t="shared" si="183"/>
        <v>3.9625484162755997E-3</v>
      </c>
      <c r="W223" s="159">
        <f t="shared" si="183"/>
        <v>4.4554812094471843E-3</v>
      </c>
      <c r="X223" s="159">
        <f t="shared" si="183"/>
        <v>5.1897466509095264E-4</v>
      </c>
      <c r="Y223" s="159">
        <f t="shared" si="183"/>
        <v>3.3449011178053318E-3</v>
      </c>
      <c r="Z223" s="159">
        <f t="shared" si="183"/>
        <v>1.4287158207659538E-2</v>
      </c>
      <c r="AA223" s="159">
        <f t="shared" si="183"/>
        <v>3.6920694713055932E-3</v>
      </c>
      <c r="AB223" s="159">
        <f t="shared" si="183"/>
        <v>1.1197780590080029E-2</v>
      </c>
      <c r="AC223" s="159">
        <f t="shared" si="183"/>
        <v>3.5390560297649024E-3</v>
      </c>
      <c r="AD223" s="159">
        <f t="shared" si="183"/>
        <v>1.2114491197106473E-3</v>
      </c>
      <c r="AE223" s="159">
        <f t="shared" si="183"/>
        <v>4.4991380693314847E-3</v>
      </c>
      <c r="AF223" s="159">
        <f t="shared" si="183"/>
        <v>7.0804422329073888E-3</v>
      </c>
      <c r="AG223" s="159">
        <f t="shared" si="183"/>
        <v>4.7998756394744303E-3</v>
      </c>
      <c r="AH223" s="159">
        <f t="shared" si="183"/>
        <v>5.7321354353184742E-3</v>
      </c>
      <c r="AI223" s="159">
        <f t="shared" ref="AI223:BN223" si="184">AI56/AI$84</f>
        <v>2.3893679395849163E-3</v>
      </c>
      <c r="AJ223" s="159">
        <f t="shared" si="184"/>
        <v>8.9654336705850476E-3</v>
      </c>
      <c r="AK223" s="159">
        <f t="shared" si="184"/>
        <v>4.3542640197560204E-4</v>
      </c>
      <c r="AL223" s="159">
        <f t="shared" si="184"/>
        <v>3.975023290559398E-3</v>
      </c>
      <c r="AM223" s="159">
        <f t="shared" si="184"/>
        <v>2.5301148589319542E-3</v>
      </c>
      <c r="AN223" s="159">
        <f t="shared" si="184"/>
        <v>3.2848148831207844E-3</v>
      </c>
      <c r="AO223" s="159">
        <f t="shared" si="184"/>
        <v>2.2447125321908199E-3</v>
      </c>
      <c r="AP223" s="159">
        <f t="shared" si="184"/>
        <v>1.4242956633722856E-3</v>
      </c>
      <c r="AQ223" s="159">
        <f t="shared" si="184"/>
        <v>1.7000880917958695E-3</v>
      </c>
      <c r="AR223" s="159">
        <f t="shared" si="184"/>
        <v>2.5474055146514482E-3</v>
      </c>
      <c r="AS223" s="159">
        <f t="shared" si="184"/>
        <v>1.1447351272415634E-5</v>
      </c>
      <c r="AT223" s="159">
        <f t="shared" si="184"/>
        <v>5.4798430597034923E-5</v>
      </c>
      <c r="AU223" s="159">
        <f t="shared" si="184"/>
        <v>6.6539701522860882E-6</v>
      </c>
      <c r="AV223" s="159">
        <f t="shared" si="184"/>
        <v>1.2268191607690913E-2</v>
      </c>
      <c r="AW223" s="159">
        <f t="shared" si="184"/>
        <v>1.3255626670398506E-3</v>
      </c>
      <c r="AX223" s="159">
        <f t="shared" si="184"/>
        <v>2.216942571997986E-4</v>
      </c>
      <c r="AY223" s="159">
        <f t="shared" si="184"/>
        <v>3.4955084872001262E-3</v>
      </c>
      <c r="AZ223" s="159">
        <f t="shared" si="184"/>
        <v>5.7875776676313334E-3</v>
      </c>
      <c r="BA223" s="159">
        <f t="shared" si="184"/>
        <v>8.5550487114829238E-3</v>
      </c>
      <c r="BB223" s="159">
        <f t="shared" si="184"/>
        <v>4.1747383661075764E-3</v>
      </c>
      <c r="BC223" s="159">
        <f t="shared" si="184"/>
        <v>1.0740906089300273E-3</v>
      </c>
      <c r="BD223" s="159">
        <f t="shared" si="184"/>
        <v>5.7061236544956968E-3</v>
      </c>
      <c r="BE223" s="159">
        <f t="shared" si="184"/>
        <v>7.4774751387798974E-2</v>
      </c>
      <c r="BF223" s="159">
        <f t="shared" si="184"/>
        <v>6.5654413471566662E-3</v>
      </c>
      <c r="BG223" s="159">
        <f t="shared" si="184"/>
        <v>1.2325584418095735E-4</v>
      </c>
      <c r="BH223" s="159">
        <f t="shared" si="184"/>
        <v>9.4144980436534336E-3</v>
      </c>
      <c r="BI223" s="159">
        <f t="shared" si="184"/>
        <v>0</v>
      </c>
      <c r="BJ223" s="159">
        <f t="shared" si="184"/>
        <v>3.0461009316227129E-3</v>
      </c>
      <c r="BK223" s="159">
        <f t="shared" si="184"/>
        <v>4.510872438965975E-4</v>
      </c>
      <c r="BL223" s="159">
        <f t="shared" si="184"/>
        <v>1.5387739056431791E-4</v>
      </c>
      <c r="BM223" s="159">
        <f t="shared" si="184"/>
        <v>2.7591820081765878E-4</v>
      </c>
      <c r="BN223" s="159">
        <f t="shared" si="184"/>
        <v>7.9674826215200244E-3</v>
      </c>
      <c r="BO223" s="159">
        <f t="shared" ref="BO223:CA223" si="185">BO56/BO$84</f>
        <v>2.1389678913488197E-3</v>
      </c>
      <c r="BP223" s="159">
        <f t="shared" si="185"/>
        <v>3.0617406876003138E-3</v>
      </c>
      <c r="BQ223" s="159">
        <f t="shared" si="185"/>
        <v>2.051377902766448E-3</v>
      </c>
      <c r="BR223" s="159">
        <f t="shared" si="185"/>
        <v>2.7180485956678191E-3</v>
      </c>
      <c r="BS223" s="159">
        <f t="shared" si="185"/>
        <v>9.7583921185859449E-5</v>
      </c>
      <c r="BT223" s="159">
        <f t="shared" si="185"/>
        <v>5.4192731161279372E-4</v>
      </c>
      <c r="BU223" s="159">
        <f t="shared" si="185"/>
        <v>2.8756752375101139E-3</v>
      </c>
      <c r="BV223" s="159">
        <f t="shared" si="185"/>
        <v>3.7939936998542862E-4</v>
      </c>
      <c r="BW223" s="159">
        <f t="shared" si="185"/>
        <v>1.1860538843150754E-3</v>
      </c>
      <c r="BX223" s="159">
        <f t="shared" si="185"/>
        <v>2.1656809830337131E-3</v>
      </c>
      <c r="BY223" s="159">
        <f t="shared" si="185"/>
        <v>3.3810781195498694E-5</v>
      </c>
      <c r="BZ223" s="159">
        <f t="shared" si="185"/>
        <v>2.9549016680029791E-3</v>
      </c>
      <c r="CA223" s="118">
        <f t="shared" si="185"/>
        <v>0</v>
      </c>
      <c r="CB223" s="18"/>
      <c r="CC223" s="271"/>
      <c r="CD223" s="147">
        <f t="shared" si="143"/>
        <v>0</v>
      </c>
      <c r="CE223" s="148">
        <f t="shared" si="143"/>
        <v>1.4834521391006012E-3</v>
      </c>
      <c r="CF223" s="148">
        <f t="shared" si="143"/>
        <v>3.3055091558143512E-2</v>
      </c>
      <c r="CG223" s="119">
        <f t="shared" si="143"/>
        <v>4.8430180827937893E-3</v>
      </c>
      <c r="CH223" s="18"/>
      <c r="CI223" s="18"/>
      <c r="CJ223" s="18"/>
    </row>
    <row r="224" spans="1:88" ht="13.95" customHeight="1" x14ac:dyDescent="0.25">
      <c r="A224" s="8" t="s">
        <v>55</v>
      </c>
      <c r="B224" s="256"/>
      <c r="C224" s="22">
        <f t="shared" ref="C224:AH224" si="186">C57/C$84</f>
        <v>0</v>
      </c>
      <c r="D224" s="159">
        <f t="shared" si="186"/>
        <v>0</v>
      </c>
      <c r="E224" s="159">
        <f t="shared" si="186"/>
        <v>0</v>
      </c>
      <c r="F224" s="159">
        <f t="shared" si="186"/>
        <v>0</v>
      </c>
      <c r="G224" s="159">
        <f t="shared" si="186"/>
        <v>0</v>
      </c>
      <c r="H224" s="159">
        <f t="shared" si="186"/>
        <v>0</v>
      </c>
      <c r="I224" s="159">
        <f t="shared" si="186"/>
        <v>0</v>
      </c>
      <c r="J224" s="159">
        <f t="shared" si="186"/>
        <v>0</v>
      </c>
      <c r="K224" s="159">
        <f t="shared" si="186"/>
        <v>0</v>
      </c>
      <c r="L224" s="159">
        <f t="shared" si="186"/>
        <v>0</v>
      </c>
      <c r="M224" s="159">
        <f t="shared" si="186"/>
        <v>0</v>
      </c>
      <c r="N224" s="159">
        <f t="shared" si="186"/>
        <v>0</v>
      </c>
      <c r="O224" s="159">
        <f t="shared" si="186"/>
        <v>0</v>
      </c>
      <c r="P224" s="159">
        <f t="shared" si="186"/>
        <v>0</v>
      </c>
      <c r="Q224" s="159">
        <f t="shared" si="186"/>
        <v>0</v>
      </c>
      <c r="R224" s="159">
        <f t="shared" si="186"/>
        <v>0</v>
      </c>
      <c r="S224" s="159">
        <f t="shared" si="186"/>
        <v>0</v>
      </c>
      <c r="T224" s="159">
        <f t="shared" si="186"/>
        <v>0</v>
      </c>
      <c r="U224" s="159">
        <f t="shared" si="186"/>
        <v>0</v>
      </c>
      <c r="V224" s="159">
        <f t="shared" si="186"/>
        <v>0</v>
      </c>
      <c r="W224" s="159">
        <f t="shared" si="186"/>
        <v>0</v>
      </c>
      <c r="X224" s="159">
        <f t="shared" si="186"/>
        <v>0</v>
      </c>
      <c r="Y224" s="159">
        <f t="shared" si="186"/>
        <v>0</v>
      </c>
      <c r="Z224" s="159">
        <f t="shared" si="186"/>
        <v>0</v>
      </c>
      <c r="AA224" s="159">
        <f t="shared" si="186"/>
        <v>0</v>
      </c>
      <c r="AB224" s="159">
        <f t="shared" si="186"/>
        <v>0</v>
      </c>
      <c r="AC224" s="159">
        <f t="shared" si="186"/>
        <v>0</v>
      </c>
      <c r="AD224" s="159">
        <f t="shared" si="186"/>
        <v>0</v>
      </c>
      <c r="AE224" s="159">
        <f t="shared" si="186"/>
        <v>0</v>
      </c>
      <c r="AF224" s="159">
        <f t="shared" si="186"/>
        <v>0</v>
      </c>
      <c r="AG224" s="159">
        <f t="shared" si="186"/>
        <v>0</v>
      </c>
      <c r="AH224" s="159">
        <f t="shared" si="186"/>
        <v>0</v>
      </c>
      <c r="AI224" s="159">
        <f t="shared" ref="AI224:BN224" si="187">AI57/AI$84</f>
        <v>0</v>
      </c>
      <c r="AJ224" s="159">
        <f t="shared" si="187"/>
        <v>0</v>
      </c>
      <c r="AK224" s="159">
        <f t="shared" si="187"/>
        <v>0</v>
      </c>
      <c r="AL224" s="159">
        <f t="shared" si="187"/>
        <v>0</v>
      </c>
      <c r="AM224" s="159">
        <f t="shared" si="187"/>
        <v>0</v>
      </c>
      <c r="AN224" s="159">
        <f t="shared" si="187"/>
        <v>0</v>
      </c>
      <c r="AO224" s="159">
        <f t="shared" si="187"/>
        <v>0</v>
      </c>
      <c r="AP224" s="159">
        <f t="shared" si="187"/>
        <v>0</v>
      </c>
      <c r="AQ224" s="159">
        <f t="shared" si="187"/>
        <v>0</v>
      </c>
      <c r="AR224" s="159">
        <f t="shared" si="187"/>
        <v>0</v>
      </c>
      <c r="AS224" s="159">
        <f t="shared" si="187"/>
        <v>0</v>
      </c>
      <c r="AT224" s="159">
        <f t="shared" si="187"/>
        <v>0</v>
      </c>
      <c r="AU224" s="159">
        <f t="shared" si="187"/>
        <v>0</v>
      </c>
      <c r="AV224" s="159">
        <f t="shared" si="187"/>
        <v>0</v>
      </c>
      <c r="AW224" s="159">
        <f t="shared" si="187"/>
        <v>0</v>
      </c>
      <c r="AX224" s="159">
        <f t="shared" si="187"/>
        <v>0</v>
      </c>
      <c r="AY224" s="159">
        <f t="shared" si="187"/>
        <v>0</v>
      </c>
      <c r="AZ224" s="159">
        <f t="shared" si="187"/>
        <v>0</v>
      </c>
      <c r="BA224" s="159">
        <f t="shared" si="187"/>
        <v>0</v>
      </c>
      <c r="BB224" s="159">
        <f t="shared" si="187"/>
        <v>0</v>
      </c>
      <c r="BC224" s="159">
        <f t="shared" si="187"/>
        <v>0</v>
      </c>
      <c r="BD224" s="159">
        <f t="shared" si="187"/>
        <v>0</v>
      </c>
      <c r="BE224" s="159">
        <f t="shared" si="187"/>
        <v>0</v>
      </c>
      <c r="BF224" s="159">
        <f t="shared" si="187"/>
        <v>2.0539750103386219E-2</v>
      </c>
      <c r="BG224" s="159">
        <f t="shared" si="187"/>
        <v>0</v>
      </c>
      <c r="BH224" s="159">
        <f t="shared" si="187"/>
        <v>0</v>
      </c>
      <c r="BI224" s="159">
        <f t="shared" si="187"/>
        <v>0</v>
      </c>
      <c r="BJ224" s="159">
        <f t="shared" si="187"/>
        <v>0</v>
      </c>
      <c r="BK224" s="159">
        <f t="shared" si="187"/>
        <v>0</v>
      </c>
      <c r="BL224" s="159">
        <f t="shared" si="187"/>
        <v>0</v>
      </c>
      <c r="BM224" s="159">
        <f t="shared" si="187"/>
        <v>0</v>
      </c>
      <c r="BN224" s="159">
        <f t="shared" si="187"/>
        <v>0</v>
      </c>
      <c r="BO224" s="159">
        <f t="shared" ref="BO224:CA224" si="188">BO57/BO$84</f>
        <v>0</v>
      </c>
      <c r="BP224" s="159">
        <f t="shared" si="188"/>
        <v>0</v>
      </c>
      <c r="BQ224" s="159">
        <f t="shared" si="188"/>
        <v>0</v>
      </c>
      <c r="BR224" s="159">
        <f t="shared" si="188"/>
        <v>0</v>
      </c>
      <c r="BS224" s="159">
        <f t="shared" si="188"/>
        <v>0</v>
      </c>
      <c r="BT224" s="159">
        <f t="shared" si="188"/>
        <v>0</v>
      </c>
      <c r="BU224" s="159">
        <f t="shared" si="188"/>
        <v>0</v>
      </c>
      <c r="BV224" s="159">
        <f t="shared" si="188"/>
        <v>0</v>
      </c>
      <c r="BW224" s="159">
        <f t="shared" si="188"/>
        <v>0</v>
      </c>
      <c r="BX224" s="159">
        <f t="shared" si="188"/>
        <v>0</v>
      </c>
      <c r="BY224" s="159">
        <f t="shared" si="188"/>
        <v>0</v>
      </c>
      <c r="BZ224" s="159">
        <f t="shared" si="188"/>
        <v>0</v>
      </c>
      <c r="CA224" s="118">
        <f t="shared" si="188"/>
        <v>0</v>
      </c>
      <c r="CB224" s="18"/>
      <c r="CC224" s="271"/>
      <c r="CD224" s="147">
        <f t="shared" si="143"/>
        <v>1.2054546523603456E-4</v>
      </c>
      <c r="CE224" s="148">
        <f t="shared" si="143"/>
        <v>1.3658316444836458E-2</v>
      </c>
      <c r="CF224" s="148">
        <f t="shared" si="143"/>
        <v>3.859894284863602E-2</v>
      </c>
      <c r="CG224" s="119">
        <f t="shared" si="143"/>
        <v>3.490870048867408E-3</v>
      </c>
      <c r="CH224" s="18"/>
      <c r="CI224" s="18"/>
      <c r="CJ224" s="18"/>
    </row>
    <row r="225" spans="1:88" ht="13.95" customHeight="1" x14ac:dyDescent="0.25">
      <c r="A225" s="8" t="s">
        <v>56</v>
      </c>
      <c r="B225" s="256"/>
      <c r="C225" s="22">
        <f t="shared" ref="C225:AH225" si="189">C58/C$84</f>
        <v>3.9534801755126302E-4</v>
      </c>
      <c r="D225" s="159">
        <f t="shared" si="189"/>
        <v>5.2461024143800555E-4</v>
      </c>
      <c r="E225" s="159">
        <f t="shared" si="189"/>
        <v>3.1565483782092338E-4</v>
      </c>
      <c r="F225" s="159">
        <f t="shared" si="189"/>
        <v>1.9256488779919553E-3</v>
      </c>
      <c r="G225" s="159">
        <f t="shared" si="189"/>
        <v>4.2109720140823554E-3</v>
      </c>
      <c r="H225" s="159">
        <f t="shared" si="189"/>
        <v>4.0161080888407828E-3</v>
      </c>
      <c r="I225" s="159">
        <f t="shared" si="189"/>
        <v>4.6579579161253756E-2</v>
      </c>
      <c r="J225" s="159">
        <f t="shared" si="189"/>
        <v>1.725943428586155E-2</v>
      </c>
      <c r="K225" s="159">
        <f t="shared" si="189"/>
        <v>2.7665565023371756E-3</v>
      </c>
      <c r="L225" s="159">
        <f t="shared" si="189"/>
        <v>6.6192702490241321E-3</v>
      </c>
      <c r="M225" s="159">
        <f t="shared" si="189"/>
        <v>2.7517517948452627E-3</v>
      </c>
      <c r="N225" s="159">
        <f t="shared" si="189"/>
        <v>1.287063033815891E-3</v>
      </c>
      <c r="O225" s="159">
        <f t="shared" si="189"/>
        <v>4.6458335254938657E-3</v>
      </c>
      <c r="P225" s="159">
        <f t="shared" si="189"/>
        <v>4.1392956281072792E-3</v>
      </c>
      <c r="Q225" s="159">
        <f t="shared" si="189"/>
        <v>1.1015356507833719E-3</v>
      </c>
      <c r="R225" s="159">
        <f t="shared" si="189"/>
        <v>4.604113626036019E-3</v>
      </c>
      <c r="S225" s="159">
        <f t="shared" si="189"/>
        <v>6.1470428982017267E-2</v>
      </c>
      <c r="T225" s="159">
        <f t="shared" si="189"/>
        <v>2.638159864205934E-3</v>
      </c>
      <c r="U225" s="159">
        <f t="shared" si="189"/>
        <v>4.3247505543309193E-3</v>
      </c>
      <c r="V225" s="159">
        <f t="shared" si="189"/>
        <v>2.252162142660183E-3</v>
      </c>
      <c r="W225" s="159">
        <f t="shared" si="189"/>
        <v>4.9063930767866649E-3</v>
      </c>
      <c r="X225" s="159">
        <f t="shared" si="189"/>
        <v>8.9036457863729893E-4</v>
      </c>
      <c r="Y225" s="159">
        <f t="shared" si="189"/>
        <v>9.3479159961423405E-3</v>
      </c>
      <c r="Z225" s="159">
        <f t="shared" si="189"/>
        <v>2.3009135197808845E-3</v>
      </c>
      <c r="AA225" s="159">
        <f t="shared" si="189"/>
        <v>4.7287946723642278E-4</v>
      </c>
      <c r="AB225" s="159">
        <f t="shared" si="189"/>
        <v>1.1962618117116902E-2</v>
      </c>
      <c r="AC225" s="159">
        <f t="shared" si="189"/>
        <v>4.7726557579115493E-3</v>
      </c>
      <c r="AD225" s="159">
        <f t="shared" si="189"/>
        <v>3.5020196045480669E-3</v>
      </c>
      <c r="AE225" s="159">
        <f t="shared" si="189"/>
        <v>4.486311946931995E-4</v>
      </c>
      <c r="AF225" s="159">
        <f t="shared" si="189"/>
        <v>1.7849524360035827E-3</v>
      </c>
      <c r="AG225" s="159">
        <f t="shared" si="189"/>
        <v>2.3981017883557667E-3</v>
      </c>
      <c r="AH225" s="159">
        <f t="shared" si="189"/>
        <v>4.766114507827551E-3</v>
      </c>
      <c r="AI225" s="159">
        <f t="shared" ref="AI225:BN225" si="190">AI58/AI$84</f>
        <v>2.3150465853153724E-4</v>
      </c>
      <c r="AJ225" s="159">
        <f t="shared" si="190"/>
        <v>2.5162970837003741E-3</v>
      </c>
      <c r="AK225" s="159">
        <f t="shared" si="190"/>
        <v>1.7568126275984548E-2</v>
      </c>
      <c r="AL225" s="159">
        <f t="shared" si="190"/>
        <v>2.3179246813282917E-2</v>
      </c>
      <c r="AM225" s="159">
        <f t="shared" si="190"/>
        <v>3.9253385323178491E-3</v>
      </c>
      <c r="AN225" s="159">
        <f t="shared" si="190"/>
        <v>1.7117194525728891E-3</v>
      </c>
      <c r="AO225" s="159">
        <f t="shared" si="190"/>
        <v>1.3815594064829173E-3</v>
      </c>
      <c r="AP225" s="159">
        <f t="shared" si="190"/>
        <v>1.1680306089173833E-3</v>
      </c>
      <c r="AQ225" s="159">
        <f t="shared" si="190"/>
        <v>9.0124632447892063E-3</v>
      </c>
      <c r="AR225" s="159">
        <f t="shared" si="190"/>
        <v>6.4187883001871424E-3</v>
      </c>
      <c r="AS225" s="159">
        <f t="shared" si="190"/>
        <v>1.4120617182396914E-2</v>
      </c>
      <c r="AT225" s="159">
        <f t="shared" si="190"/>
        <v>7.3906974545526805E-2</v>
      </c>
      <c r="AU225" s="159">
        <f t="shared" si="190"/>
        <v>2.4662940369448386E-3</v>
      </c>
      <c r="AV225" s="159">
        <f t="shared" si="190"/>
        <v>4.6142281119124384E-2</v>
      </c>
      <c r="AW225" s="159">
        <f t="shared" si="190"/>
        <v>1.5177526970729969E-2</v>
      </c>
      <c r="AX225" s="159">
        <f t="shared" si="190"/>
        <v>1.776923503994517E-2</v>
      </c>
      <c r="AY225" s="159">
        <f t="shared" si="190"/>
        <v>4.8463350401786662E-3</v>
      </c>
      <c r="AZ225" s="159">
        <f t="shared" si="190"/>
        <v>4.3165378731070255E-3</v>
      </c>
      <c r="BA225" s="159">
        <f t="shared" si="190"/>
        <v>1.6575925281262369E-2</v>
      </c>
      <c r="BB225" s="159">
        <f t="shared" si="190"/>
        <v>1.8645288551012414E-3</v>
      </c>
      <c r="BC225" s="159">
        <f t="shared" si="190"/>
        <v>5.8232791655649027E-3</v>
      </c>
      <c r="BD225" s="159">
        <f t="shared" si="190"/>
        <v>2.250304620013243E-2</v>
      </c>
      <c r="BE225" s="159">
        <f t="shared" si="190"/>
        <v>6.3327464193106795E-4</v>
      </c>
      <c r="BF225" s="159">
        <f t="shared" si="190"/>
        <v>2.0354219509025606E-3</v>
      </c>
      <c r="BG225" s="159">
        <f t="shared" si="190"/>
        <v>0.38920345176779064</v>
      </c>
      <c r="BH225" s="159">
        <f t="shared" si="190"/>
        <v>3.0121720360455947E-2</v>
      </c>
      <c r="BI225" s="159">
        <f t="shared" si="190"/>
        <v>0</v>
      </c>
      <c r="BJ225" s="159">
        <f t="shared" si="190"/>
        <v>9.2401611979005538E-3</v>
      </c>
      <c r="BK225" s="159">
        <f t="shared" si="190"/>
        <v>3.6323370689360221E-3</v>
      </c>
      <c r="BL225" s="159">
        <f t="shared" si="190"/>
        <v>1.1155117222431021E-2</v>
      </c>
      <c r="BM225" s="159">
        <f t="shared" si="190"/>
        <v>3.4587090650213576E-3</v>
      </c>
      <c r="BN225" s="159">
        <f t="shared" si="190"/>
        <v>1.7852061850799792E-3</v>
      </c>
      <c r="BO225" s="159">
        <f t="shared" ref="BO225:CA225" si="191">BO58/BO$84</f>
        <v>3.3267342216736662E-2</v>
      </c>
      <c r="BP225" s="159">
        <f t="shared" si="191"/>
        <v>1.5644512099715867E-3</v>
      </c>
      <c r="BQ225" s="159">
        <f t="shared" si="191"/>
        <v>2.6261038634013199E-3</v>
      </c>
      <c r="BR225" s="159">
        <f t="shared" si="191"/>
        <v>2.4251171003504489E-3</v>
      </c>
      <c r="BS225" s="159">
        <f t="shared" si="191"/>
        <v>8.0092463614809173E-5</v>
      </c>
      <c r="BT225" s="159">
        <f t="shared" si="191"/>
        <v>9.4519686629430579E-3</v>
      </c>
      <c r="BU225" s="159">
        <f t="shared" si="191"/>
        <v>3.4974695738435144E-3</v>
      </c>
      <c r="BV225" s="159">
        <f t="shared" si="191"/>
        <v>7.6983306427720645E-3</v>
      </c>
      <c r="BW225" s="159">
        <f t="shared" si="191"/>
        <v>4.3402415730119407E-3</v>
      </c>
      <c r="BX225" s="159">
        <f t="shared" si="191"/>
        <v>9.0975086014213544E-4</v>
      </c>
      <c r="BY225" s="159">
        <f t="shared" si="191"/>
        <v>4.2036832796249691E-4</v>
      </c>
      <c r="BZ225" s="159">
        <f t="shared" si="191"/>
        <v>5.2994598395549927E-3</v>
      </c>
      <c r="CA225" s="118">
        <f t="shared" si="191"/>
        <v>0</v>
      </c>
      <c r="CB225" s="18"/>
      <c r="CC225" s="271"/>
      <c r="CD225" s="147">
        <f t="shared" si="143"/>
        <v>0</v>
      </c>
      <c r="CE225" s="148">
        <f t="shared" si="143"/>
        <v>0</v>
      </c>
      <c r="CF225" s="148">
        <f t="shared" si="143"/>
        <v>7.3993477118790165E-6</v>
      </c>
      <c r="CG225" s="119">
        <f t="shared" si="143"/>
        <v>8.0599737463026427E-3</v>
      </c>
      <c r="CH225" s="18"/>
      <c r="CI225" s="18"/>
      <c r="CJ225" s="18"/>
    </row>
    <row r="226" spans="1:88" ht="13.95" customHeight="1" x14ac:dyDescent="0.25">
      <c r="A226" s="8" t="s">
        <v>57</v>
      </c>
      <c r="B226" s="256"/>
      <c r="C226" s="22">
        <f t="shared" ref="C226:AH226" si="192">C59/C$84</f>
        <v>3.416635806782606E-4</v>
      </c>
      <c r="D226" s="159">
        <f t="shared" si="192"/>
        <v>2.2945398917085602E-3</v>
      </c>
      <c r="E226" s="159">
        <f t="shared" si="192"/>
        <v>1.3593228565120688E-3</v>
      </c>
      <c r="F226" s="159">
        <f t="shared" si="192"/>
        <v>7.7470351492785162E-4</v>
      </c>
      <c r="G226" s="159">
        <f t="shared" si="192"/>
        <v>4.4927058038244276E-3</v>
      </c>
      <c r="H226" s="159">
        <f t="shared" si="192"/>
        <v>1.140669966482723E-3</v>
      </c>
      <c r="I226" s="159">
        <f t="shared" si="192"/>
        <v>3.7319910683049607E-3</v>
      </c>
      <c r="J226" s="159">
        <f t="shared" si="192"/>
        <v>2.2595316846838356E-3</v>
      </c>
      <c r="K226" s="159">
        <f t="shared" si="192"/>
        <v>3.1389060780090527E-3</v>
      </c>
      <c r="L226" s="159">
        <f t="shared" si="192"/>
        <v>6.7778597202148641E-3</v>
      </c>
      <c r="M226" s="159">
        <f t="shared" si="192"/>
        <v>5.6930798674047147E-4</v>
      </c>
      <c r="N226" s="159">
        <f t="shared" si="192"/>
        <v>1.9558133747346069E-3</v>
      </c>
      <c r="O226" s="159">
        <f t="shared" si="192"/>
        <v>5.1475372250005399E-4</v>
      </c>
      <c r="P226" s="159">
        <f t="shared" si="192"/>
        <v>5.6239626859797484E-3</v>
      </c>
      <c r="Q226" s="159">
        <f t="shared" si="192"/>
        <v>1.4113480941143916E-3</v>
      </c>
      <c r="R226" s="159">
        <f t="shared" si="192"/>
        <v>1.1762803023493663E-3</v>
      </c>
      <c r="S226" s="159">
        <f t="shared" si="192"/>
        <v>4.4943752179814646E-3</v>
      </c>
      <c r="T226" s="159">
        <f t="shared" si="192"/>
        <v>6.0473254752609811E-4</v>
      </c>
      <c r="U226" s="159">
        <f t="shared" si="192"/>
        <v>4.1237256668388665E-4</v>
      </c>
      <c r="V226" s="159">
        <f t="shared" si="192"/>
        <v>8.4190684747230318E-3</v>
      </c>
      <c r="W226" s="159">
        <f t="shared" si="192"/>
        <v>1.0363406308878562E-3</v>
      </c>
      <c r="X226" s="159">
        <f t="shared" si="192"/>
        <v>7.1813030538002789E-4</v>
      </c>
      <c r="Y226" s="159">
        <f t="shared" si="192"/>
        <v>1.1139132604981025E-3</v>
      </c>
      <c r="Z226" s="159">
        <f t="shared" si="192"/>
        <v>1.6111318944413151E-3</v>
      </c>
      <c r="AA226" s="159">
        <f t="shared" si="192"/>
        <v>4.8332970396806245E-4</v>
      </c>
      <c r="AB226" s="159">
        <f t="shared" si="192"/>
        <v>7.3320335023248804E-5</v>
      </c>
      <c r="AC226" s="159">
        <f t="shared" si="192"/>
        <v>9.3804696599607458E-4</v>
      </c>
      <c r="AD226" s="159">
        <f t="shared" si="192"/>
        <v>5.6663815373257198E-4</v>
      </c>
      <c r="AE226" s="159">
        <f t="shared" si="192"/>
        <v>3.1076453336312884E-3</v>
      </c>
      <c r="AF226" s="159">
        <f t="shared" si="192"/>
        <v>3.0980408659281168E-3</v>
      </c>
      <c r="AG226" s="159">
        <f t="shared" si="192"/>
        <v>2.2841454406138709E-3</v>
      </c>
      <c r="AH226" s="159">
        <f t="shared" si="192"/>
        <v>3.7104342075340011E-3</v>
      </c>
      <c r="AI226" s="159">
        <f t="shared" ref="AI226:BN226" si="193">AI59/AI$84</f>
        <v>2.8120365704674557E-4</v>
      </c>
      <c r="AJ226" s="159">
        <f t="shared" si="193"/>
        <v>3.3467700060639159E-4</v>
      </c>
      <c r="AK226" s="159">
        <f t="shared" si="193"/>
        <v>3.6920701274838212E-3</v>
      </c>
      <c r="AL226" s="159">
        <f t="shared" si="193"/>
        <v>3.4082457884467717E-3</v>
      </c>
      <c r="AM226" s="159">
        <f t="shared" si="193"/>
        <v>2.4728973194460767E-3</v>
      </c>
      <c r="AN226" s="159">
        <f t="shared" si="193"/>
        <v>1.3515698697108246E-3</v>
      </c>
      <c r="AO226" s="159">
        <f t="shared" si="193"/>
        <v>4.3131936017881496E-3</v>
      </c>
      <c r="AP226" s="159">
        <f t="shared" si="193"/>
        <v>9.7127948948556582E-4</v>
      </c>
      <c r="AQ226" s="159">
        <f t="shared" si="193"/>
        <v>1.0796252470742075E-3</v>
      </c>
      <c r="AR226" s="159">
        <f t="shared" si="193"/>
        <v>2.1009024365105649E-4</v>
      </c>
      <c r="AS226" s="159">
        <f t="shared" si="193"/>
        <v>2.8497716910870384E-3</v>
      </c>
      <c r="AT226" s="159">
        <f t="shared" si="193"/>
        <v>2.7850850715525991E-4</v>
      </c>
      <c r="AU226" s="159">
        <f t="shared" si="193"/>
        <v>5.040382390356712E-4</v>
      </c>
      <c r="AV226" s="159">
        <f t="shared" si="193"/>
        <v>4.5038195440207313E-3</v>
      </c>
      <c r="AW226" s="159">
        <f t="shared" si="193"/>
        <v>9.997042176300543E-4</v>
      </c>
      <c r="AX226" s="159">
        <f t="shared" si="193"/>
        <v>1.4860024390197209E-3</v>
      </c>
      <c r="AY226" s="159">
        <f t="shared" si="193"/>
        <v>9.1804087410456603E-4</v>
      </c>
      <c r="AZ226" s="159">
        <f t="shared" si="193"/>
        <v>2.0990297550906398E-3</v>
      </c>
      <c r="BA226" s="159">
        <f t="shared" si="193"/>
        <v>1.2755812207623946E-2</v>
      </c>
      <c r="BB226" s="159">
        <f t="shared" si="193"/>
        <v>7.4328046401358637E-5</v>
      </c>
      <c r="BC226" s="159">
        <f t="shared" si="193"/>
        <v>3.0625866191829748E-3</v>
      </c>
      <c r="BD226" s="159">
        <f t="shared" si="193"/>
        <v>3.9033268737574166E-3</v>
      </c>
      <c r="BE226" s="159">
        <f t="shared" si="193"/>
        <v>2.1206002254994943E-3</v>
      </c>
      <c r="BF226" s="159">
        <f t="shared" si="193"/>
        <v>2.1740261240405074E-3</v>
      </c>
      <c r="BG226" s="159">
        <f t="shared" si="193"/>
        <v>1.3678122659901962E-3</v>
      </c>
      <c r="BH226" s="159">
        <f t="shared" si="193"/>
        <v>3.9694820194176465E-2</v>
      </c>
      <c r="BI226" s="159">
        <f t="shared" si="193"/>
        <v>0</v>
      </c>
      <c r="BJ226" s="159">
        <f t="shared" si="193"/>
        <v>1.9412953940766767E-3</v>
      </c>
      <c r="BK226" s="159">
        <f t="shared" si="193"/>
        <v>2.0260434648725822E-3</v>
      </c>
      <c r="BL226" s="159">
        <f t="shared" si="193"/>
        <v>5.8146818556870264E-5</v>
      </c>
      <c r="BM226" s="159">
        <f t="shared" si="193"/>
        <v>5.9586258003813521E-4</v>
      </c>
      <c r="BN226" s="159">
        <f t="shared" si="193"/>
        <v>3.516045325696545E-5</v>
      </c>
      <c r="BO226" s="159">
        <f t="shared" ref="BO226:CA226" si="194">BO59/BO$84</f>
        <v>8.6408106263612915E-3</v>
      </c>
      <c r="BP226" s="159">
        <f t="shared" si="194"/>
        <v>4.6445883720832054E-5</v>
      </c>
      <c r="BQ226" s="159">
        <f t="shared" si="194"/>
        <v>1.7660553822891783E-3</v>
      </c>
      <c r="BR226" s="159">
        <f t="shared" si="194"/>
        <v>1.9834463290388841E-3</v>
      </c>
      <c r="BS226" s="159">
        <f t="shared" si="194"/>
        <v>5.4578608210420041E-5</v>
      </c>
      <c r="BT226" s="159">
        <f t="shared" si="194"/>
        <v>1.2408152775036832E-3</v>
      </c>
      <c r="BU226" s="159">
        <f t="shared" si="194"/>
        <v>1.4902304642648665E-3</v>
      </c>
      <c r="BV226" s="159">
        <f t="shared" si="194"/>
        <v>1.864246572305559E-3</v>
      </c>
      <c r="BW226" s="159">
        <f t="shared" si="194"/>
        <v>2.4938127598338887E-3</v>
      </c>
      <c r="BX226" s="159">
        <f t="shared" si="194"/>
        <v>1.3709110923047854E-3</v>
      </c>
      <c r="BY226" s="159">
        <f t="shared" si="194"/>
        <v>3.5668516426020597E-5</v>
      </c>
      <c r="BZ226" s="159">
        <f t="shared" si="194"/>
        <v>2.5686480776563798E-3</v>
      </c>
      <c r="CA226" s="118">
        <f t="shared" si="194"/>
        <v>0</v>
      </c>
      <c r="CB226" s="18"/>
      <c r="CC226" s="271"/>
      <c r="CD226" s="147">
        <f t="shared" si="143"/>
        <v>1.9630368514256813E-3</v>
      </c>
      <c r="CE226" s="148">
        <f t="shared" si="143"/>
        <v>1.6812304831162553E-6</v>
      </c>
      <c r="CF226" s="148">
        <f t="shared" si="143"/>
        <v>2.6256757070423005E-5</v>
      </c>
      <c r="CG226" s="119">
        <f t="shared" si="143"/>
        <v>4.4556153865407183E-3</v>
      </c>
      <c r="CH226" s="18"/>
      <c r="CI226" s="18"/>
      <c r="CJ226" s="18"/>
    </row>
    <row r="227" spans="1:88" ht="13.95" customHeight="1" x14ac:dyDescent="0.25">
      <c r="A227" s="8" t="s">
        <v>58</v>
      </c>
      <c r="B227" s="256"/>
      <c r="C227" s="22">
        <f t="shared" ref="C227:AH227" si="195">C60/C$84</f>
        <v>8.6081920448315488E-3</v>
      </c>
      <c r="D227" s="159">
        <f t="shared" si="195"/>
        <v>1.390156320471694E-6</v>
      </c>
      <c r="E227" s="159">
        <f t="shared" si="195"/>
        <v>4.9081590389496172E-4</v>
      </c>
      <c r="F227" s="159">
        <f t="shared" si="195"/>
        <v>0</v>
      </c>
      <c r="G227" s="159">
        <f t="shared" si="195"/>
        <v>0</v>
      </c>
      <c r="H227" s="159">
        <f t="shared" si="195"/>
        <v>6.5991786458939302E-4</v>
      </c>
      <c r="I227" s="159">
        <f t="shared" si="195"/>
        <v>1.9511424846755907E-6</v>
      </c>
      <c r="J227" s="159">
        <f t="shared" si="195"/>
        <v>0</v>
      </c>
      <c r="K227" s="159">
        <f t="shared" si="195"/>
        <v>0</v>
      </c>
      <c r="L227" s="159">
        <f t="shared" si="195"/>
        <v>0</v>
      </c>
      <c r="M227" s="159">
        <f t="shared" si="195"/>
        <v>0</v>
      </c>
      <c r="N227" s="159">
        <f t="shared" si="195"/>
        <v>0</v>
      </c>
      <c r="O227" s="159">
        <f t="shared" si="195"/>
        <v>0</v>
      </c>
      <c r="P227" s="159">
        <f t="shared" si="195"/>
        <v>0</v>
      </c>
      <c r="Q227" s="159">
        <f t="shared" si="195"/>
        <v>0</v>
      </c>
      <c r="R227" s="159">
        <f t="shared" si="195"/>
        <v>0</v>
      </c>
      <c r="S227" s="159">
        <f t="shared" si="195"/>
        <v>5.5054513603006861E-7</v>
      </c>
      <c r="T227" s="159">
        <f t="shared" si="195"/>
        <v>0</v>
      </c>
      <c r="U227" s="159">
        <f t="shared" si="195"/>
        <v>0</v>
      </c>
      <c r="V227" s="159">
        <f t="shared" si="195"/>
        <v>0</v>
      </c>
      <c r="W227" s="159">
        <f t="shared" si="195"/>
        <v>0</v>
      </c>
      <c r="X227" s="159">
        <f t="shared" si="195"/>
        <v>0</v>
      </c>
      <c r="Y227" s="159">
        <f t="shared" si="195"/>
        <v>0</v>
      </c>
      <c r="Z227" s="159">
        <f t="shared" si="195"/>
        <v>0</v>
      </c>
      <c r="AA227" s="159">
        <f t="shared" si="195"/>
        <v>0</v>
      </c>
      <c r="AB227" s="159">
        <f t="shared" si="195"/>
        <v>0</v>
      </c>
      <c r="AC227" s="159">
        <f t="shared" si="195"/>
        <v>0</v>
      </c>
      <c r="AD227" s="159">
        <f t="shared" si="195"/>
        <v>0</v>
      </c>
      <c r="AE227" s="159">
        <f t="shared" si="195"/>
        <v>0</v>
      </c>
      <c r="AF227" s="159">
        <f t="shared" si="195"/>
        <v>0</v>
      </c>
      <c r="AG227" s="159">
        <f t="shared" si="195"/>
        <v>0</v>
      </c>
      <c r="AH227" s="159">
        <f t="shared" si="195"/>
        <v>0</v>
      </c>
      <c r="AI227" s="159">
        <f t="shared" ref="AI227:BN227" si="196">AI60/AI$84</f>
        <v>0</v>
      </c>
      <c r="AJ227" s="159">
        <f t="shared" si="196"/>
        <v>2.3836898705153915E-5</v>
      </c>
      <c r="AK227" s="159">
        <f t="shared" si="196"/>
        <v>0</v>
      </c>
      <c r="AL227" s="159">
        <f t="shared" si="196"/>
        <v>1.6026698988407309E-4</v>
      </c>
      <c r="AM227" s="159">
        <f t="shared" si="196"/>
        <v>3.6348921001486723E-5</v>
      </c>
      <c r="AN227" s="159">
        <f t="shared" si="196"/>
        <v>4.4437724026776706E-5</v>
      </c>
      <c r="AO227" s="159">
        <f t="shared" si="196"/>
        <v>0</v>
      </c>
      <c r="AP227" s="159">
        <f t="shared" si="196"/>
        <v>0</v>
      </c>
      <c r="AQ227" s="159">
        <f t="shared" si="196"/>
        <v>1.6581048763272631E-5</v>
      </c>
      <c r="AR227" s="159">
        <f t="shared" si="196"/>
        <v>2.7140062603949711E-6</v>
      </c>
      <c r="AS227" s="159">
        <f t="shared" si="196"/>
        <v>0</v>
      </c>
      <c r="AT227" s="159">
        <f t="shared" si="196"/>
        <v>0</v>
      </c>
      <c r="AU227" s="159">
        <f t="shared" si="196"/>
        <v>0</v>
      </c>
      <c r="AV227" s="159">
        <f t="shared" si="196"/>
        <v>0</v>
      </c>
      <c r="AW227" s="159">
        <f t="shared" si="196"/>
        <v>0</v>
      </c>
      <c r="AX227" s="159">
        <f t="shared" si="196"/>
        <v>0</v>
      </c>
      <c r="AY227" s="159">
        <f t="shared" si="196"/>
        <v>0</v>
      </c>
      <c r="AZ227" s="159">
        <f t="shared" si="196"/>
        <v>0</v>
      </c>
      <c r="BA227" s="159">
        <f t="shared" si="196"/>
        <v>0</v>
      </c>
      <c r="BB227" s="159">
        <f t="shared" si="196"/>
        <v>0</v>
      </c>
      <c r="BC227" s="159">
        <f t="shared" si="196"/>
        <v>0</v>
      </c>
      <c r="BD227" s="159">
        <f t="shared" si="196"/>
        <v>0</v>
      </c>
      <c r="BE227" s="159">
        <f t="shared" si="196"/>
        <v>0</v>
      </c>
      <c r="BF227" s="159">
        <f t="shared" si="196"/>
        <v>2.0441223130227389E-4</v>
      </c>
      <c r="BG227" s="159">
        <f t="shared" si="196"/>
        <v>0</v>
      </c>
      <c r="BH227" s="159">
        <f t="shared" si="196"/>
        <v>0</v>
      </c>
      <c r="BI227" s="159">
        <f t="shared" si="196"/>
        <v>2.7942523739523215E-3</v>
      </c>
      <c r="BJ227" s="159">
        <f t="shared" si="196"/>
        <v>0</v>
      </c>
      <c r="BK227" s="159">
        <f t="shared" si="196"/>
        <v>0</v>
      </c>
      <c r="BL227" s="159">
        <f t="shared" si="196"/>
        <v>1.1404725185002786E-5</v>
      </c>
      <c r="BM227" s="159">
        <f t="shared" si="196"/>
        <v>0</v>
      </c>
      <c r="BN227" s="159">
        <f t="shared" si="196"/>
        <v>0</v>
      </c>
      <c r="BO227" s="159">
        <f t="shared" ref="BO227:CA227" si="197">BO60/BO$84</f>
        <v>0</v>
      </c>
      <c r="BP227" s="159">
        <f t="shared" si="197"/>
        <v>0</v>
      </c>
      <c r="BQ227" s="159">
        <f t="shared" si="197"/>
        <v>1.2103879575436073E-5</v>
      </c>
      <c r="BR227" s="159">
        <f t="shared" si="197"/>
        <v>0</v>
      </c>
      <c r="BS227" s="159">
        <f t="shared" si="197"/>
        <v>0</v>
      </c>
      <c r="BT227" s="159">
        <f t="shared" si="197"/>
        <v>0</v>
      </c>
      <c r="BU227" s="159">
        <f t="shared" si="197"/>
        <v>0</v>
      </c>
      <c r="BV227" s="159">
        <f t="shared" si="197"/>
        <v>0</v>
      </c>
      <c r="BW227" s="159">
        <f t="shared" si="197"/>
        <v>9.2874127182627459E-5</v>
      </c>
      <c r="BX227" s="159">
        <f t="shared" si="197"/>
        <v>0</v>
      </c>
      <c r="BY227" s="159">
        <f t="shared" si="197"/>
        <v>0</v>
      </c>
      <c r="BZ227" s="159">
        <f t="shared" si="197"/>
        <v>1.9194885073570484E-4</v>
      </c>
      <c r="CA227" s="118">
        <f t="shared" si="197"/>
        <v>0</v>
      </c>
      <c r="CB227" s="18"/>
      <c r="CC227" s="271"/>
      <c r="CD227" s="147">
        <f t="shared" si="143"/>
        <v>8.6099120445334778E-4</v>
      </c>
      <c r="CE227" s="148">
        <f t="shared" si="143"/>
        <v>3.485930780607667E-3</v>
      </c>
      <c r="CF227" s="148">
        <f t="shared" si="143"/>
        <v>1.5667203440572371E-6</v>
      </c>
      <c r="CG227" s="119">
        <f t="shared" si="143"/>
        <v>0</v>
      </c>
      <c r="CH227" s="18"/>
      <c r="CI227" s="18"/>
      <c r="CJ227" s="18"/>
    </row>
    <row r="228" spans="1:88" ht="13.95" customHeight="1" x14ac:dyDescent="0.25">
      <c r="A228" s="8" t="s">
        <v>59</v>
      </c>
      <c r="B228" s="256"/>
      <c r="C228" s="22">
        <f t="shared" ref="C228:AH228" si="198">C61/C$84</f>
        <v>9.7135490595561707E-4</v>
      </c>
      <c r="D228" s="159">
        <f t="shared" si="198"/>
        <v>4.3226910785067324E-3</v>
      </c>
      <c r="E228" s="159">
        <f t="shared" si="198"/>
        <v>2.941246234493228E-3</v>
      </c>
      <c r="F228" s="159">
        <f t="shared" si="198"/>
        <v>1.0610143847290971E-2</v>
      </c>
      <c r="G228" s="159">
        <f t="shared" si="198"/>
        <v>7.7200476346822961E-3</v>
      </c>
      <c r="H228" s="159">
        <f t="shared" si="198"/>
        <v>3.4406329563777204E-3</v>
      </c>
      <c r="I228" s="159">
        <f t="shared" si="198"/>
        <v>6.8468766065729906E-3</v>
      </c>
      <c r="J228" s="159">
        <f t="shared" si="198"/>
        <v>2.1695133942739413E-3</v>
      </c>
      <c r="K228" s="159">
        <f t="shared" si="198"/>
        <v>4.6114062833209355E-3</v>
      </c>
      <c r="L228" s="159">
        <f t="shared" si="198"/>
        <v>4.3325483662570675E-3</v>
      </c>
      <c r="M228" s="159">
        <f t="shared" si="198"/>
        <v>8.464715935778043E-3</v>
      </c>
      <c r="N228" s="159">
        <f t="shared" si="198"/>
        <v>7.991317919253069E-3</v>
      </c>
      <c r="O228" s="159">
        <f t="shared" si="198"/>
        <v>7.9696363721321242E-3</v>
      </c>
      <c r="P228" s="159">
        <f t="shared" si="198"/>
        <v>1.1231511142463948E-2</v>
      </c>
      <c r="Q228" s="159">
        <f t="shared" si="198"/>
        <v>1.8250224503633776E-3</v>
      </c>
      <c r="R228" s="159">
        <f t="shared" si="198"/>
        <v>4.8123748447335577E-3</v>
      </c>
      <c r="S228" s="159">
        <f t="shared" si="198"/>
        <v>6.8454782213978726E-3</v>
      </c>
      <c r="T228" s="159">
        <f t="shared" si="198"/>
        <v>4.5102108643176016E-3</v>
      </c>
      <c r="U228" s="159">
        <f t="shared" si="198"/>
        <v>8.262286602987088E-3</v>
      </c>
      <c r="V228" s="159">
        <f t="shared" si="198"/>
        <v>2.7624336088196864E-3</v>
      </c>
      <c r="W228" s="159">
        <f t="shared" si="198"/>
        <v>3.725563688609582E-3</v>
      </c>
      <c r="X228" s="159">
        <f t="shared" si="198"/>
        <v>3.0885453133037985E-3</v>
      </c>
      <c r="Y228" s="159">
        <f t="shared" si="198"/>
        <v>3.9310094148568607E-3</v>
      </c>
      <c r="Z228" s="159">
        <f t="shared" si="198"/>
        <v>5.9516550581765713E-3</v>
      </c>
      <c r="AA228" s="159">
        <f t="shared" si="198"/>
        <v>2.5547534440535776E-3</v>
      </c>
      <c r="AB228" s="159">
        <f t="shared" si="198"/>
        <v>4.4864358224911312E-3</v>
      </c>
      <c r="AC228" s="159">
        <f t="shared" si="198"/>
        <v>5.4130238456139308E-3</v>
      </c>
      <c r="AD228" s="159">
        <f t="shared" si="198"/>
        <v>3.3134716767739322E-3</v>
      </c>
      <c r="AE228" s="159">
        <f t="shared" si="198"/>
        <v>3.8878176378868588E-3</v>
      </c>
      <c r="AF228" s="159">
        <f t="shared" si="198"/>
        <v>4.6096297152503863E-3</v>
      </c>
      <c r="AG228" s="159">
        <f t="shared" si="198"/>
        <v>6.0406656470572391E-3</v>
      </c>
      <c r="AH228" s="159">
        <f t="shared" si="198"/>
        <v>1.0709406915011802E-2</v>
      </c>
      <c r="AI228" s="159">
        <f t="shared" ref="AI228:BN228" si="199">AI61/AI$84</f>
        <v>1.0011940479679833E-2</v>
      </c>
      <c r="AJ228" s="159">
        <f t="shared" si="199"/>
        <v>5.2638352274608433E-3</v>
      </c>
      <c r="AK228" s="159">
        <f t="shared" si="199"/>
        <v>7.8280961981888331E-3</v>
      </c>
      <c r="AL228" s="159">
        <f t="shared" si="199"/>
        <v>8.2499910822822781E-3</v>
      </c>
      <c r="AM228" s="159">
        <f t="shared" si="199"/>
        <v>4.2030327909077835E-3</v>
      </c>
      <c r="AN228" s="159">
        <f t="shared" si="199"/>
        <v>2.1646565333397021E-2</v>
      </c>
      <c r="AO228" s="159">
        <f t="shared" si="199"/>
        <v>5.3959311298875413E-2</v>
      </c>
      <c r="AP228" s="159">
        <f t="shared" si="199"/>
        <v>7.412026554635011E-3</v>
      </c>
      <c r="AQ228" s="159">
        <f t="shared" si="199"/>
        <v>1.5957733978163687E-2</v>
      </c>
      <c r="AR228" s="159">
        <f t="shared" si="199"/>
        <v>5.900020718004417E-3</v>
      </c>
      <c r="AS228" s="159">
        <f t="shared" si="199"/>
        <v>8.4704985128111719E-3</v>
      </c>
      <c r="AT228" s="159">
        <f t="shared" si="199"/>
        <v>9.324765909836108E-3</v>
      </c>
      <c r="AU228" s="159">
        <f t="shared" si="199"/>
        <v>1.0220830852419045E-2</v>
      </c>
      <c r="AV228" s="159">
        <f t="shared" si="199"/>
        <v>2.5260963288451684E-2</v>
      </c>
      <c r="AW228" s="159">
        <f t="shared" si="199"/>
        <v>9.7318611324609915E-3</v>
      </c>
      <c r="AX228" s="159">
        <f t="shared" si="199"/>
        <v>1.2961839105105668E-2</v>
      </c>
      <c r="AY228" s="159">
        <f t="shared" si="199"/>
        <v>1.3340393627380956E-3</v>
      </c>
      <c r="AZ228" s="159">
        <f t="shared" si="199"/>
        <v>4.0486061371539827E-4</v>
      </c>
      <c r="BA228" s="159">
        <f t="shared" si="199"/>
        <v>7.246513216799538E-3</v>
      </c>
      <c r="BB228" s="159">
        <f t="shared" si="199"/>
        <v>9.9206114593637282E-4</v>
      </c>
      <c r="BC228" s="159">
        <f t="shared" si="199"/>
        <v>1.1384682984094759E-2</v>
      </c>
      <c r="BD228" s="159">
        <f t="shared" si="199"/>
        <v>8.4011192977511938E-3</v>
      </c>
      <c r="BE228" s="159">
        <f t="shared" si="199"/>
        <v>6.3504133306099848E-3</v>
      </c>
      <c r="BF228" s="159">
        <f t="shared" si="199"/>
        <v>5.3067118295676806E-3</v>
      </c>
      <c r="BG228" s="159">
        <f t="shared" si="199"/>
        <v>6.4521690209901469E-3</v>
      </c>
      <c r="BH228" s="159">
        <f t="shared" si="199"/>
        <v>1.1775531570427215E-2</v>
      </c>
      <c r="BI228" s="159">
        <f t="shared" si="199"/>
        <v>1.7117493746552843E-3</v>
      </c>
      <c r="BJ228" s="159">
        <f t="shared" si="199"/>
        <v>2.4826951686363549E-2</v>
      </c>
      <c r="BK228" s="159">
        <f t="shared" si="199"/>
        <v>8.6952295638271729E-3</v>
      </c>
      <c r="BL228" s="159">
        <f t="shared" si="199"/>
        <v>8.6724295088624215E-3</v>
      </c>
      <c r="BM228" s="159">
        <f t="shared" si="199"/>
        <v>2.0842492443733918E-2</v>
      </c>
      <c r="BN228" s="159">
        <f t="shared" si="199"/>
        <v>2.0005600889822783E-2</v>
      </c>
      <c r="BO228" s="159">
        <f t="shared" ref="BO228:CA228" si="200">BO61/BO$84</f>
        <v>1.7599246972017323E-2</v>
      </c>
      <c r="BP228" s="159">
        <f t="shared" si="200"/>
        <v>1.4255390554984676E-3</v>
      </c>
      <c r="BQ228" s="159">
        <f t="shared" si="200"/>
        <v>2.7377522706765914E-3</v>
      </c>
      <c r="BR228" s="159">
        <f t="shared" si="200"/>
        <v>3.5160873551426473E-3</v>
      </c>
      <c r="BS228" s="159">
        <f t="shared" si="200"/>
        <v>4.5529080424976665E-3</v>
      </c>
      <c r="BT228" s="159">
        <f t="shared" si="200"/>
        <v>1.4397514330691315E-2</v>
      </c>
      <c r="BU228" s="159">
        <f t="shared" si="200"/>
        <v>8.3373822458440369E-3</v>
      </c>
      <c r="BV228" s="159">
        <f t="shared" si="200"/>
        <v>9.3046057975045299E-3</v>
      </c>
      <c r="BW228" s="159">
        <f t="shared" si="200"/>
        <v>2.4633409296392451E-2</v>
      </c>
      <c r="BX228" s="159">
        <f t="shared" si="200"/>
        <v>5.646018928175427E-5</v>
      </c>
      <c r="BY228" s="159">
        <f t="shared" si="200"/>
        <v>6.7009252859017363E-3</v>
      </c>
      <c r="BZ228" s="159">
        <f t="shared" si="200"/>
        <v>9.9104952942241573E-3</v>
      </c>
      <c r="CA228" s="118">
        <f t="shared" si="200"/>
        <v>0</v>
      </c>
      <c r="CB228" s="18"/>
      <c r="CC228" s="271"/>
      <c r="CD228" s="147">
        <f t="shared" si="143"/>
        <v>6.5555801881434124E-3</v>
      </c>
      <c r="CE228" s="148">
        <f t="shared" si="143"/>
        <v>0</v>
      </c>
      <c r="CF228" s="148">
        <f t="shared" si="143"/>
        <v>1.2548237886071469E-4</v>
      </c>
      <c r="CG228" s="119">
        <f t="shared" si="143"/>
        <v>7.3626507295575629E-4</v>
      </c>
      <c r="CH228" s="18"/>
      <c r="CI228" s="18"/>
      <c r="CJ228" s="18"/>
    </row>
    <row r="229" spans="1:88" ht="13.95" customHeight="1" x14ac:dyDescent="0.25">
      <c r="A229" s="8" t="s">
        <v>60</v>
      </c>
      <c r="B229" s="256"/>
      <c r="C229" s="22">
        <f t="shared" ref="C229:AH229" si="201">C62/C$84</f>
        <v>1.0868109517961969E-4</v>
      </c>
      <c r="D229" s="159">
        <f t="shared" si="201"/>
        <v>2.1894962047429179E-5</v>
      </c>
      <c r="E229" s="159">
        <f t="shared" si="201"/>
        <v>6.3130967564184676E-4</v>
      </c>
      <c r="F229" s="159">
        <f t="shared" si="201"/>
        <v>6.1091612776302927E-5</v>
      </c>
      <c r="G229" s="159">
        <f t="shared" si="201"/>
        <v>3.3523612000559133E-4</v>
      </c>
      <c r="H229" s="159">
        <f t="shared" si="201"/>
        <v>2.8406396986045291E-3</v>
      </c>
      <c r="I229" s="159">
        <f t="shared" si="201"/>
        <v>6.0517633563643772E-3</v>
      </c>
      <c r="J229" s="159">
        <f t="shared" si="201"/>
        <v>1.0238975572496364E-2</v>
      </c>
      <c r="K229" s="159">
        <f t="shared" si="201"/>
        <v>1.1630115518773279E-3</v>
      </c>
      <c r="L229" s="159">
        <f t="shared" si="201"/>
        <v>1.1861867901438985E-3</v>
      </c>
      <c r="M229" s="159">
        <f t="shared" si="201"/>
        <v>3.6274320348774017E-4</v>
      </c>
      <c r="N229" s="159">
        <f t="shared" si="201"/>
        <v>2.7558010623995629E-3</v>
      </c>
      <c r="O229" s="159">
        <f t="shared" si="201"/>
        <v>3.9955876225169096E-3</v>
      </c>
      <c r="P229" s="159">
        <f t="shared" si="201"/>
        <v>2.8249635063181725E-3</v>
      </c>
      <c r="Q229" s="159">
        <f t="shared" si="201"/>
        <v>4.5165834420703308E-5</v>
      </c>
      <c r="R229" s="159">
        <f t="shared" si="201"/>
        <v>3.0577993588457391E-3</v>
      </c>
      <c r="S229" s="159">
        <f t="shared" si="201"/>
        <v>1.7209352770879906E-2</v>
      </c>
      <c r="T229" s="159">
        <f t="shared" si="201"/>
        <v>5.4392677235300009E-3</v>
      </c>
      <c r="U229" s="159">
        <f t="shared" si="201"/>
        <v>6.2125036321950579E-3</v>
      </c>
      <c r="V229" s="159">
        <f t="shared" si="201"/>
        <v>4.3478814094386935E-3</v>
      </c>
      <c r="W229" s="159">
        <f t="shared" si="201"/>
        <v>2.4087825298031418E-3</v>
      </c>
      <c r="X229" s="159">
        <f t="shared" si="201"/>
        <v>7.3243725127730957E-3</v>
      </c>
      <c r="Y229" s="159">
        <f t="shared" si="201"/>
        <v>3.1099430021428159E-3</v>
      </c>
      <c r="Z229" s="159">
        <f t="shared" si="201"/>
        <v>1.4292692790839243E-3</v>
      </c>
      <c r="AA229" s="159">
        <f t="shared" si="201"/>
        <v>3.504232095671125E-3</v>
      </c>
      <c r="AB229" s="159">
        <f t="shared" si="201"/>
        <v>4.9512343748706544E-4</v>
      </c>
      <c r="AC229" s="159">
        <f t="shared" si="201"/>
        <v>3.0656785323248363E-4</v>
      </c>
      <c r="AD229" s="159">
        <f t="shared" si="201"/>
        <v>1.540203275318449E-3</v>
      </c>
      <c r="AE229" s="159">
        <f t="shared" si="201"/>
        <v>7.3488019563299062E-3</v>
      </c>
      <c r="AF229" s="159">
        <f t="shared" si="201"/>
        <v>2.2068899343098534E-4</v>
      </c>
      <c r="AG229" s="159">
        <f t="shared" si="201"/>
        <v>6.2057860692954969E-5</v>
      </c>
      <c r="AH229" s="159">
        <f t="shared" si="201"/>
        <v>1.4866726439581868E-3</v>
      </c>
      <c r="AI229" s="159">
        <f t="shared" ref="AI229:BN229" si="202">AI62/AI$84</f>
        <v>1.689947664319699E-5</v>
      </c>
      <c r="AJ229" s="159">
        <f t="shared" si="202"/>
        <v>2.8649001559531992E-3</v>
      </c>
      <c r="AK229" s="159">
        <f t="shared" si="202"/>
        <v>6.4727387370413225E-3</v>
      </c>
      <c r="AL229" s="159">
        <f t="shared" si="202"/>
        <v>3.8648100331452814E-3</v>
      </c>
      <c r="AM229" s="159">
        <f t="shared" si="202"/>
        <v>6.8835919402709094E-3</v>
      </c>
      <c r="AN229" s="159">
        <f t="shared" si="202"/>
        <v>2.7194867013161476E-3</v>
      </c>
      <c r="AO229" s="159">
        <f t="shared" si="202"/>
        <v>8.9858993872670193E-4</v>
      </c>
      <c r="AP229" s="159">
        <f t="shared" si="202"/>
        <v>5.7546888056029073E-3</v>
      </c>
      <c r="AQ229" s="159">
        <f t="shared" si="202"/>
        <v>2.7478114010495404E-4</v>
      </c>
      <c r="AR229" s="159">
        <f t="shared" si="202"/>
        <v>4.2505261902258106E-4</v>
      </c>
      <c r="AS229" s="159">
        <f t="shared" si="202"/>
        <v>2.5473373112879005E-2</v>
      </c>
      <c r="AT229" s="159">
        <f t="shared" si="202"/>
        <v>2.1347300710603166E-4</v>
      </c>
      <c r="AU229" s="159">
        <f t="shared" si="202"/>
        <v>8.9828597055862186E-6</v>
      </c>
      <c r="AV229" s="159">
        <f t="shared" si="202"/>
        <v>4.6361794080147277E-3</v>
      </c>
      <c r="AW229" s="159">
        <f t="shared" si="202"/>
        <v>7.4444805164553835E-3</v>
      </c>
      <c r="AX229" s="159">
        <f t="shared" si="202"/>
        <v>1.0030516463383116E-2</v>
      </c>
      <c r="AY229" s="159">
        <f t="shared" si="202"/>
        <v>3.7121228136785018E-4</v>
      </c>
      <c r="AZ229" s="159">
        <f t="shared" si="202"/>
        <v>8.6755245388905335E-4</v>
      </c>
      <c r="BA229" s="159">
        <f t="shared" si="202"/>
        <v>1.0037767534939353E-3</v>
      </c>
      <c r="BB229" s="159">
        <f t="shared" si="202"/>
        <v>7.4388766707559771E-4</v>
      </c>
      <c r="BC229" s="159">
        <f t="shared" si="202"/>
        <v>1.0370275733217247E-2</v>
      </c>
      <c r="BD229" s="159">
        <f t="shared" si="202"/>
        <v>1.1706217962601106E-2</v>
      </c>
      <c r="BE229" s="159">
        <f t="shared" si="202"/>
        <v>7.4418258356223699E-3</v>
      </c>
      <c r="BF229" s="159">
        <f t="shared" si="202"/>
        <v>1.7590466180211525E-4</v>
      </c>
      <c r="BG229" s="159">
        <f t="shared" si="202"/>
        <v>3.6715307909968263E-3</v>
      </c>
      <c r="BH229" s="159">
        <f t="shared" si="202"/>
        <v>2.9741906525413374E-4</v>
      </c>
      <c r="BI229" s="159">
        <f t="shared" si="202"/>
        <v>0</v>
      </c>
      <c r="BJ229" s="159">
        <f t="shared" si="202"/>
        <v>2.7400885619974337E-3</v>
      </c>
      <c r="BK229" s="159">
        <f t="shared" si="202"/>
        <v>9.5744103439802677E-2</v>
      </c>
      <c r="BL229" s="159">
        <f t="shared" si="202"/>
        <v>5.4500762474998159E-4</v>
      </c>
      <c r="BM229" s="159">
        <f t="shared" si="202"/>
        <v>2.6820581353716516E-3</v>
      </c>
      <c r="BN229" s="159">
        <f t="shared" si="202"/>
        <v>1.9482531063176208E-2</v>
      </c>
      <c r="BO229" s="159">
        <f t="shared" ref="BO229:CA229" si="203">BO62/BO$84</f>
        <v>4.5234792219666321E-3</v>
      </c>
      <c r="BP229" s="159">
        <f t="shared" si="203"/>
        <v>1.5762566573337166E-4</v>
      </c>
      <c r="BQ229" s="159">
        <f t="shared" si="203"/>
        <v>7.8677353847496953E-4</v>
      </c>
      <c r="BR229" s="159">
        <f t="shared" si="203"/>
        <v>2.5214439697833738E-3</v>
      </c>
      <c r="BS229" s="159">
        <f t="shared" si="203"/>
        <v>8.9386170394414833E-5</v>
      </c>
      <c r="BT229" s="159">
        <f t="shared" si="203"/>
        <v>1.040162651625369E-3</v>
      </c>
      <c r="BU229" s="159">
        <f t="shared" si="203"/>
        <v>6.6133610652948304E-4</v>
      </c>
      <c r="BV229" s="159">
        <f t="shared" si="203"/>
        <v>5.219890402455565E-4</v>
      </c>
      <c r="BW229" s="159">
        <f t="shared" si="203"/>
        <v>1.2972749249656821E-3</v>
      </c>
      <c r="BX229" s="159">
        <f t="shared" si="203"/>
        <v>2.9878567320636386E-5</v>
      </c>
      <c r="BY229" s="159">
        <f t="shared" si="203"/>
        <v>4.1130258003755005E-4</v>
      </c>
      <c r="BZ229" s="159">
        <f t="shared" si="203"/>
        <v>6.4680368142414155E-4</v>
      </c>
      <c r="CA229" s="118">
        <f t="shared" si="203"/>
        <v>0</v>
      </c>
      <c r="CB229" s="18"/>
      <c r="CC229" s="271"/>
      <c r="CD229" s="147">
        <f t="shared" ref="CD229:CG243" si="204">CD62/(CD$79+CD$80)</f>
        <v>9.2719108309720612E-5</v>
      </c>
      <c r="CE229" s="148">
        <f t="shared" si="204"/>
        <v>0</v>
      </c>
      <c r="CF229" s="148">
        <f t="shared" si="204"/>
        <v>1.1256545080672105E-5</v>
      </c>
      <c r="CG229" s="119">
        <f t="shared" si="204"/>
        <v>0</v>
      </c>
      <c r="CH229" s="18"/>
      <c r="CI229" s="18"/>
      <c r="CJ229" s="18"/>
    </row>
    <row r="230" spans="1:88" ht="13.95" customHeight="1" x14ac:dyDescent="0.25">
      <c r="A230" s="8" t="s">
        <v>61</v>
      </c>
      <c r="B230" s="256"/>
      <c r="C230" s="22">
        <f t="shared" ref="C230:AH230" si="205">C63/C$84</f>
        <v>1.2733407985448689E-6</v>
      </c>
      <c r="D230" s="159">
        <f t="shared" si="205"/>
        <v>1.9748908227701001E-4</v>
      </c>
      <c r="E230" s="159">
        <f t="shared" si="205"/>
        <v>1.8245944382712333E-6</v>
      </c>
      <c r="F230" s="159">
        <f t="shared" si="205"/>
        <v>2.0621641443477782E-7</v>
      </c>
      <c r="G230" s="159">
        <f t="shared" si="205"/>
        <v>4.9438862142238721E-6</v>
      </c>
      <c r="H230" s="159">
        <f t="shared" si="205"/>
        <v>1.3511249382756968E-5</v>
      </c>
      <c r="I230" s="159">
        <f t="shared" si="205"/>
        <v>3.8569095627308192E-5</v>
      </c>
      <c r="J230" s="159">
        <f t="shared" si="205"/>
        <v>6.0859139887334366E-4</v>
      </c>
      <c r="K230" s="159">
        <f t="shared" si="205"/>
        <v>6.9282199240058766E-6</v>
      </c>
      <c r="L230" s="159">
        <f t="shared" si="205"/>
        <v>1.3903530760743953E-5</v>
      </c>
      <c r="M230" s="159">
        <f t="shared" si="205"/>
        <v>1.2316666515443229E-4</v>
      </c>
      <c r="N230" s="159">
        <f t="shared" si="205"/>
        <v>7.8260803105556175E-6</v>
      </c>
      <c r="O230" s="159">
        <f t="shared" si="205"/>
        <v>3.4360837240822742E-5</v>
      </c>
      <c r="P230" s="159">
        <f t="shared" si="205"/>
        <v>5.4316177603455346E-5</v>
      </c>
      <c r="Q230" s="159">
        <f t="shared" si="205"/>
        <v>1.0994431621843759E-6</v>
      </c>
      <c r="R230" s="159">
        <f t="shared" si="205"/>
        <v>1.0093322559984258E-4</v>
      </c>
      <c r="S230" s="159">
        <f t="shared" si="205"/>
        <v>1.1398348860082533E-3</v>
      </c>
      <c r="T230" s="159">
        <f t="shared" si="205"/>
        <v>6.942662685583251E-5</v>
      </c>
      <c r="U230" s="159">
        <f t="shared" si="205"/>
        <v>2.256238804787643E-5</v>
      </c>
      <c r="V230" s="159">
        <f t="shared" si="205"/>
        <v>1.7717199986599353E-7</v>
      </c>
      <c r="W230" s="159">
        <f t="shared" si="205"/>
        <v>6.8027499502465038E-6</v>
      </c>
      <c r="X230" s="159">
        <f t="shared" si="205"/>
        <v>3.4191272053050997E-5</v>
      </c>
      <c r="Y230" s="159">
        <f t="shared" si="205"/>
        <v>8.278209618813151E-5</v>
      </c>
      <c r="Z230" s="159">
        <f t="shared" si="205"/>
        <v>2.1191350805935269E-5</v>
      </c>
      <c r="AA230" s="159">
        <f t="shared" si="205"/>
        <v>3.7113769717315677E-6</v>
      </c>
      <c r="AB230" s="159">
        <f t="shared" si="205"/>
        <v>1.0258933973011022E-4</v>
      </c>
      <c r="AC230" s="159">
        <f t="shared" si="205"/>
        <v>1.4023319241857744E-5</v>
      </c>
      <c r="AD230" s="159">
        <f t="shared" si="205"/>
        <v>5.2778121770447446E-6</v>
      </c>
      <c r="AE230" s="159">
        <f t="shared" si="205"/>
        <v>1.3481582983912232E-4</v>
      </c>
      <c r="AF230" s="159">
        <f t="shared" si="205"/>
        <v>1.5123334918387668E-5</v>
      </c>
      <c r="AG230" s="159">
        <f t="shared" si="205"/>
        <v>2.8397285366401481E-5</v>
      </c>
      <c r="AH230" s="159">
        <f t="shared" si="205"/>
        <v>3.481815876766721E-5</v>
      </c>
      <c r="AI230" s="159">
        <f t="shared" ref="AI230:BN230" si="206">AI63/AI$84</f>
        <v>1.2720036183051496E-6</v>
      </c>
      <c r="AJ230" s="159">
        <f t="shared" si="206"/>
        <v>2.7921571153173011E-5</v>
      </c>
      <c r="AK230" s="159">
        <f t="shared" si="206"/>
        <v>4.5700785868423985E-5</v>
      </c>
      <c r="AL230" s="159">
        <f t="shared" si="206"/>
        <v>9.5463953497093744E-5</v>
      </c>
      <c r="AM230" s="159">
        <f t="shared" si="206"/>
        <v>3.7665948764588763E-5</v>
      </c>
      <c r="AN230" s="159">
        <f t="shared" si="206"/>
        <v>1.8009710592659805E-4</v>
      </c>
      <c r="AO230" s="159">
        <f t="shared" si="206"/>
        <v>4.8897086350939908E-3</v>
      </c>
      <c r="AP230" s="159">
        <f t="shared" si="206"/>
        <v>4.0413304316963046E-4</v>
      </c>
      <c r="AQ230" s="159">
        <f t="shared" si="206"/>
        <v>5.7547514321715058E-3</v>
      </c>
      <c r="AR230" s="159">
        <f t="shared" si="206"/>
        <v>1.8399654490653617E-4</v>
      </c>
      <c r="AS230" s="159">
        <f t="shared" si="206"/>
        <v>3.6817156795066504E-5</v>
      </c>
      <c r="AT230" s="159">
        <f t="shared" si="206"/>
        <v>3.010902780056864E-7</v>
      </c>
      <c r="AU230" s="159">
        <f t="shared" si="206"/>
        <v>1.818751841624864E-5</v>
      </c>
      <c r="AV230" s="159">
        <f t="shared" si="206"/>
        <v>4.6432321261346029E-5</v>
      </c>
      <c r="AW230" s="159">
        <f t="shared" si="206"/>
        <v>1.5883001721530126E-4</v>
      </c>
      <c r="AX230" s="159">
        <f t="shared" si="206"/>
        <v>1.0338074169938794E-3</v>
      </c>
      <c r="AY230" s="159">
        <f t="shared" si="206"/>
        <v>1.5065701304958878E-4</v>
      </c>
      <c r="AZ230" s="159">
        <f t="shared" si="206"/>
        <v>0</v>
      </c>
      <c r="BA230" s="159">
        <f t="shared" si="206"/>
        <v>6.6901894456028249E-5</v>
      </c>
      <c r="BB230" s="159">
        <f t="shared" si="206"/>
        <v>9.9734700838146039E-5</v>
      </c>
      <c r="BC230" s="159">
        <f t="shared" si="206"/>
        <v>2.8684583285008597E-4</v>
      </c>
      <c r="BD230" s="159">
        <f t="shared" si="206"/>
        <v>2.8116380620609469E-4</v>
      </c>
      <c r="BE230" s="159">
        <f t="shared" si="206"/>
        <v>1.9403556661720531E-4</v>
      </c>
      <c r="BF230" s="159">
        <f t="shared" si="206"/>
        <v>9.9591379162891882E-5</v>
      </c>
      <c r="BG230" s="159">
        <f t="shared" si="206"/>
        <v>4.0165578080439353E-4</v>
      </c>
      <c r="BH230" s="159">
        <f t="shared" si="206"/>
        <v>1.6039298071465737E-5</v>
      </c>
      <c r="BI230" s="159">
        <f t="shared" si="206"/>
        <v>0</v>
      </c>
      <c r="BJ230" s="159">
        <f t="shared" si="206"/>
        <v>9.8347667714955198E-4</v>
      </c>
      <c r="BK230" s="159">
        <f t="shared" si="206"/>
        <v>2.4883281856043993E-5</v>
      </c>
      <c r="BL230" s="159">
        <f t="shared" si="206"/>
        <v>4.3274624918460534E-2</v>
      </c>
      <c r="BM230" s="159">
        <f t="shared" si="206"/>
        <v>9.3984962406015043E-5</v>
      </c>
      <c r="BN230" s="159">
        <f t="shared" si="206"/>
        <v>9.6807415355081079E-6</v>
      </c>
      <c r="BO230" s="159">
        <f t="shared" ref="BO230:CA230" si="207">BO63/BO$84</f>
        <v>9.7242578792044304E-4</v>
      </c>
      <c r="BP230" s="159">
        <f t="shared" si="207"/>
        <v>7.2467926351562281E-5</v>
      </c>
      <c r="BQ230" s="159">
        <f t="shared" si="207"/>
        <v>1.7806484092089007E-4</v>
      </c>
      <c r="BR230" s="159">
        <f t="shared" si="207"/>
        <v>5.9051109300955921E-5</v>
      </c>
      <c r="BS230" s="159">
        <f t="shared" si="207"/>
        <v>0</v>
      </c>
      <c r="BT230" s="159">
        <f t="shared" si="207"/>
        <v>1.447250664329085E-3</v>
      </c>
      <c r="BU230" s="159">
        <f t="shared" si="207"/>
        <v>2.1442019160953292E-2</v>
      </c>
      <c r="BV230" s="159">
        <f t="shared" si="207"/>
        <v>2.7711773372109662E-5</v>
      </c>
      <c r="BW230" s="159">
        <f t="shared" si="207"/>
        <v>5.8138064056482055E-3</v>
      </c>
      <c r="BX230" s="159">
        <f t="shared" si="207"/>
        <v>1.2136880104727469E-4</v>
      </c>
      <c r="BY230" s="159">
        <f t="shared" si="207"/>
        <v>0</v>
      </c>
      <c r="BZ230" s="159">
        <f t="shared" si="207"/>
        <v>6.0243444094139974E-5</v>
      </c>
      <c r="CA230" s="118">
        <f t="shared" si="207"/>
        <v>0</v>
      </c>
      <c r="CB230" s="18"/>
      <c r="CC230" s="271"/>
      <c r="CD230" s="147">
        <f t="shared" si="204"/>
        <v>1.0863538954313882E-2</v>
      </c>
      <c r="CE230" s="148">
        <f t="shared" si="204"/>
        <v>3.4604863015832667E-4</v>
      </c>
      <c r="CF230" s="148">
        <f t="shared" si="204"/>
        <v>9.9339152250005966E-8</v>
      </c>
      <c r="CG230" s="119">
        <f t="shared" si="204"/>
        <v>2.8351244808245225E-4</v>
      </c>
      <c r="CH230" s="18"/>
      <c r="CI230" s="18"/>
      <c r="CJ230" s="18"/>
    </row>
    <row r="231" spans="1:88" ht="13.95" customHeight="1" x14ac:dyDescent="0.25">
      <c r="A231" s="8" t="s">
        <v>62</v>
      </c>
      <c r="B231" s="256"/>
      <c r="C231" s="22">
        <f t="shared" ref="C231:AH231" si="208">C64/C$84</f>
        <v>2.4161398648419699E-4</v>
      </c>
      <c r="D231" s="159">
        <f t="shared" si="208"/>
        <v>1.5818241231567286E-3</v>
      </c>
      <c r="E231" s="159">
        <f t="shared" si="208"/>
        <v>3.7404185984560279E-4</v>
      </c>
      <c r="F231" s="159">
        <f t="shared" si="208"/>
        <v>2.7810345650674138E-3</v>
      </c>
      <c r="G231" s="159">
        <f t="shared" si="208"/>
        <v>2.6777577674547627E-3</v>
      </c>
      <c r="H231" s="159">
        <f t="shared" si="208"/>
        <v>8.3096760219855952E-4</v>
      </c>
      <c r="I231" s="159">
        <f t="shared" si="208"/>
        <v>1.4164840684678585E-3</v>
      </c>
      <c r="J231" s="159">
        <f t="shared" si="208"/>
        <v>1.1764083839454315E-3</v>
      </c>
      <c r="K231" s="159">
        <f t="shared" si="208"/>
        <v>2.062919727616189E-3</v>
      </c>
      <c r="L231" s="159">
        <f t="shared" si="208"/>
        <v>7.1911737710115252E-4</v>
      </c>
      <c r="M231" s="159">
        <f t="shared" si="208"/>
        <v>9.386149310044666E-4</v>
      </c>
      <c r="N231" s="159">
        <f t="shared" si="208"/>
        <v>9.7441243411827607E-4</v>
      </c>
      <c r="O231" s="159">
        <f t="shared" si="208"/>
        <v>1.4253665890828018E-3</v>
      </c>
      <c r="P231" s="159">
        <f t="shared" si="208"/>
        <v>2.277399732373449E-3</v>
      </c>
      <c r="Q231" s="159">
        <f t="shared" si="208"/>
        <v>1.0477516006074813E-3</v>
      </c>
      <c r="R231" s="159">
        <f t="shared" si="208"/>
        <v>2.2861591235872991E-3</v>
      </c>
      <c r="S231" s="159">
        <f t="shared" si="208"/>
        <v>1.5504727393446805E-3</v>
      </c>
      <c r="T231" s="159">
        <f t="shared" si="208"/>
        <v>1.3077404662011631E-3</v>
      </c>
      <c r="U231" s="159">
        <f t="shared" si="208"/>
        <v>1.8601191441842619E-3</v>
      </c>
      <c r="V231" s="159">
        <f t="shared" si="208"/>
        <v>1.5900381660700802E-3</v>
      </c>
      <c r="W231" s="159">
        <f t="shared" si="208"/>
        <v>1.3151811189850619E-3</v>
      </c>
      <c r="X231" s="159">
        <f t="shared" si="208"/>
        <v>9.6419955150933592E-4</v>
      </c>
      <c r="Y231" s="159">
        <f t="shared" si="208"/>
        <v>9.9174402338573489E-4</v>
      </c>
      <c r="Z231" s="159">
        <f t="shared" si="208"/>
        <v>9.9397325979815347E-4</v>
      </c>
      <c r="AA231" s="159">
        <f t="shared" si="208"/>
        <v>8.5189028769343256E-4</v>
      </c>
      <c r="AB231" s="159">
        <f t="shared" si="208"/>
        <v>1.5098245025409551E-3</v>
      </c>
      <c r="AC231" s="159">
        <f t="shared" si="208"/>
        <v>1.3784922814746162E-3</v>
      </c>
      <c r="AD231" s="159">
        <f t="shared" si="208"/>
        <v>1.6920359879479246E-3</v>
      </c>
      <c r="AE231" s="159">
        <f t="shared" si="208"/>
        <v>9.2644236224771759E-4</v>
      </c>
      <c r="AF231" s="159">
        <f t="shared" si="208"/>
        <v>1.7954483495694507E-3</v>
      </c>
      <c r="AG231" s="159">
        <f t="shared" si="208"/>
        <v>3.7543169687856304E-3</v>
      </c>
      <c r="AH231" s="159">
        <f t="shared" si="208"/>
        <v>3.7285752001652035E-3</v>
      </c>
      <c r="AI231" s="159">
        <f t="shared" ref="AI231:BN231" si="209">AI64/AI$84</f>
        <v>1.9907765200488669E-3</v>
      </c>
      <c r="AJ231" s="159">
        <f t="shared" si="209"/>
        <v>1.4638632919376756E-3</v>
      </c>
      <c r="AK231" s="159">
        <f t="shared" si="209"/>
        <v>1.4253111484099914E-3</v>
      </c>
      <c r="AL231" s="159">
        <f t="shared" si="209"/>
        <v>2.346461950603459E-3</v>
      </c>
      <c r="AM231" s="159">
        <f t="shared" si="209"/>
        <v>3.027982711188407E-3</v>
      </c>
      <c r="AN231" s="159">
        <f t="shared" si="209"/>
        <v>1.7202244631685448E-3</v>
      </c>
      <c r="AO231" s="159">
        <f t="shared" si="209"/>
        <v>9.6812992126359295E-4</v>
      </c>
      <c r="AP231" s="159">
        <f t="shared" si="209"/>
        <v>3.0543600607459941E-3</v>
      </c>
      <c r="AQ231" s="159">
        <f t="shared" si="209"/>
        <v>5.4657769143251905E-3</v>
      </c>
      <c r="AR231" s="159">
        <f t="shared" si="209"/>
        <v>1.4133759831242436E-3</v>
      </c>
      <c r="AS231" s="159">
        <f t="shared" si="209"/>
        <v>5.6911899096239349E-4</v>
      </c>
      <c r="AT231" s="159">
        <f t="shared" si="209"/>
        <v>2.5640848074964251E-3</v>
      </c>
      <c r="AU231" s="159">
        <f t="shared" si="209"/>
        <v>8.6734500935049157E-4</v>
      </c>
      <c r="AV231" s="159">
        <f t="shared" si="209"/>
        <v>2.7219098446186764E-3</v>
      </c>
      <c r="AW231" s="159">
        <f t="shared" si="209"/>
        <v>6.427420322824808E-4</v>
      </c>
      <c r="AX231" s="159">
        <f t="shared" si="209"/>
        <v>3.8223114785169076E-3</v>
      </c>
      <c r="AY231" s="159">
        <f t="shared" si="209"/>
        <v>7.7012877287136287E-3</v>
      </c>
      <c r="AZ231" s="159">
        <f t="shared" si="209"/>
        <v>1.8339979861620298E-3</v>
      </c>
      <c r="BA231" s="159">
        <f t="shared" si="209"/>
        <v>8.53061238477738E-3</v>
      </c>
      <c r="BB231" s="159">
        <f t="shared" si="209"/>
        <v>3.5274279439476662E-3</v>
      </c>
      <c r="BC231" s="159">
        <f t="shared" si="209"/>
        <v>6.3616284509818426E-4</v>
      </c>
      <c r="BD231" s="159">
        <f t="shared" si="209"/>
        <v>1.889786687630774E-3</v>
      </c>
      <c r="BE231" s="159">
        <f t="shared" si="209"/>
        <v>8.8061140012134882E-4</v>
      </c>
      <c r="BF231" s="159">
        <f t="shared" si="209"/>
        <v>3.3853664351876705E-3</v>
      </c>
      <c r="BG231" s="159">
        <f t="shared" si="209"/>
        <v>1.2437693202844381E-3</v>
      </c>
      <c r="BH231" s="159">
        <f t="shared" si="209"/>
        <v>7.0418217776704146E-4</v>
      </c>
      <c r="BI231" s="159">
        <f t="shared" si="209"/>
        <v>2.3409957500135313E-4</v>
      </c>
      <c r="BJ231" s="159">
        <f t="shared" si="209"/>
        <v>2.8036449772272992E-3</v>
      </c>
      <c r="BK231" s="159">
        <f t="shared" si="209"/>
        <v>6.7029340499718507E-4</v>
      </c>
      <c r="BL231" s="159">
        <f t="shared" si="209"/>
        <v>8.9734451341999197E-4</v>
      </c>
      <c r="BM231" s="159">
        <f t="shared" si="209"/>
        <v>0.15074563485124773</v>
      </c>
      <c r="BN231" s="159">
        <f t="shared" si="209"/>
        <v>1.3543744637837263E-3</v>
      </c>
      <c r="BO231" s="159">
        <f t="shared" ref="BO231:CA231" si="210">BO64/BO$84</f>
        <v>1.0196375736683009E-3</v>
      </c>
      <c r="BP231" s="159">
        <f t="shared" si="210"/>
        <v>4.4211608947985131E-4</v>
      </c>
      <c r="BQ231" s="159">
        <f t="shared" si="210"/>
        <v>1.5384319382346183E-3</v>
      </c>
      <c r="BR231" s="159">
        <f t="shared" si="210"/>
        <v>1.3526685230648642E-3</v>
      </c>
      <c r="BS231" s="159">
        <f t="shared" si="210"/>
        <v>2.2155846256663686E-4</v>
      </c>
      <c r="BT231" s="159">
        <f t="shared" si="210"/>
        <v>1.2584389299138552E-2</v>
      </c>
      <c r="BU231" s="159">
        <f t="shared" si="210"/>
        <v>2.154532203559056E-2</v>
      </c>
      <c r="BV231" s="159">
        <f t="shared" si="210"/>
        <v>2.0899715626820159E-3</v>
      </c>
      <c r="BW231" s="159">
        <f t="shared" si="210"/>
        <v>1.2118535191545196E-2</v>
      </c>
      <c r="BX231" s="159">
        <f t="shared" si="210"/>
        <v>7.9332747713413854E-5</v>
      </c>
      <c r="BY231" s="159">
        <f t="shared" si="210"/>
        <v>1.0925712437745434E-3</v>
      </c>
      <c r="BZ231" s="159">
        <f t="shared" si="210"/>
        <v>4.2527215845304708E-2</v>
      </c>
      <c r="CA231" s="118">
        <f t="shared" si="210"/>
        <v>0</v>
      </c>
      <c r="CB231" s="18"/>
      <c r="CC231" s="271"/>
      <c r="CD231" s="147">
        <f t="shared" si="204"/>
        <v>3.0102024706106788E-4</v>
      </c>
      <c r="CE231" s="148">
        <f t="shared" si="204"/>
        <v>0</v>
      </c>
      <c r="CF231" s="148">
        <f t="shared" si="204"/>
        <v>-7.5497755710004537E-7</v>
      </c>
      <c r="CG231" s="119">
        <f t="shared" si="204"/>
        <v>5.505146672459204E-4</v>
      </c>
      <c r="CH231" s="18"/>
      <c r="CI231" s="18"/>
      <c r="CJ231" s="18"/>
    </row>
    <row r="232" spans="1:88" ht="13.95" customHeight="1" x14ac:dyDescent="0.25">
      <c r="A232" s="8" t="s">
        <v>63</v>
      </c>
      <c r="B232" s="256"/>
      <c r="C232" s="22">
        <f t="shared" ref="C232:AH232" si="211">C65/C$84</f>
        <v>1.5784565822572617E-4</v>
      </c>
      <c r="D232" s="159">
        <f t="shared" si="211"/>
        <v>1.3463663963768355E-3</v>
      </c>
      <c r="E232" s="159">
        <f t="shared" si="211"/>
        <v>4.6344698732089324E-4</v>
      </c>
      <c r="F232" s="159">
        <f t="shared" si="211"/>
        <v>1.661794975722657E-3</v>
      </c>
      <c r="G232" s="159">
        <f t="shared" si="211"/>
        <v>7.0907518716334167E-4</v>
      </c>
      <c r="H232" s="159">
        <f t="shared" si="211"/>
        <v>4.2798505624900077E-4</v>
      </c>
      <c r="I232" s="159">
        <f t="shared" si="211"/>
        <v>1.163606927372578E-3</v>
      </c>
      <c r="J232" s="159">
        <f t="shared" si="211"/>
        <v>1.8448909840995515E-3</v>
      </c>
      <c r="K232" s="159">
        <f t="shared" si="211"/>
        <v>1.7306186427245411E-3</v>
      </c>
      <c r="L232" s="159">
        <f t="shared" si="211"/>
        <v>1.0370398238013726E-3</v>
      </c>
      <c r="M232" s="159">
        <f t="shared" si="211"/>
        <v>2.2249150719511473E-3</v>
      </c>
      <c r="N232" s="159">
        <f t="shared" si="211"/>
        <v>8.3830668958687407E-4</v>
      </c>
      <c r="O232" s="159">
        <f t="shared" si="211"/>
        <v>1.0561142879963203E-3</v>
      </c>
      <c r="P232" s="159">
        <f t="shared" si="211"/>
        <v>1.664328260714668E-3</v>
      </c>
      <c r="Q232" s="159">
        <f t="shared" si="211"/>
        <v>2.1990636539110395E-4</v>
      </c>
      <c r="R232" s="159">
        <f t="shared" si="211"/>
        <v>6.2714823291158998E-4</v>
      </c>
      <c r="S232" s="159">
        <f t="shared" si="211"/>
        <v>1.7623637985742532E-3</v>
      </c>
      <c r="T232" s="159">
        <f t="shared" si="211"/>
        <v>7.5517205963914803E-4</v>
      </c>
      <c r="U232" s="159">
        <f t="shared" si="211"/>
        <v>8.85903181678079E-4</v>
      </c>
      <c r="V232" s="159">
        <f t="shared" si="211"/>
        <v>5.2840743632760452E-4</v>
      </c>
      <c r="W232" s="159">
        <f t="shared" si="211"/>
        <v>8.854413914755597E-4</v>
      </c>
      <c r="X232" s="159">
        <f t="shared" si="211"/>
        <v>4.641379987002205E-4</v>
      </c>
      <c r="Y232" s="159">
        <f t="shared" si="211"/>
        <v>1.317171637741332E-3</v>
      </c>
      <c r="Z232" s="159">
        <f t="shared" si="211"/>
        <v>1.0378921765131356E-3</v>
      </c>
      <c r="AA232" s="159">
        <f t="shared" si="211"/>
        <v>6.0198534481486024E-4</v>
      </c>
      <c r="AB232" s="159">
        <f t="shared" si="211"/>
        <v>1.2106302322041494E-3</v>
      </c>
      <c r="AC232" s="159">
        <f t="shared" si="211"/>
        <v>8.394087479093945E-4</v>
      </c>
      <c r="AD232" s="159">
        <f t="shared" si="211"/>
        <v>5.2693982735740939E-4</v>
      </c>
      <c r="AE232" s="159">
        <f t="shared" si="211"/>
        <v>7.4519988902028826E-4</v>
      </c>
      <c r="AF232" s="159">
        <f t="shared" si="211"/>
        <v>1.4456702570285233E-3</v>
      </c>
      <c r="AG232" s="159">
        <f t="shared" si="211"/>
        <v>4.3205490468243082E-3</v>
      </c>
      <c r="AH232" s="159">
        <f t="shared" si="211"/>
        <v>2.8938804210592354E-3</v>
      </c>
      <c r="AI232" s="159">
        <f t="shared" ref="AI232:BN232" si="212">AI65/AI$84</f>
        <v>2.8268463268805799E-3</v>
      </c>
      <c r="AJ232" s="159">
        <f t="shared" si="212"/>
        <v>4.8131732005577961E-4</v>
      </c>
      <c r="AK232" s="159">
        <f t="shared" si="212"/>
        <v>5.4608145719522235E-4</v>
      </c>
      <c r="AL232" s="159">
        <f t="shared" si="212"/>
        <v>7.8552639813352597E-4</v>
      </c>
      <c r="AM232" s="159">
        <f t="shared" si="212"/>
        <v>7.1824527164821266E-4</v>
      </c>
      <c r="AN232" s="159">
        <f t="shared" si="212"/>
        <v>1.8072828737260248E-3</v>
      </c>
      <c r="AO232" s="159">
        <f t="shared" si="212"/>
        <v>1.3471704562146739E-3</v>
      </c>
      <c r="AP232" s="159">
        <f t="shared" si="212"/>
        <v>1.8881399381514661E-3</v>
      </c>
      <c r="AQ232" s="159">
        <f t="shared" si="212"/>
        <v>5.7893726619892187E-3</v>
      </c>
      <c r="AR232" s="159">
        <f t="shared" si="212"/>
        <v>6.4279439839571488E-4</v>
      </c>
      <c r="AS232" s="159">
        <f t="shared" si="212"/>
        <v>1.4067093080501565E-3</v>
      </c>
      <c r="AT232" s="159">
        <f t="shared" si="212"/>
        <v>2.9412003806985475E-3</v>
      </c>
      <c r="AU232" s="159">
        <f t="shared" si="212"/>
        <v>8.0025081031494022E-4</v>
      </c>
      <c r="AV232" s="159">
        <f t="shared" si="212"/>
        <v>3.0976694165792706E-3</v>
      </c>
      <c r="AW232" s="159">
        <f t="shared" si="212"/>
        <v>1.9934937013336151E-3</v>
      </c>
      <c r="AX232" s="159">
        <f t="shared" si="212"/>
        <v>4.2463639653023601E-3</v>
      </c>
      <c r="AY232" s="159">
        <f t="shared" si="212"/>
        <v>8.8681883875291244E-4</v>
      </c>
      <c r="AZ232" s="159">
        <f t="shared" si="212"/>
        <v>2.0788980999500114E-3</v>
      </c>
      <c r="BA232" s="159">
        <f t="shared" si="212"/>
        <v>5.2697534548471064E-3</v>
      </c>
      <c r="BB232" s="159">
        <f t="shared" si="212"/>
        <v>2.9387349879109707E-4</v>
      </c>
      <c r="BC232" s="159">
        <f t="shared" si="212"/>
        <v>1.2010713747313611E-3</v>
      </c>
      <c r="BD232" s="159">
        <f t="shared" si="212"/>
        <v>2.7940329618565138E-3</v>
      </c>
      <c r="BE232" s="159">
        <f t="shared" si="212"/>
        <v>6.9030150867610595E-4</v>
      </c>
      <c r="BF232" s="159">
        <f t="shared" si="212"/>
        <v>3.0170819577814002E-3</v>
      </c>
      <c r="BG232" s="159">
        <f t="shared" si="212"/>
        <v>5.3016605948875029E-4</v>
      </c>
      <c r="BH232" s="159">
        <f t="shared" si="212"/>
        <v>1.6690640125129321E-4</v>
      </c>
      <c r="BI232" s="159">
        <f t="shared" si="212"/>
        <v>1.002809526956151E-4</v>
      </c>
      <c r="BJ232" s="159">
        <f t="shared" si="212"/>
        <v>2.5040218768579321E-3</v>
      </c>
      <c r="BK232" s="159">
        <f t="shared" si="212"/>
        <v>7.4774261977412202E-4</v>
      </c>
      <c r="BL232" s="159">
        <f t="shared" si="212"/>
        <v>9.8339834890683107E-4</v>
      </c>
      <c r="BM232" s="159">
        <f t="shared" si="212"/>
        <v>4.3645242674793293E-3</v>
      </c>
      <c r="BN232" s="159">
        <f t="shared" si="212"/>
        <v>6.4027882394324637E-2</v>
      </c>
      <c r="BO232" s="159">
        <f t="shared" ref="BO232:CA232" si="213">BO65/BO$84</f>
        <v>9.0756227424230356E-4</v>
      </c>
      <c r="BP232" s="159">
        <f t="shared" si="213"/>
        <v>1.9453625207598584E-3</v>
      </c>
      <c r="BQ232" s="159">
        <f t="shared" si="213"/>
        <v>1.1025427110175462E-3</v>
      </c>
      <c r="BR232" s="159">
        <f t="shared" si="213"/>
        <v>1.2290289998946901E-3</v>
      </c>
      <c r="BS232" s="159">
        <f t="shared" si="213"/>
        <v>5.3337109267031207E-3</v>
      </c>
      <c r="BT232" s="159">
        <f t="shared" si="213"/>
        <v>3.5729201565934949E-3</v>
      </c>
      <c r="BU232" s="159">
        <f t="shared" si="213"/>
        <v>7.7012540178145556E-3</v>
      </c>
      <c r="BV232" s="159">
        <f t="shared" si="213"/>
        <v>7.0488674450148027E-4</v>
      </c>
      <c r="BW232" s="159">
        <f t="shared" si="213"/>
        <v>3.6873877391109928E-3</v>
      </c>
      <c r="BX232" s="159">
        <f t="shared" si="213"/>
        <v>2.0193790327050797E-5</v>
      </c>
      <c r="BY232" s="159">
        <f t="shared" si="213"/>
        <v>8.3821013601148413E-4</v>
      </c>
      <c r="BZ232" s="159">
        <f t="shared" si="213"/>
        <v>1.0355253458304637E-3</v>
      </c>
      <c r="CA232" s="118">
        <f t="shared" si="213"/>
        <v>0</v>
      </c>
      <c r="CB232" s="18"/>
      <c r="CC232" s="271"/>
      <c r="CD232" s="147">
        <f t="shared" si="204"/>
        <v>6.2986577787335907E-3</v>
      </c>
      <c r="CE232" s="148">
        <f t="shared" si="204"/>
        <v>4.9470810722499143E-3</v>
      </c>
      <c r="CF232" s="148">
        <f t="shared" si="204"/>
        <v>1.2204524419286447E-6</v>
      </c>
      <c r="CG232" s="119">
        <f t="shared" si="204"/>
        <v>7.7421311788696695E-4</v>
      </c>
      <c r="CH232" s="18"/>
      <c r="CI232" s="18"/>
      <c r="CJ232" s="18"/>
    </row>
    <row r="233" spans="1:88" ht="13.95" customHeight="1" x14ac:dyDescent="0.25">
      <c r="A233" s="8" t="s">
        <v>64</v>
      </c>
      <c r="B233" s="256"/>
      <c r="C233" s="22">
        <f t="shared" ref="C233:AH233" si="214">C66/C$84</f>
        <v>3.8649295291405403E-4</v>
      </c>
      <c r="D233" s="159">
        <f t="shared" si="214"/>
        <v>1.8406538530745522E-3</v>
      </c>
      <c r="E233" s="159">
        <f t="shared" si="214"/>
        <v>3.1200564894438089E-4</v>
      </c>
      <c r="F233" s="159">
        <f t="shared" si="214"/>
        <v>2.212186585849079E-4</v>
      </c>
      <c r="G233" s="159">
        <f t="shared" si="214"/>
        <v>9.5053323537666184E-3</v>
      </c>
      <c r="H233" s="159">
        <f t="shared" si="214"/>
        <v>2.3155148398710311E-3</v>
      </c>
      <c r="I233" s="159">
        <f t="shared" si="214"/>
        <v>1.4817202905659538E-2</v>
      </c>
      <c r="J233" s="159">
        <f t="shared" si="214"/>
        <v>2.8531200351555302E-3</v>
      </c>
      <c r="K233" s="159">
        <f t="shared" si="214"/>
        <v>2.1585629587622212E-3</v>
      </c>
      <c r="L233" s="159">
        <f t="shared" si="214"/>
        <v>3.737075757365098E-3</v>
      </c>
      <c r="M233" s="159">
        <f t="shared" si="214"/>
        <v>2.7237593709465279E-3</v>
      </c>
      <c r="N233" s="159">
        <f t="shared" si="214"/>
        <v>2.9426847193138343E-3</v>
      </c>
      <c r="O233" s="159">
        <f t="shared" si="214"/>
        <v>2.2843875201033702E-3</v>
      </c>
      <c r="P233" s="159">
        <f t="shared" si="214"/>
        <v>6.3597678281847991E-3</v>
      </c>
      <c r="Q233" s="159">
        <f t="shared" si="214"/>
        <v>3.7173237290707472E-3</v>
      </c>
      <c r="R233" s="159">
        <f t="shared" si="214"/>
        <v>1.4596428602658832E-3</v>
      </c>
      <c r="S233" s="159">
        <f t="shared" si="214"/>
        <v>2.4726496058234463E-2</v>
      </c>
      <c r="T233" s="159">
        <f t="shared" si="214"/>
        <v>9.6104896060546154E-4</v>
      </c>
      <c r="U233" s="159">
        <f t="shared" si="214"/>
        <v>4.1329103557787098E-4</v>
      </c>
      <c r="V233" s="159">
        <f t="shared" si="214"/>
        <v>1.7052643921647455E-3</v>
      </c>
      <c r="W233" s="159">
        <f t="shared" si="214"/>
        <v>2.1637286890309085E-3</v>
      </c>
      <c r="X233" s="159">
        <f t="shared" si="214"/>
        <v>3.9214038073003762E-3</v>
      </c>
      <c r="Y233" s="159">
        <f t="shared" si="214"/>
        <v>1.7411189295929461E-3</v>
      </c>
      <c r="Z233" s="159">
        <f t="shared" si="214"/>
        <v>1.9652399977297687E-3</v>
      </c>
      <c r="AA233" s="159">
        <f t="shared" si="214"/>
        <v>7.2802203874027026E-4</v>
      </c>
      <c r="AB233" s="159">
        <f t="shared" si="214"/>
        <v>3.1827614093790225E-3</v>
      </c>
      <c r="AC233" s="159">
        <f t="shared" si="214"/>
        <v>1.5007213414471956E-3</v>
      </c>
      <c r="AD233" s="159">
        <f t="shared" si="214"/>
        <v>1.0339922465114617E-3</v>
      </c>
      <c r="AE233" s="159">
        <f t="shared" si="214"/>
        <v>1.5410509846640298E-3</v>
      </c>
      <c r="AF233" s="159">
        <f t="shared" si="214"/>
        <v>1.4907220157558023E-2</v>
      </c>
      <c r="AG233" s="159">
        <f t="shared" si="214"/>
        <v>6.8361568435927709E-4</v>
      </c>
      <c r="AH233" s="159">
        <f t="shared" si="214"/>
        <v>6.8466824725075086E-3</v>
      </c>
      <c r="AI233" s="159">
        <f t="shared" ref="AI233:BN233" si="215">AI66/AI$84</f>
        <v>5.9132722492967185E-3</v>
      </c>
      <c r="AJ233" s="159">
        <f t="shared" si="215"/>
        <v>1.0110605726751851E-3</v>
      </c>
      <c r="AK233" s="159">
        <f t="shared" si="215"/>
        <v>5.4839988954721135E-3</v>
      </c>
      <c r="AL233" s="159">
        <f t="shared" si="215"/>
        <v>7.6923689128417481E-3</v>
      </c>
      <c r="AM233" s="159">
        <f t="shared" si="215"/>
        <v>6.5392675747294356E-3</v>
      </c>
      <c r="AN233" s="159">
        <f t="shared" si="215"/>
        <v>2.9205084285133169E-3</v>
      </c>
      <c r="AO233" s="159">
        <f t="shared" si="215"/>
        <v>7.6932177940812517E-4</v>
      </c>
      <c r="AP233" s="159">
        <f t="shared" si="215"/>
        <v>2.0683645670464519E-3</v>
      </c>
      <c r="AQ233" s="159">
        <f t="shared" si="215"/>
        <v>2.6078673494875195E-3</v>
      </c>
      <c r="AR233" s="159">
        <f t="shared" si="215"/>
        <v>1.7696628772599498E-3</v>
      </c>
      <c r="AS233" s="159">
        <f t="shared" si="215"/>
        <v>4.1584050436410929E-3</v>
      </c>
      <c r="AT233" s="159">
        <f t="shared" si="215"/>
        <v>2.4632195643645204E-3</v>
      </c>
      <c r="AU233" s="159">
        <f t="shared" si="215"/>
        <v>5.3801784661334541E-3</v>
      </c>
      <c r="AV233" s="159">
        <f t="shared" si="215"/>
        <v>5.050911606595776E-2</v>
      </c>
      <c r="AW233" s="159">
        <f t="shared" si="215"/>
        <v>1.0548025903885528E-2</v>
      </c>
      <c r="AX233" s="159">
        <f t="shared" si="215"/>
        <v>8.2675876486816083E-3</v>
      </c>
      <c r="AY233" s="159">
        <f t="shared" si="215"/>
        <v>1.3378122799258931E-3</v>
      </c>
      <c r="AZ233" s="159">
        <f t="shared" si="215"/>
        <v>1.6669346684501324E-3</v>
      </c>
      <c r="BA233" s="159">
        <f t="shared" si="215"/>
        <v>1.1897213061772898E-2</v>
      </c>
      <c r="BB233" s="159">
        <f t="shared" si="215"/>
        <v>3.8344298121005651E-3</v>
      </c>
      <c r="BC233" s="159">
        <f t="shared" si="215"/>
        <v>2.2271155314833011E-2</v>
      </c>
      <c r="BD233" s="159">
        <f t="shared" si="215"/>
        <v>1.316757935878635E-2</v>
      </c>
      <c r="BE233" s="159">
        <f t="shared" si="215"/>
        <v>5.7332131742998844E-3</v>
      </c>
      <c r="BF233" s="159">
        <f t="shared" si="215"/>
        <v>3.3453817922523832E-3</v>
      </c>
      <c r="BG233" s="159">
        <f t="shared" si="215"/>
        <v>5.3288687800285882E-3</v>
      </c>
      <c r="BH233" s="159">
        <f t="shared" si="215"/>
        <v>3.849838625935317E-3</v>
      </c>
      <c r="BI233" s="159">
        <f t="shared" si="215"/>
        <v>5.3062570333640047E-4</v>
      </c>
      <c r="BJ233" s="159">
        <f t="shared" si="215"/>
        <v>5.6138809901080658E-3</v>
      </c>
      <c r="BK233" s="159">
        <f t="shared" si="215"/>
        <v>5.1743229414527485E-3</v>
      </c>
      <c r="BL233" s="159">
        <f t="shared" si="215"/>
        <v>1.9087362786900119E-3</v>
      </c>
      <c r="BM233" s="159">
        <f t="shared" si="215"/>
        <v>1.1029338295905878E-2</v>
      </c>
      <c r="BN233" s="159">
        <f t="shared" si="215"/>
        <v>2.6540256318155323E-2</v>
      </c>
      <c r="BO233" s="159">
        <f t="shared" ref="BO233:CA233" si="216">BO66/BO$84</f>
        <v>3.9423790693292431E-2</v>
      </c>
      <c r="BP233" s="159">
        <f t="shared" si="216"/>
        <v>3.1812969142429445E-4</v>
      </c>
      <c r="BQ233" s="159">
        <f t="shared" si="216"/>
        <v>3.6013902518216953E-3</v>
      </c>
      <c r="BR233" s="159">
        <f t="shared" si="216"/>
        <v>3.1316690796043913E-3</v>
      </c>
      <c r="BS233" s="159">
        <f t="shared" si="216"/>
        <v>4.0979986309317795E-4</v>
      </c>
      <c r="BT233" s="159">
        <f t="shared" si="216"/>
        <v>1.1758739541693248E-2</v>
      </c>
      <c r="BU233" s="159">
        <f t="shared" si="216"/>
        <v>9.0333174012950917E-3</v>
      </c>
      <c r="BV233" s="159">
        <f t="shared" si="216"/>
        <v>2.4431707105701775E-3</v>
      </c>
      <c r="BW233" s="159">
        <f t="shared" si="216"/>
        <v>5.5884014687558896E-4</v>
      </c>
      <c r="BX233" s="159">
        <f t="shared" si="216"/>
        <v>6.9297670275379416E-4</v>
      </c>
      <c r="BY233" s="159">
        <f t="shared" si="216"/>
        <v>4.836799446186835E-4</v>
      </c>
      <c r="BZ233" s="159">
        <f t="shared" si="216"/>
        <v>1.4076996955181907E-3</v>
      </c>
      <c r="CA233" s="118">
        <f t="shared" si="216"/>
        <v>0</v>
      </c>
      <c r="CB233" s="18"/>
      <c r="CC233" s="271"/>
      <c r="CD233" s="147">
        <f t="shared" si="204"/>
        <v>1.3006828440320826E-3</v>
      </c>
      <c r="CE233" s="148">
        <f t="shared" si="204"/>
        <v>1.7973375606795326E-5</v>
      </c>
      <c r="CF233" s="148">
        <f t="shared" si="204"/>
        <v>8.9802593634005402E-6</v>
      </c>
      <c r="CG233" s="119">
        <f t="shared" si="204"/>
        <v>1.0973769743402692E-3</v>
      </c>
      <c r="CH233" s="18"/>
      <c r="CI233" s="18"/>
      <c r="CJ233" s="18"/>
    </row>
    <row r="234" spans="1:88" ht="13.95" customHeight="1" x14ac:dyDescent="0.25">
      <c r="A234" s="8" t="s">
        <v>65</v>
      </c>
      <c r="B234" s="256"/>
      <c r="C234" s="22">
        <f t="shared" ref="C234:AH234" si="217">C67/C$84</f>
        <v>8.0799791770870815E-4</v>
      </c>
      <c r="D234" s="159">
        <f t="shared" si="217"/>
        <v>1.1387986807764058E-3</v>
      </c>
      <c r="E234" s="159">
        <f t="shared" si="217"/>
        <v>1.3866917730861374E-4</v>
      </c>
      <c r="F234" s="159">
        <f t="shared" si="217"/>
        <v>2.4922800307551163E-3</v>
      </c>
      <c r="G234" s="159">
        <f t="shared" si="217"/>
        <v>2.85817575203959E-3</v>
      </c>
      <c r="H234" s="159">
        <f t="shared" si="217"/>
        <v>1.0101179057992189E-3</v>
      </c>
      <c r="I234" s="159">
        <f t="shared" si="217"/>
        <v>1.8334386799023702E-3</v>
      </c>
      <c r="J234" s="159">
        <f t="shared" si="217"/>
        <v>1.3539041259230051E-3</v>
      </c>
      <c r="K234" s="159">
        <f t="shared" si="217"/>
        <v>3.6891081285593732E-3</v>
      </c>
      <c r="L234" s="159">
        <f t="shared" si="217"/>
        <v>2.0748231519215014E-3</v>
      </c>
      <c r="M234" s="159">
        <f t="shared" si="217"/>
        <v>3.1378541934484988E-3</v>
      </c>
      <c r="N234" s="159">
        <f t="shared" si="217"/>
        <v>1.4678219322262491E-3</v>
      </c>
      <c r="O234" s="159">
        <f t="shared" si="217"/>
        <v>1.3737239738196773E-3</v>
      </c>
      <c r="P234" s="159">
        <f t="shared" si="217"/>
        <v>3.2033114961905929E-3</v>
      </c>
      <c r="Q234" s="159">
        <f t="shared" si="217"/>
        <v>4.2855230484693243E-4</v>
      </c>
      <c r="R234" s="159">
        <f t="shared" si="217"/>
        <v>9.6143098597380617E-4</v>
      </c>
      <c r="S234" s="159">
        <f t="shared" si="217"/>
        <v>1.3319751384827472E-3</v>
      </c>
      <c r="T234" s="159">
        <f t="shared" si="217"/>
        <v>1.2080233072914858E-3</v>
      </c>
      <c r="U234" s="159">
        <f t="shared" si="217"/>
        <v>1.5718596784787824E-3</v>
      </c>
      <c r="V234" s="159">
        <f t="shared" si="217"/>
        <v>1.3280652044500452E-3</v>
      </c>
      <c r="W234" s="159">
        <f t="shared" si="217"/>
        <v>7.5919308815004414E-4</v>
      </c>
      <c r="X234" s="159">
        <f t="shared" si="217"/>
        <v>2.1452183406640577E-3</v>
      </c>
      <c r="Y234" s="159">
        <f t="shared" si="217"/>
        <v>1.6927660315899035E-3</v>
      </c>
      <c r="Z234" s="159">
        <f t="shared" si="217"/>
        <v>1.5663080838984728E-3</v>
      </c>
      <c r="AA234" s="159">
        <f t="shared" si="217"/>
        <v>6.8853131972645238E-4</v>
      </c>
      <c r="AB234" s="159">
        <f t="shared" si="217"/>
        <v>2.2308218753415775E-3</v>
      </c>
      <c r="AC234" s="159">
        <f t="shared" si="217"/>
        <v>1.6358201895627059E-3</v>
      </c>
      <c r="AD234" s="159">
        <f t="shared" si="217"/>
        <v>1.6642701064947761E-3</v>
      </c>
      <c r="AE234" s="159">
        <f t="shared" si="217"/>
        <v>1.4155117730629088E-3</v>
      </c>
      <c r="AF234" s="159">
        <f t="shared" si="217"/>
        <v>1.83105821848338E-3</v>
      </c>
      <c r="AG234" s="159">
        <f t="shared" si="217"/>
        <v>2.8981143345702064E-3</v>
      </c>
      <c r="AH234" s="159">
        <f t="shared" si="217"/>
        <v>3.5780624687956628E-3</v>
      </c>
      <c r="AI234" s="159">
        <f t="shared" ref="AI234:BN234" si="218">AI67/AI$84</f>
        <v>2.9137968599318676E-3</v>
      </c>
      <c r="AJ234" s="159">
        <f t="shared" si="218"/>
        <v>3.0282696969088864E-4</v>
      </c>
      <c r="AK234" s="159">
        <f t="shared" si="218"/>
        <v>5.7320997797565588E-3</v>
      </c>
      <c r="AL234" s="159">
        <f t="shared" si="218"/>
        <v>2.2664172034140288E-3</v>
      </c>
      <c r="AM234" s="159">
        <f t="shared" si="218"/>
        <v>1.623409185944617E-3</v>
      </c>
      <c r="AN234" s="159">
        <f t="shared" si="218"/>
        <v>1.8406462323819965E-3</v>
      </c>
      <c r="AO234" s="159">
        <f t="shared" si="218"/>
        <v>2.3705513225075773E-3</v>
      </c>
      <c r="AP234" s="159">
        <f t="shared" si="218"/>
        <v>1.1247994451184379E-3</v>
      </c>
      <c r="AQ234" s="159">
        <f t="shared" si="218"/>
        <v>3.1786533721144166E-3</v>
      </c>
      <c r="AR234" s="159">
        <f t="shared" si="218"/>
        <v>3.4869421638072159E-3</v>
      </c>
      <c r="AS234" s="159">
        <f t="shared" si="218"/>
        <v>3.5728884954506447E-3</v>
      </c>
      <c r="AT234" s="159">
        <f t="shared" si="218"/>
        <v>4.4895571353427898E-3</v>
      </c>
      <c r="AU234" s="159">
        <f t="shared" si="218"/>
        <v>2.6401844569245818E-3</v>
      </c>
      <c r="AV234" s="159">
        <f t="shared" si="218"/>
        <v>1.6382423627502899E-3</v>
      </c>
      <c r="AW234" s="159">
        <f t="shared" si="218"/>
        <v>2.9799297320474809E-3</v>
      </c>
      <c r="AX234" s="159">
        <f t="shared" si="218"/>
        <v>2.4554840611784256E-3</v>
      </c>
      <c r="AY234" s="159">
        <f t="shared" si="218"/>
        <v>1.6904654747221881E-3</v>
      </c>
      <c r="AZ234" s="159">
        <f t="shared" si="218"/>
        <v>2.3029941024757567E-3</v>
      </c>
      <c r="BA234" s="159">
        <f t="shared" si="218"/>
        <v>1.2247467077885676E-3</v>
      </c>
      <c r="BB234" s="159">
        <f t="shared" si="218"/>
        <v>7.7726466065268041E-4</v>
      </c>
      <c r="BC234" s="159">
        <f t="shared" si="218"/>
        <v>2.2479132782521785E-3</v>
      </c>
      <c r="BD234" s="159">
        <f t="shared" si="218"/>
        <v>2.7527127560825794E-3</v>
      </c>
      <c r="BE234" s="159">
        <f t="shared" si="218"/>
        <v>3.0963665713434649E-3</v>
      </c>
      <c r="BF234" s="159">
        <f t="shared" si="218"/>
        <v>5.5181121176792469E-3</v>
      </c>
      <c r="BG234" s="159">
        <f t="shared" si="218"/>
        <v>4.8818376599701419E-3</v>
      </c>
      <c r="BH234" s="159">
        <f t="shared" si="218"/>
        <v>4.9969334001935956E-3</v>
      </c>
      <c r="BI234" s="159">
        <f t="shared" si="218"/>
        <v>8.8791810433137342E-4</v>
      </c>
      <c r="BJ234" s="159">
        <f t="shared" si="218"/>
        <v>2.1726541966065583E-3</v>
      </c>
      <c r="BK234" s="159">
        <f t="shared" si="218"/>
        <v>2.0618909427964453E-3</v>
      </c>
      <c r="BL234" s="159">
        <f t="shared" si="218"/>
        <v>2.0189819554783722E-3</v>
      </c>
      <c r="BM234" s="159">
        <f t="shared" si="218"/>
        <v>4.6389853370968947E-3</v>
      </c>
      <c r="BN234" s="159">
        <f t="shared" si="218"/>
        <v>5.3497326643863483E-3</v>
      </c>
      <c r="BO234" s="159">
        <f t="shared" ref="BO234:CA234" si="219">BO67/BO$84</f>
        <v>3.3655785614653188E-3</v>
      </c>
      <c r="BP234" s="159">
        <f t="shared" si="219"/>
        <v>1.9481824792110243E-3</v>
      </c>
      <c r="BQ234" s="159">
        <f t="shared" si="219"/>
        <v>8.4606438723372522E-4</v>
      </c>
      <c r="BR234" s="159">
        <f t="shared" si="219"/>
        <v>8.7482338979275509E-4</v>
      </c>
      <c r="BS234" s="159">
        <f t="shared" si="219"/>
        <v>1.4089610183798396E-3</v>
      </c>
      <c r="BT234" s="159">
        <f t="shared" si="219"/>
        <v>2.3915847059741428E-3</v>
      </c>
      <c r="BU234" s="159">
        <f t="shared" si="219"/>
        <v>2.8741924211277609E-3</v>
      </c>
      <c r="BV234" s="159">
        <f t="shared" si="219"/>
        <v>2.3232543094326846E-3</v>
      </c>
      <c r="BW234" s="159">
        <f t="shared" si="219"/>
        <v>9.338692911185669E-4</v>
      </c>
      <c r="BX234" s="159">
        <f t="shared" si="219"/>
        <v>3.1656857223926675E-3</v>
      </c>
      <c r="BY234" s="159">
        <f t="shared" si="219"/>
        <v>2.113656835878604E-3</v>
      </c>
      <c r="BZ234" s="159">
        <f t="shared" si="219"/>
        <v>2.3051250791887171E-3</v>
      </c>
      <c r="CA234" s="118">
        <f t="shared" si="219"/>
        <v>0</v>
      </c>
      <c r="CB234" s="18"/>
      <c r="CC234" s="271"/>
      <c r="CD234" s="147">
        <f t="shared" si="204"/>
        <v>3.1788755459634735E-3</v>
      </c>
      <c r="CE234" s="148">
        <f t="shared" si="204"/>
        <v>0.33976927765052978</v>
      </c>
      <c r="CF234" s="148">
        <f t="shared" si="204"/>
        <v>1.739539248095826E-3</v>
      </c>
      <c r="CG234" s="119">
        <f t="shared" si="204"/>
        <v>8.3067777940056431E-4</v>
      </c>
      <c r="CH234" s="18"/>
      <c r="CI234" s="18"/>
      <c r="CJ234" s="18"/>
    </row>
    <row r="235" spans="1:88" ht="13.95" customHeight="1" x14ac:dyDescent="0.25">
      <c r="A235" s="8" t="s">
        <v>66</v>
      </c>
      <c r="B235" s="256"/>
      <c r="C235" s="22">
        <f t="shared" ref="C235:AH235" si="220">C68/C$84</f>
        <v>1.1081953010847366E-4</v>
      </c>
      <c r="D235" s="159">
        <f t="shared" si="220"/>
        <v>7.1732066136339409E-4</v>
      </c>
      <c r="E235" s="159">
        <f t="shared" si="220"/>
        <v>2.1165295483946306E-4</v>
      </c>
      <c r="F235" s="159">
        <f t="shared" si="220"/>
        <v>1.5394055337556163E-4</v>
      </c>
      <c r="G235" s="159">
        <f t="shared" si="220"/>
        <v>6.5950087608372698E-4</v>
      </c>
      <c r="H235" s="159">
        <f t="shared" si="220"/>
        <v>3.2747001793471492E-4</v>
      </c>
      <c r="I235" s="159">
        <f t="shared" si="220"/>
        <v>2.3127844754398805E-4</v>
      </c>
      <c r="J235" s="159">
        <f t="shared" si="220"/>
        <v>1.0683622369883946E-3</v>
      </c>
      <c r="K235" s="159">
        <f t="shared" si="220"/>
        <v>3.8586805357237607E-4</v>
      </c>
      <c r="L235" s="159">
        <f t="shared" si="220"/>
        <v>4.5822171164954537E-4</v>
      </c>
      <c r="M235" s="159">
        <f t="shared" si="220"/>
        <v>2.9478918133357066E-4</v>
      </c>
      <c r="N235" s="159">
        <f t="shared" si="220"/>
        <v>1.8735479218380305E-4</v>
      </c>
      <c r="O235" s="159">
        <f t="shared" si="220"/>
        <v>6.1884982824142551E-4</v>
      </c>
      <c r="P235" s="159">
        <f t="shared" si="220"/>
        <v>2.6516441648719822E-4</v>
      </c>
      <c r="Q235" s="159">
        <f t="shared" si="220"/>
        <v>2.1057883146676553E-4</v>
      </c>
      <c r="R235" s="159">
        <f t="shared" si="220"/>
        <v>9.5099115624475215E-4</v>
      </c>
      <c r="S235" s="159">
        <f t="shared" si="220"/>
        <v>7.7000619088005466E-4</v>
      </c>
      <c r="T235" s="159">
        <f t="shared" si="220"/>
        <v>4.5704672014521583E-4</v>
      </c>
      <c r="U235" s="159">
        <f t="shared" si="220"/>
        <v>6.4242905791187974E-4</v>
      </c>
      <c r="V235" s="159">
        <f t="shared" si="220"/>
        <v>2.9703691104805935E-4</v>
      </c>
      <c r="W235" s="159">
        <f t="shared" si="220"/>
        <v>4.5446292345918411E-4</v>
      </c>
      <c r="X235" s="159">
        <f t="shared" si="220"/>
        <v>2.579112398553232E-4</v>
      </c>
      <c r="Y235" s="159">
        <f t="shared" si="220"/>
        <v>1.1138096101272494E-3</v>
      </c>
      <c r="Z235" s="159">
        <f t="shared" si="220"/>
        <v>7.9441260469121787E-4</v>
      </c>
      <c r="AA235" s="159">
        <f t="shared" si="220"/>
        <v>6.2129284524083464E-4</v>
      </c>
      <c r="AB235" s="159">
        <f t="shared" si="220"/>
        <v>7.9089665532566648E-4</v>
      </c>
      <c r="AC235" s="159">
        <f t="shared" si="220"/>
        <v>3.4456652472654979E-4</v>
      </c>
      <c r="AD235" s="159">
        <f t="shared" si="220"/>
        <v>2.0070984279080305E-4</v>
      </c>
      <c r="AE235" s="159">
        <f t="shared" si="220"/>
        <v>4.1520488249758441E-4</v>
      </c>
      <c r="AF235" s="159">
        <f t="shared" si="220"/>
        <v>4.0076837533727322E-4</v>
      </c>
      <c r="AG235" s="159">
        <f t="shared" si="220"/>
        <v>4.576614223490308E-4</v>
      </c>
      <c r="AH235" s="159">
        <f t="shared" si="220"/>
        <v>8.8028251851348424E-4</v>
      </c>
      <c r="AI235" s="159">
        <f t="shared" ref="AI235:BN235" si="221">AI68/AI$84</f>
        <v>3.3835296246916984E-4</v>
      </c>
      <c r="AJ235" s="159">
        <f t="shared" si="221"/>
        <v>5.7717405251864131E-4</v>
      </c>
      <c r="AK235" s="159">
        <f t="shared" si="221"/>
        <v>1.621986722500115E-3</v>
      </c>
      <c r="AL235" s="159">
        <f t="shared" si="221"/>
        <v>1.7277584247239559E-3</v>
      </c>
      <c r="AM235" s="159">
        <f t="shared" si="221"/>
        <v>3.7244708932421998E-4</v>
      </c>
      <c r="AN235" s="159">
        <f t="shared" si="221"/>
        <v>3.3221820998382792E-4</v>
      </c>
      <c r="AO235" s="159">
        <f t="shared" si="221"/>
        <v>1.808039545959165E-4</v>
      </c>
      <c r="AP235" s="159">
        <f t="shared" si="221"/>
        <v>4.027055443381485E-4</v>
      </c>
      <c r="AQ235" s="159">
        <f t="shared" si="221"/>
        <v>9.5413987003376032E-4</v>
      </c>
      <c r="AR235" s="159">
        <f t="shared" si="221"/>
        <v>2.0437121118186273E-3</v>
      </c>
      <c r="AS235" s="159">
        <f t="shared" si="221"/>
        <v>8.6187726505761772E-4</v>
      </c>
      <c r="AT235" s="159">
        <f t="shared" si="221"/>
        <v>2.4087222240454912E-5</v>
      </c>
      <c r="AU235" s="159">
        <f t="shared" si="221"/>
        <v>7.075388261930874E-5</v>
      </c>
      <c r="AV235" s="159">
        <f t="shared" si="221"/>
        <v>1.5126577328845676E-3</v>
      </c>
      <c r="AW235" s="159">
        <f t="shared" si="221"/>
        <v>2.6973927122074079E-3</v>
      </c>
      <c r="AX235" s="159">
        <f t="shared" si="221"/>
        <v>9.7283192397303682E-4</v>
      </c>
      <c r="AY235" s="159">
        <f t="shared" si="221"/>
        <v>4.4358508151273024E-4</v>
      </c>
      <c r="AZ235" s="159">
        <f t="shared" si="221"/>
        <v>6.374169548211195E-3</v>
      </c>
      <c r="BA235" s="159">
        <f t="shared" si="221"/>
        <v>3.7846505995169652E-4</v>
      </c>
      <c r="BB235" s="159">
        <f t="shared" si="221"/>
        <v>2.502891021610459E-4</v>
      </c>
      <c r="BC235" s="159">
        <f t="shared" si="221"/>
        <v>4.0819100281321149E-3</v>
      </c>
      <c r="BD235" s="159">
        <f t="shared" si="221"/>
        <v>2.5616387351971311E-2</v>
      </c>
      <c r="BE235" s="159">
        <f t="shared" si="221"/>
        <v>4.7213919074369222E-4</v>
      </c>
      <c r="BF235" s="159">
        <f t="shared" si="221"/>
        <v>2.654119510395452E-3</v>
      </c>
      <c r="BG235" s="159">
        <f t="shared" si="221"/>
        <v>1.5051295725466477E-3</v>
      </c>
      <c r="BH235" s="159">
        <f t="shared" si="221"/>
        <v>5.5681603812565575E-4</v>
      </c>
      <c r="BI235" s="159">
        <f t="shared" si="221"/>
        <v>0</v>
      </c>
      <c r="BJ235" s="159">
        <f t="shared" si="221"/>
        <v>2.6670827538154028E-3</v>
      </c>
      <c r="BK235" s="159">
        <f t="shared" si="221"/>
        <v>1.9484387295840449E-3</v>
      </c>
      <c r="BL235" s="159">
        <f t="shared" si="221"/>
        <v>1.9249793721353188E-4</v>
      </c>
      <c r="BM235" s="159">
        <f t="shared" si="221"/>
        <v>2.3122590529479846E-3</v>
      </c>
      <c r="BN235" s="159">
        <f t="shared" si="221"/>
        <v>6.4829989914990695E-4</v>
      </c>
      <c r="BO235" s="159">
        <f t="shared" ref="BO235:CA235" si="222">BO68/BO$84</f>
        <v>2.472769970269221E-3</v>
      </c>
      <c r="BP235" s="159">
        <f t="shared" si="222"/>
        <v>6.1880567551178621E-4</v>
      </c>
      <c r="BQ235" s="159">
        <f t="shared" si="222"/>
        <v>4.7028828204188834E-2</v>
      </c>
      <c r="BR235" s="159">
        <f t="shared" si="222"/>
        <v>6.9299164580392857E-4</v>
      </c>
      <c r="BS235" s="159">
        <f t="shared" si="222"/>
        <v>2.7898655634627564E-4</v>
      </c>
      <c r="BT235" s="159">
        <f t="shared" si="222"/>
        <v>8.2902762415725442E-3</v>
      </c>
      <c r="BU235" s="159">
        <f t="shared" si="222"/>
        <v>4.3634343411377251E-3</v>
      </c>
      <c r="BV235" s="159">
        <f t="shared" si="222"/>
        <v>4.0308033995795871E-5</v>
      </c>
      <c r="BW235" s="159">
        <f t="shared" si="222"/>
        <v>2.2323977319112538E-4</v>
      </c>
      <c r="BX235" s="159">
        <f t="shared" si="222"/>
        <v>5.6048071111814458E-5</v>
      </c>
      <c r="BY235" s="159">
        <f t="shared" si="222"/>
        <v>1.6331721958564181E-3</v>
      </c>
      <c r="BZ235" s="159">
        <f t="shared" si="222"/>
        <v>9.7847917949551002E-4</v>
      </c>
      <c r="CA235" s="118">
        <f t="shared" si="222"/>
        <v>0</v>
      </c>
      <c r="CB235" s="18"/>
      <c r="CC235" s="271"/>
      <c r="CD235" s="147">
        <f t="shared" si="204"/>
        <v>1.7827784216989297E-2</v>
      </c>
      <c r="CE235" s="148">
        <f t="shared" si="204"/>
        <v>0.21359813768210711</v>
      </c>
      <c r="CF235" s="148">
        <f t="shared" si="204"/>
        <v>-4.1779209174859655E-6</v>
      </c>
      <c r="CG235" s="119">
        <f t="shared" si="204"/>
        <v>1.8545082494316075E-4</v>
      </c>
      <c r="CH235" s="18"/>
      <c r="CI235" s="18"/>
      <c r="CJ235" s="18"/>
    </row>
    <row r="236" spans="1:88" ht="13.95" customHeight="1" x14ac:dyDescent="0.25">
      <c r="A236" s="8" t="s">
        <v>67</v>
      </c>
      <c r="B236" s="256"/>
      <c r="C236" s="22">
        <f t="shared" ref="C236:AH236" si="223">C69/C$84</f>
        <v>2.6655591388164839E-4</v>
      </c>
      <c r="D236" s="159">
        <f t="shared" si="223"/>
        <v>2.7768372501422089E-4</v>
      </c>
      <c r="E236" s="159">
        <f t="shared" si="223"/>
        <v>6.6962615884554261E-4</v>
      </c>
      <c r="F236" s="159">
        <f t="shared" si="223"/>
        <v>2.0910344423686472E-4</v>
      </c>
      <c r="G236" s="159">
        <f t="shared" si="223"/>
        <v>4.5497298064597224E-4</v>
      </c>
      <c r="H236" s="159">
        <f t="shared" si="223"/>
        <v>5.5652743453003535E-4</v>
      </c>
      <c r="I236" s="159">
        <f t="shared" si="223"/>
        <v>7.3716885595441039E-4</v>
      </c>
      <c r="J236" s="159">
        <f t="shared" si="223"/>
        <v>1.6793734823781332E-4</v>
      </c>
      <c r="K236" s="159">
        <f t="shared" si="223"/>
        <v>4.3571744083046714E-4</v>
      </c>
      <c r="L236" s="159">
        <f t="shared" si="223"/>
        <v>4.052098537222168E-4</v>
      </c>
      <c r="M236" s="159">
        <f t="shared" si="223"/>
        <v>2.8185475098036226E-4</v>
      </c>
      <c r="N236" s="159">
        <f t="shared" si="223"/>
        <v>2.9904002524447473E-4</v>
      </c>
      <c r="O236" s="159">
        <f t="shared" si="223"/>
        <v>1.7971021955155966E-4</v>
      </c>
      <c r="P236" s="159">
        <f t="shared" si="223"/>
        <v>6.5507697714057406E-4</v>
      </c>
      <c r="Q236" s="159">
        <f t="shared" si="223"/>
        <v>1.0237234476274841E-4</v>
      </c>
      <c r="R236" s="159">
        <f t="shared" si="223"/>
        <v>2.7591191020390145E-4</v>
      </c>
      <c r="S236" s="159">
        <f t="shared" si="223"/>
        <v>5.9066611281825983E-4</v>
      </c>
      <c r="T236" s="159">
        <f t="shared" si="223"/>
        <v>4.0328492247331861E-4</v>
      </c>
      <c r="U236" s="159">
        <f t="shared" si="223"/>
        <v>4.445189779733389E-4</v>
      </c>
      <c r="V236" s="159">
        <f t="shared" si="223"/>
        <v>6.1175880899183338E-4</v>
      </c>
      <c r="W236" s="159">
        <f t="shared" si="223"/>
        <v>4.6190568933798185E-4</v>
      </c>
      <c r="X236" s="159">
        <f t="shared" si="223"/>
        <v>1.1120682837188348E-4</v>
      </c>
      <c r="Y236" s="159">
        <f t="shared" si="223"/>
        <v>8.2930661719687838E-4</v>
      </c>
      <c r="Z236" s="159">
        <f t="shared" si="223"/>
        <v>7.2075845591189976E-4</v>
      </c>
      <c r="AA236" s="159">
        <f t="shared" si="223"/>
        <v>3.7117939803800768E-4</v>
      </c>
      <c r="AB236" s="159">
        <f t="shared" si="223"/>
        <v>5.130311690826055E-4</v>
      </c>
      <c r="AC236" s="159">
        <f t="shared" si="223"/>
        <v>2.5644579607126306E-4</v>
      </c>
      <c r="AD236" s="159">
        <f t="shared" si="223"/>
        <v>4.3232165832836084E-4</v>
      </c>
      <c r="AE236" s="159">
        <f t="shared" si="223"/>
        <v>4.434702591945931E-4</v>
      </c>
      <c r="AF236" s="159">
        <f t="shared" si="223"/>
        <v>8.1689057018137371E-4</v>
      </c>
      <c r="AG236" s="159">
        <f t="shared" si="223"/>
        <v>7.1666424922534771E-4</v>
      </c>
      <c r="AH236" s="159">
        <f t="shared" si="223"/>
        <v>6.9939538737815604E-4</v>
      </c>
      <c r="AI236" s="159">
        <f t="shared" ref="AI236:BN236" si="224">AI69/AI$84</f>
        <v>4.1639947019232152E-4</v>
      </c>
      <c r="AJ236" s="159">
        <f t="shared" si="224"/>
        <v>4.1320569626781249E-4</v>
      </c>
      <c r="AK236" s="159">
        <f t="shared" si="224"/>
        <v>3.0664368639063606E-4</v>
      </c>
      <c r="AL236" s="159">
        <f t="shared" si="224"/>
        <v>1.0364535115510354E-3</v>
      </c>
      <c r="AM236" s="159">
        <f t="shared" si="224"/>
        <v>3.9556824338756683E-4</v>
      </c>
      <c r="AN236" s="159">
        <f t="shared" si="224"/>
        <v>4.7609570182203018E-4</v>
      </c>
      <c r="AO236" s="159">
        <f t="shared" si="224"/>
        <v>2.2633835412007249E-4</v>
      </c>
      <c r="AP236" s="159">
        <f t="shared" si="224"/>
        <v>8.2444440642938973E-4</v>
      </c>
      <c r="AQ236" s="159">
        <f t="shared" si="224"/>
        <v>4.0448473595077793E-3</v>
      </c>
      <c r="AR236" s="159">
        <f t="shared" si="224"/>
        <v>8.83686978158724E-4</v>
      </c>
      <c r="AS236" s="159">
        <f t="shared" si="224"/>
        <v>4.8001528376088803E-4</v>
      </c>
      <c r="AT236" s="159">
        <f t="shared" si="224"/>
        <v>7.8674889642885854E-4</v>
      </c>
      <c r="AU236" s="159">
        <f t="shared" si="224"/>
        <v>5.8776736345193772E-6</v>
      </c>
      <c r="AV236" s="159">
        <f t="shared" si="224"/>
        <v>5.5075947599738035E-4</v>
      </c>
      <c r="AW236" s="159">
        <f t="shared" si="224"/>
        <v>1.3347659016822325E-3</v>
      </c>
      <c r="AX236" s="159">
        <f t="shared" si="224"/>
        <v>5.0639333309083533E-3</v>
      </c>
      <c r="AY236" s="159">
        <f t="shared" si="224"/>
        <v>2.6289748064447659E-4</v>
      </c>
      <c r="AZ236" s="159">
        <f t="shared" si="224"/>
        <v>5.0232472284090525E-4</v>
      </c>
      <c r="BA236" s="159">
        <f t="shared" si="224"/>
        <v>6.7622070751211915E-4</v>
      </c>
      <c r="BB236" s="159">
        <f t="shared" si="224"/>
        <v>1.8397613617823606E-4</v>
      </c>
      <c r="BC236" s="159">
        <f t="shared" si="224"/>
        <v>1.111831115101859E-3</v>
      </c>
      <c r="BD236" s="159">
        <f t="shared" si="224"/>
        <v>1.6170111938750269E-3</v>
      </c>
      <c r="BE236" s="159">
        <f t="shared" si="224"/>
        <v>3.9477133939043988E-4</v>
      </c>
      <c r="BF236" s="159">
        <f t="shared" si="224"/>
        <v>1.8211523944322125E-3</v>
      </c>
      <c r="BG236" s="159">
        <f t="shared" si="224"/>
        <v>8.6557767412477984E-4</v>
      </c>
      <c r="BH236" s="159">
        <f t="shared" si="224"/>
        <v>4.6058024969686132E-4</v>
      </c>
      <c r="BI236" s="159">
        <f t="shared" si="224"/>
        <v>3.9375216459092846E-3</v>
      </c>
      <c r="BJ236" s="159">
        <f t="shared" si="224"/>
        <v>4.3709327257026177E-4</v>
      </c>
      <c r="BK236" s="159">
        <f t="shared" si="224"/>
        <v>3.7160848644327699E-3</v>
      </c>
      <c r="BL236" s="159">
        <f t="shared" si="224"/>
        <v>7.6670857039177825E-4</v>
      </c>
      <c r="BM236" s="159">
        <f t="shared" si="224"/>
        <v>1.1951598264764902E-3</v>
      </c>
      <c r="BN236" s="159">
        <f t="shared" si="224"/>
        <v>1.1836836290296474E-3</v>
      </c>
      <c r="BO236" s="159">
        <f t="shared" ref="BO236:CA236" si="225">BO69/BO$84</f>
        <v>2.4169694333194648E-4</v>
      </c>
      <c r="BP236" s="159">
        <f t="shared" si="225"/>
        <v>2.7322393885756075E-3</v>
      </c>
      <c r="BQ236" s="159">
        <f t="shared" si="225"/>
        <v>1.053165719492687E-3</v>
      </c>
      <c r="BR236" s="159">
        <f t="shared" si="225"/>
        <v>0.15185491922517588</v>
      </c>
      <c r="BS236" s="159">
        <f t="shared" si="225"/>
        <v>8.6713615959924842E-2</v>
      </c>
      <c r="BT236" s="159">
        <f t="shared" si="225"/>
        <v>7.3615464754989927E-4</v>
      </c>
      <c r="BU236" s="159">
        <f t="shared" si="225"/>
        <v>4.6165016703926548E-4</v>
      </c>
      <c r="BV236" s="159">
        <f t="shared" si="225"/>
        <v>3.1742576771689249E-5</v>
      </c>
      <c r="BW236" s="159">
        <f t="shared" si="225"/>
        <v>3.8822524722181007E-3</v>
      </c>
      <c r="BX236" s="159">
        <f t="shared" si="225"/>
        <v>3.6884576209613194E-4</v>
      </c>
      <c r="BY236" s="159">
        <f t="shared" si="225"/>
        <v>8.9691456929597626E-5</v>
      </c>
      <c r="BZ236" s="159">
        <f t="shared" si="225"/>
        <v>5.7696840405244295E-4</v>
      </c>
      <c r="CA236" s="118">
        <f t="shared" si="225"/>
        <v>0</v>
      </c>
      <c r="CB236" s="18"/>
      <c r="CC236" s="271"/>
      <c r="CD236" s="147">
        <f t="shared" si="204"/>
        <v>2.6763967245292519E-2</v>
      </c>
      <c r="CE236" s="148">
        <f t="shared" si="204"/>
        <v>0.1678089864072887</v>
      </c>
      <c r="CF236" s="148">
        <f t="shared" si="204"/>
        <v>-4.0161400123930981E-6</v>
      </c>
      <c r="CG236" s="119">
        <f t="shared" si="204"/>
        <v>5.7698681752112418E-4</v>
      </c>
      <c r="CH236" s="18"/>
      <c r="CI236" s="18"/>
      <c r="CJ236" s="18"/>
    </row>
    <row r="237" spans="1:88" ht="13.95" customHeight="1" x14ac:dyDescent="0.25">
      <c r="A237" s="8" t="s">
        <v>68</v>
      </c>
      <c r="B237" s="256"/>
      <c r="C237" s="22">
        <f t="shared" ref="C237:AH237" si="226">C70/C$84</f>
        <v>0</v>
      </c>
      <c r="D237" s="159">
        <f t="shared" si="226"/>
        <v>0</v>
      </c>
      <c r="E237" s="159">
        <f t="shared" si="226"/>
        <v>0</v>
      </c>
      <c r="F237" s="159">
        <f t="shared" si="226"/>
        <v>0</v>
      </c>
      <c r="G237" s="159">
        <f t="shared" si="226"/>
        <v>0</v>
      </c>
      <c r="H237" s="159">
        <f t="shared" si="226"/>
        <v>0</v>
      </c>
      <c r="I237" s="159">
        <f t="shared" si="226"/>
        <v>0</v>
      </c>
      <c r="J237" s="159">
        <f t="shared" si="226"/>
        <v>0</v>
      </c>
      <c r="K237" s="159">
        <f t="shared" si="226"/>
        <v>0</v>
      </c>
      <c r="L237" s="159">
        <f t="shared" si="226"/>
        <v>0</v>
      </c>
      <c r="M237" s="159">
        <f t="shared" si="226"/>
        <v>0</v>
      </c>
      <c r="N237" s="159">
        <f t="shared" si="226"/>
        <v>0</v>
      </c>
      <c r="O237" s="159">
        <f t="shared" si="226"/>
        <v>0</v>
      </c>
      <c r="P237" s="159">
        <f t="shared" si="226"/>
        <v>0</v>
      </c>
      <c r="Q237" s="159">
        <f t="shared" si="226"/>
        <v>0</v>
      </c>
      <c r="R237" s="159">
        <f t="shared" si="226"/>
        <v>0</v>
      </c>
      <c r="S237" s="159">
        <f t="shared" si="226"/>
        <v>0</v>
      </c>
      <c r="T237" s="159">
        <f t="shared" si="226"/>
        <v>0</v>
      </c>
      <c r="U237" s="159">
        <f t="shared" si="226"/>
        <v>0</v>
      </c>
      <c r="V237" s="159">
        <f t="shared" si="226"/>
        <v>0</v>
      </c>
      <c r="W237" s="159">
        <f t="shared" si="226"/>
        <v>0</v>
      </c>
      <c r="X237" s="159">
        <f t="shared" si="226"/>
        <v>0</v>
      </c>
      <c r="Y237" s="159">
        <f t="shared" si="226"/>
        <v>0</v>
      </c>
      <c r="Z237" s="159">
        <f t="shared" si="226"/>
        <v>0</v>
      </c>
      <c r="AA237" s="159">
        <f t="shared" si="226"/>
        <v>0</v>
      </c>
      <c r="AB237" s="159">
        <f t="shared" si="226"/>
        <v>0</v>
      </c>
      <c r="AC237" s="159">
        <f t="shared" si="226"/>
        <v>0</v>
      </c>
      <c r="AD237" s="159">
        <f t="shared" si="226"/>
        <v>0</v>
      </c>
      <c r="AE237" s="159">
        <f t="shared" si="226"/>
        <v>0</v>
      </c>
      <c r="AF237" s="159">
        <f t="shared" si="226"/>
        <v>0</v>
      </c>
      <c r="AG237" s="159">
        <f t="shared" si="226"/>
        <v>0</v>
      </c>
      <c r="AH237" s="159">
        <f t="shared" si="226"/>
        <v>0</v>
      </c>
      <c r="AI237" s="159">
        <f t="shared" ref="AI237:BN237" si="227">AI70/AI$84</f>
        <v>0</v>
      </c>
      <c r="AJ237" s="159">
        <f t="shared" si="227"/>
        <v>0</v>
      </c>
      <c r="AK237" s="159">
        <f t="shared" si="227"/>
        <v>0</v>
      </c>
      <c r="AL237" s="159">
        <f t="shared" si="227"/>
        <v>0</v>
      </c>
      <c r="AM237" s="159">
        <f t="shared" si="227"/>
        <v>0</v>
      </c>
      <c r="AN237" s="159">
        <f t="shared" si="227"/>
        <v>0</v>
      </c>
      <c r="AO237" s="159">
        <f t="shared" si="227"/>
        <v>0</v>
      </c>
      <c r="AP237" s="159">
        <f t="shared" si="227"/>
        <v>0</v>
      </c>
      <c r="AQ237" s="159">
        <f t="shared" si="227"/>
        <v>0</v>
      </c>
      <c r="AR237" s="159">
        <f t="shared" si="227"/>
        <v>0</v>
      </c>
      <c r="AS237" s="159">
        <f t="shared" si="227"/>
        <v>0</v>
      </c>
      <c r="AT237" s="159">
        <f t="shared" si="227"/>
        <v>0</v>
      </c>
      <c r="AU237" s="159">
        <f t="shared" si="227"/>
        <v>0</v>
      </c>
      <c r="AV237" s="159">
        <f t="shared" si="227"/>
        <v>0</v>
      </c>
      <c r="AW237" s="159">
        <f t="shared" si="227"/>
        <v>0</v>
      </c>
      <c r="AX237" s="159">
        <f t="shared" si="227"/>
        <v>0</v>
      </c>
      <c r="AY237" s="159">
        <f t="shared" si="227"/>
        <v>0</v>
      </c>
      <c r="AZ237" s="159">
        <f t="shared" si="227"/>
        <v>0</v>
      </c>
      <c r="BA237" s="159">
        <f t="shared" si="227"/>
        <v>0</v>
      </c>
      <c r="BB237" s="159">
        <f t="shared" si="227"/>
        <v>0</v>
      </c>
      <c r="BC237" s="159">
        <f t="shared" si="227"/>
        <v>0</v>
      </c>
      <c r="BD237" s="159">
        <f t="shared" si="227"/>
        <v>0</v>
      </c>
      <c r="BE237" s="159">
        <f t="shared" si="227"/>
        <v>0</v>
      </c>
      <c r="BF237" s="159">
        <f t="shared" si="227"/>
        <v>0</v>
      </c>
      <c r="BG237" s="159">
        <f t="shared" si="227"/>
        <v>0</v>
      </c>
      <c r="BH237" s="159">
        <f t="shared" si="227"/>
        <v>0</v>
      </c>
      <c r="BI237" s="159">
        <f t="shared" si="227"/>
        <v>0</v>
      </c>
      <c r="BJ237" s="159">
        <f t="shared" si="227"/>
        <v>0</v>
      </c>
      <c r="BK237" s="159">
        <f t="shared" si="227"/>
        <v>0</v>
      </c>
      <c r="BL237" s="159">
        <f t="shared" si="227"/>
        <v>0</v>
      </c>
      <c r="BM237" s="159">
        <f t="shared" si="227"/>
        <v>0</v>
      </c>
      <c r="BN237" s="159">
        <f t="shared" si="227"/>
        <v>0</v>
      </c>
      <c r="BO237" s="159">
        <f t="shared" ref="BO237:CA237" si="228">BO70/BO$84</f>
        <v>0</v>
      </c>
      <c r="BP237" s="159">
        <f t="shared" si="228"/>
        <v>0</v>
      </c>
      <c r="BQ237" s="159">
        <f t="shared" si="228"/>
        <v>0</v>
      </c>
      <c r="BR237" s="159">
        <f t="shared" si="228"/>
        <v>0</v>
      </c>
      <c r="BS237" s="159">
        <f t="shared" si="228"/>
        <v>0</v>
      </c>
      <c r="BT237" s="159">
        <f t="shared" si="228"/>
        <v>0</v>
      </c>
      <c r="BU237" s="159">
        <f t="shared" si="228"/>
        <v>0</v>
      </c>
      <c r="BV237" s="159">
        <f t="shared" si="228"/>
        <v>0</v>
      </c>
      <c r="BW237" s="159">
        <f t="shared" si="228"/>
        <v>0</v>
      </c>
      <c r="BX237" s="159">
        <f t="shared" si="228"/>
        <v>0</v>
      </c>
      <c r="BY237" s="159">
        <f t="shared" si="228"/>
        <v>0</v>
      </c>
      <c r="BZ237" s="159">
        <f t="shared" si="228"/>
        <v>0</v>
      </c>
      <c r="CA237" s="118">
        <f t="shared" si="228"/>
        <v>0</v>
      </c>
      <c r="CB237" s="18"/>
      <c r="CC237" s="271"/>
      <c r="CD237" s="147">
        <f t="shared" si="204"/>
        <v>5.7911189367467995E-3</v>
      </c>
      <c r="CE237" s="148">
        <f t="shared" si="204"/>
        <v>5.3916330892996842E-2</v>
      </c>
      <c r="CF237" s="148">
        <f t="shared" si="204"/>
        <v>3.1589850415501898E-6</v>
      </c>
      <c r="CG237" s="119">
        <f t="shared" si="204"/>
        <v>0</v>
      </c>
      <c r="CH237" s="18"/>
      <c r="CI237" s="18"/>
      <c r="CJ237" s="18"/>
    </row>
    <row r="238" spans="1:88" ht="13.95" customHeight="1" x14ac:dyDescent="0.25">
      <c r="A238" s="8" t="s">
        <v>69</v>
      </c>
      <c r="B238" s="256"/>
      <c r="C238" s="22">
        <f t="shared" ref="C238:AH238" si="229">C71/C$84</f>
        <v>7.2415182818009719E-6</v>
      </c>
      <c r="D238" s="159">
        <f t="shared" si="229"/>
        <v>3.7534220652735738E-5</v>
      </c>
      <c r="E238" s="159">
        <f t="shared" si="229"/>
        <v>7.2983777530849332E-6</v>
      </c>
      <c r="F238" s="159">
        <f t="shared" si="229"/>
        <v>4.1758823923042506E-6</v>
      </c>
      <c r="G238" s="159">
        <f t="shared" si="229"/>
        <v>1.7879259733631537E-5</v>
      </c>
      <c r="H238" s="159">
        <f t="shared" si="229"/>
        <v>9.3790331813714561E-5</v>
      </c>
      <c r="I238" s="159">
        <f t="shared" si="229"/>
        <v>4.5375406620362574E-8</v>
      </c>
      <c r="J238" s="159">
        <f t="shared" si="229"/>
        <v>1.2583201885254024E-5</v>
      </c>
      <c r="K238" s="159">
        <f t="shared" si="229"/>
        <v>8.9559916090807678E-6</v>
      </c>
      <c r="L238" s="159">
        <f t="shared" si="229"/>
        <v>0</v>
      </c>
      <c r="M238" s="159">
        <f t="shared" si="229"/>
        <v>4.0540751853339774E-6</v>
      </c>
      <c r="N238" s="159">
        <f t="shared" si="229"/>
        <v>1.3505877726577589E-5</v>
      </c>
      <c r="O238" s="159">
        <f t="shared" si="229"/>
        <v>5.9067191451591304E-5</v>
      </c>
      <c r="P238" s="159">
        <f t="shared" si="229"/>
        <v>4.14160854226347E-4</v>
      </c>
      <c r="Q238" s="159">
        <f t="shared" si="229"/>
        <v>5.2666874059477357E-6</v>
      </c>
      <c r="R238" s="159">
        <f t="shared" si="229"/>
        <v>3.3550222035250458E-5</v>
      </c>
      <c r="S238" s="159">
        <f t="shared" si="229"/>
        <v>1.6089681600478753E-4</v>
      </c>
      <c r="T238" s="159">
        <f t="shared" si="229"/>
        <v>4.8579155180694782E-6</v>
      </c>
      <c r="U238" s="159">
        <f t="shared" si="229"/>
        <v>3.6938422910240171E-6</v>
      </c>
      <c r="V238" s="159">
        <f t="shared" si="229"/>
        <v>1.7717199986599353E-7</v>
      </c>
      <c r="W238" s="159">
        <f t="shared" si="229"/>
        <v>2.0728257815015144E-5</v>
      </c>
      <c r="X238" s="159">
        <f t="shared" si="229"/>
        <v>4.941263569128632E-6</v>
      </c>
      <c r="Y238" s="159">
        <f t="shared" si="229"/>
        <v>6.5817985491815742E-6</v>
      </c>
      <c r="Z238" s="159">
        <f t="shared" si="229"/>
        <v>2.3295755056772934E-5</v>
      </c>
      <c r="AA238" s="159">
        <f t="shared" si="229"/>
        <v>9.5077971860089595E-7</v>
      </c>
      <c r="AB238" s="159">
        <f t="shared" si="229"/>
        <v>3.9143598214024758E-4</v>
      </c>
      <c r="AC238" s="159">
        <f t="shared" si="229"/>
        <v>3.5261862416219716E-5</v>
      </c>
      <c r="AD238" s="159">
        <f t="shared" si="229"/>
        <v>5.6602623348016106E-6</v>
      </c>
      <c r="AE238" s="159">
        <f t="shared" si="229"/>
        <v>1.6680491949082168E-5</v>
      </c>
      <c r="AF238" s="159">
        <f t="shared" si="229"/>
        <v>7.4375603731109341E-6</v>
      </c>
      <c r="AG238" s="159">
        <f t="shared" si="229"/>
        <v>8.5681464467590685E-7</v>
      </c>
      <c r="AH238" s="159">
        <f t="shared" si="229"/>
        <v>0</v>
      </c>
      <c r="AI238" s="159">
        <f t="shared" ref="AI238:BN238" si="230">AI71/AI$84</f>
        <v>1.5354900820969307E-5</v>
      </c>
      <c r="AJ238" s="159">
        <f t="shared" si="230"/>
        <v>4.1584395495945089E-5</v>
      </c>
      <c r="AK238" s="159">
        <f t="shared" si="230"/>
        <v>6.6862444126495886E-5</v>
      </c>
      <c r="AL238" s="159">
        <f t="shared" si="230"/>
        <v>1.0506588776295028E-4</v>
      </c>
      <c r="AM238" s="159">
        <f t="shared" si="230"/>
        <v>2.8086139678215624E-5</v>
      </c>
      <c r="AN238" s="159">
        <f t="shared" si="230"/>
        <v>9.6526132247546532E-6</v>
      </c>
      <c r="AO238" s="159">
        <f t="shared" si="230"/>
        <v>1.2860133756822302E-4</v>
      </c>
      <c r="AP238" s="159">
        <f t="shared" si="230"/>
        <v>7.1142827942962349E-5</v>
      </c>
      <c r="AQ238" s="159">
        <f t="shared" si="230"/>
        <v>8.3774090771558641E-4</v>
      </c>
      <c r="AR238" s="159">
        <f t="shared" si="230"/>
        <v>3.8489840591697836E-4</v>
      </c>
      <c r="AS238" s="159">
        <f t="shared" si="230"/>
        <v>1.3922454250235231E-6</v>
      </c>
      <c r="AT238" s="159">
        <f t="shared" si="230"/>
        <v>3.9882418224633223E-3</v>
      </c>
      <c r="AU238" s="159">
        <f t="shared" si="230"/>
        <v>1.3755974294826106E-3</v>
      </c>
      <c r="AV238" s="159">
        <f t="shared" si="230"/>
        <v>1.4221054569585563E-5</v>
      </c>
      <c r="AW238" s="159">
        <f t="shared" si="230"/>
        <v>2.2236202410142174E-4</v>
      </c>
      <c r="AX238" s="159">
        <f t="shared" si="230"/>
        <v>7.156244675413188E-4</v>
      </c>
      <c r="AY238" s="159">
        <f t="shared" si="230"/>
        <v>8.9343290005783712E-5</v>
      </c>
      <c r="AZ238" s="159">
        <f t="shared" si="230"/>
        <v>0</v>
      </c>
      <c r="BA238" s="159">
        <f t="shared" si="230"/>
        <v>2.6323685272230863E-6</v>
      </c>
      <c r="BB238" s="159">
        <f t="shared" si="230"/>
        <v>4.8902217131034053E-5</v>
      </c>
      <c r="BC238" s="159">
        <f t="shared" si="230"/>
        <v>7.473159800347626E-5</v>
      </c>
      <c r="BD238" s="159">
        <f t="shared" si="230"/>
        <v>2.3756529334688074E-4</v>
      </c>
      <c r="BE238" s="159">
        <f t="shared" si="230"/>
        <v>1.586416524835621E-5</v>
      </c>
      <c r="BF238" s="159">
        <f t="shared" si="230"/>
        <v>7.4647255850253071E-5</v>
      </c>
      <c r="BG238" s="159">
        <f t="shared" si="230"/>
        <v>6.0602562806819354E-4</v>
      </c>
      <c r="BH238" s="159">
        <f t="shared" si="230"/>
        <v>1.3613048921568891E-4</v>
      </c>
      <c r="BI238" s="159">
        <f t="shared" si="230"/>
        <v>0</v>
      </c>
      <c r="BJ238" s="159">
        <f t="shared" si="230"/>
        <v>4.8851007621389386E-4</v>
      </c>
      <c r="BK238" s="159">
        <f t="shared" si="230"/>
        <v>2.4673329165383624E-4</v>
      </c>
      <c r="BL238" s="159">
        <f t="shared" si="230"/>
        <v>6.5689489076951651E-4</v>
      </c>
      <c r="BM238" s="159">
        <f t="shared" si="230"/>
        <v>3.53874720022648E-5</v>
      </c>
      <c r="BN238" s="159">
        <f t="shared" si="230"/>
        <v>4.1820803433395025E-5</v>
      </c>
      <c r="BO238" s="159">
        <f t="shared" ref="BO238:CA238" si="231">BO71/BO$84</f>
        <v>6.8446550989360909E-5</v>
      </c>
      <c r="BP238" s="159">
        <f t="shared" si="231"/>
        <v>9.2816679790597566E-5</v>
      </c>
      <c r="BQ238" s="159">
        <f t="shared" si="231"/>
        <v>3.561617309492173E-4</v>
      </c>
      <c r="BR238" s="159">
        <f t="shared" si="231"/>
        <v>8.1877333789467111E-5</v>
      </c>
      <c r="BS238" s="159">
        <f t="shared" si="231"/>
        <v>3.7174827118422649E-5</v>
      </c>
      <c r="BT238" s="159">
        <f t="shared" si="231"/>
        <v>0.10569143004006627</v>
      </c>
      <c r="BU238" s="159">
        <f t="shared" si="231"/>
        <v>2.0511799017090448E-2</v>
      </c>
      <c r="BV238" s="159">
        <f t="shared" si="231"/>
        <v>1.5115512748423452E-6</v>
      </c>
      <c r="BW238" s="159">
        <f t="shared" si="231"/>
        <v>1.3296384244992604E-2</v>
      </c>
      <c r="BX238" s="159">
        <f t="shared" si="231"/>
        <v>7.2120679739467132E-6</v>
      </c>
      <c r="BY238" s="159">
        <f t="shared" si="231"/>
        <v>6.6878468298788624E-7</v>
      </c>
      <c r="BZ238" s="159">
        <f t="shared" si="231"/>
        <v>2.0277472104312478E-4</v>
      </c>
      <c r="CA238" s="118">
        <f t="shared" si="231"/>
        <v>0</v>
      </c>
      <c r="CB238" s="18"/>
      <c r="CC238" s="271"/>
      <c r="CD238" s="147">
        <f t="shared" si="204"/>
        <v>1.7319758153511338E-3</v>
      </c>
      <c r="CE238" s="148">
        <f t="shared" si="204"/>
        <v>1.9803588499463308E-2</v>
      </c>
      <c r="CF238" s="148">
        <f t="shared" si="204"/>
        <v>2.6478652353934592E-3</v>
      </c>
      <c r="CG238" s="119">
        <f t="shared" si="204"/>
        <v>3.6740768876080787E-4</v>
      </c>
      <c r="CH238" s="18"/>
      <c r="CI238" s="18"/>
      <c r="CJ238" s="18"/>
    </row>
    <row r="239" spans="1:88" ht="13.95" customHeight="1" x14ac:dyDescent="0.25">
      <c r="A239" s="8" t="s">
        <v>70</v>
      </c>
      <c r="B239" s="256"/>
      <c r="C239" s="22">
        <f t="shared" ref="C239:AH239" si="232">C72/C$84</f>
        <v>1.6854755302876356E-5</v>
      </c>
      <c r="D239" s="159">
        <f t="shared" si="232"/>
        <v>7.1419280964233272E-5</v>
      </c>
      <c r="E239" s="159">
        <f t="shared" si="232"/>
        <v>3.6491888765424666E-6</v>
      </c>
      <c r="F239" s="159">
        <f t="shared" si="232"/>
        <v>6.0627625843824682E-5</v>
      </c>
      <c r="G239" s="159">
        <f t="shared" si="232"/>
        <v>6.2916031411150379E-5</v>
      </c>
      <c r="H239" s="159">
        <f t="shared" si="232"/>
        <v>2.6960662383899489E-5</v>
      </c>
      <c r="I239" s="159">
        <f t="shared" si="232"/>
        <v>1.7514906955459955E-5</v>
      </c>
      <c r="J239" s="159">
        <f t="shared" si="232"/>
        <v>2.7344265635263553E-5</v>
      </c>
      <c r="K239" s="159">
        <f t="shared" si="232"/>
        <v>4.5286900966672558E-5</v>
      </c>
      <c r="L239" s="159">
        <f t="shared" si="232"/>
        <v>4.8402131151039114E-5</v>
      </c>
      <c r="M239" s="159">
        <f t="shared" si="232"/>
        <v>5.0579414217023913E-5</v>
      </c>
      <c r="N239" s="159">
        <f t="shared" si="232"/>
        <v>2.2352751121118722E-5</v>
      </c>
      <c r="O239" s="159">
        <f t="shared" si="232"/>
        <v>3.7452298998477886E-5</v>
      </c>
      <c r="P239" s="159">
        <f t="shared" si="232"/>
        <v>4.3728999578825794E-4</v>
      </c>
      <c r="Q239" s="159">
        <f t="shared" si="232"/>
        <v>1.5658198584012964E-5</v>
      </c>
      <c r="R239" s="159">
        <f t="shared" si="232"/>
        <v>3.3178433227235715E-5</v>
      </c>
      <c r="S239" s="159">
        <f t="shared" si="232"/>
        <v>0</v>
      </c>
      <c r="T239" s="159">
        <f t="shared" si="232"/>
        <v>2.9654067186504327E-5</v>
      </c>
      <c r="U239" s="159">
        <f t="shared" si="232"/>
        <v>2.5477528450522409E-5</v>
      </c>
      <c r="V239" s="159">
        <f t="shared" si="232"/>
        <v>1.0501467628420709E-5</v>
      </c>
      <c r="W239" s="159">
        <f t="shared" si="232"/>
        <v>2.4506416360979059E-5</v>
      </c>
      <c r="X239" s="159">
        <f t="shared" si="232"/>
        <v>7.3834972872037035E-7</v>
      </c>
      <c r="Y239" s="159">
        <f t="shared" si="232"/>
        <v>3.2200715211743972E-5</v>
      </c>
      <c r="Z239" s="159">
        <f t="shared" si="232"/>
        <v>1.4204728693154228E-5</v>
      </c>
      <c r="AA239" s="159">
        <f t="shared" si="232"/>
        <v>1.5129073767912503E-5</v>
      </c>
      <c r="AB239" s="159">
        <f t="shared" si="232"/>
        <v>0</v>
      </c>
      <c r="AC239" s="159">
        <f t="shared" si="232"/>
        <v>3.580470058042066E-5</v>
      </c>
      <c r="AD239" s="159">
        <f t="shared" si="232"/>
        <v>0</v>
      </c>
      <c r="AE239" s="159">
        <f t="shared" si="232"/>
        <v>4.8778462096532711E-6</v>
      </c>
      <c r="AF239" s="159">
        <f t="shared" si="232"/>
        <v>4.0405721311847007E-5</v>
      </c>
      <c r="AG239" s="159">
        <f t="shared" si="232"/>
        <v>7.3196451073741749E-5</v>
      </c>
      <c r="AH239" s="159">
        <f t="shared" si="232"/>
        <v>8.0980972869544311E-5</v>
      </c>
      <c r="AI239" s="159">
        <f t="shared" ref="AI239:BN239" si="233">AI72/AI$84</f>
        <v>1.2174891775206433E-5</v>
      </c>
      <c r="AJ239" s="159">
        <f t="shared" si="233"/>
        <v>1.0599320006757761E-5</v>
      </c>
      <c r="AK239" s="159">
        <f t="shared" si="233"/>
        <v>1.215507331865807E-5</v>
      </c>
      <c r="AL239" s="159">
        <f t="shared" si="233"/>
        <v>1.7343028557709887E-5</v>
      </c>
      <c r="AM239" s="159">
        <f t="shared" si="233"/>
        <v>1.1419466914198203E-5</v>
      </c>
      <c r="AN239" s="159">
        <f t="shared" si="233"/>
        <v>5.5722483212916555E-6</v>
      </c>
      <c r="AO239" s="159">
        <f t="shared" si="233"/>
        <v>5.7727711530624552E-5</v>
      </c>
      <c r="AP239" s="159">
        <f t="shared" si="233"/>
        <v>2.8549976629639048E-6</v>
      </c>
      <c r="AQ239" s="159">
        <f t="shared" si="233"/>
        <v>1.2077635919167785E-4</v>
      </c>
      <c r="AR239" s="159">
        <f t="shared" si="233"/>
        <v>1.1477303583116083E-5</v>
      </c>
      <c r="AS239" s="159">
        <f t="shared" si="233"/>
        <v>1.4177699244822877E-4</v>
      </c>
      <c r="AT239" s="159">
        <f t="shared" si="233"/>
        <v>0</v>
      </c>
      <c r="AU239" s="159">
        <f t="shared" si="233"/>
        <v>2.4397890558382324E-6</v>
      </c>
      <c r="AV239" s="159">
        <f t="shared" si="233"/>
        <v>6.382131806838399E-6</v>
      </c>
      <c r="AW239" s="159">
        <f t="shared" si="233"/>
        <v>6.8510431581007015E-8</v>
      </c>
      <c r="AX239" s="159">
        <f t="shared" si="233"/>
        <v>9.1893992621678181E-5</v>
      </c>
      <c r="AY239" s="159">
        <f t="shared" si="233"/>
        <v>2.0804506922187968E-5</v>
      </c>
      <c r="AZ239" s="159">
        <f t="shared" si="233"/>
        <v>3.6816972658018155E-5</v>
      </c>
      <c r="BA239" s="159">
        <f t="shared" si="233"/>
        <v>1.3608848612436333E-5</v>
      </c>
      <c r="BB239" s="159">
        <f t="shared" si="233"/>
        <v>7.2992199664933841E-6</v>
      </c>
      <c r="BC239" s="159">
        <f t="shared" si="233"/>
        <v>5.2668839828362531E-5</v>
      </c>
      <c r="BD239" s="159">
        <f t="shared" si="233"/>
        <v>6.8608111090805797E-4</v>
      </c>
      <c r="BE239" s="159">
        <f t="shared" si="233"/>
        <v>2.2083639124132224E-5</v>
      </c>
      <c r="BF239" s="159">
        <f t="shared" si="233"/>
        <v>1.3666047521748129E-4</v>
      </c>
      <c r="BG239" s="159">
        <f t="shared" si="233"/>
        <v>1.8807471839900656E-4</v>
      </c>
      <c r="BH239" s="159">
        <f t="shared" si="233"/>
        <v>1.7097728908669061E-6</v>
      </c>
      <c r="BI239" s="159">
        <f t="shared" si="233"/>
        <v>0</v>
      </c>
      <c r="BJ239" s="159">
        <f t="shared" si="233"/>
        <v>1.8091720314109927E-4</v>
      </c>
      <c r="BK239" s="159">
        <f t="shared" si="233"/>
        <v>4.8988961154086614E-6</v>
      </c>
      <c r="BL239" s="159">
        <f t="shared" si="233"/>
        <v>8.6226634353278643E-5</v>
      </c>
      <c r="BM239" s="159">
        <f t="shared" si="233"/>
        <v>2.0816160001332233E-5</v>
      </c>
      <c r="BN239" s="159">
        <f t="shared" si="233"/>
        <v>3.4850669527829188E-6</v>
      </c>
      <c r="BO239" s="159">
        <f t="shared" ref="BO239:CA239" si="234">BO72/BO$84</f>
        <v>0</v>
      </c>
      <c r="BP239" s="159">
        <f t="shared" si="234"/>
        <v>6.6410855832193846E-5</v>
      </c>
      <c r="BQ239" s="159">
        <f t="shared" si="234"/>
        <v>8.0966728422091793E-5</v>
      </c>
      <c r="BR239" s="159">
        <f t="shared" si="234"/>
        <v>5.0876511863503262E-5</v>
      </c>
      <c r="BS239" s="159">
        <f t="shared" si="234"/>
        <v>6.8913712535566515E-5</v>
      </c>
      <c r="BT239" s="159">
        <f t="shared" si="234"/>
        <v>1.6226610797240796E-3</v>
      </c>
      <c r="BU239" s="159">
        <f t="shared" si="234"/>
        <v>2.9029096317326659E-2</v>
      </c>
      <c r="BV239" s="159">
        <f t="shared" si="234"/>
        <v>4.736193994506015E-5</v>
      </c>
      <c r="BW239" s="159">
        <f t="shared" si="234"/>
        <v>1.4540783593255537E-4</v>
      </c>
      <c r="BX239" s="159">
        <f t="shared" si="234"/>
        <v>0</v>
      </c>
      <c r="BY239" s="159">
        <f t="shared" si="234"/>
        <v>0</v>
      </c>
      <c r="BZ239" s="159">
        <f t="shared" si="234"/>
        <v>1.0208851792489269E-4</v>
      </c>
      <c r="CA239" s="118">
        <f t="shared" si="234"/>
        <v>0</v>
      </c>
      <c r="CB239" s="18"/>
      <c r="CC239" s="271"/>
      <c r="CD239" s="147">
        <f t="shared" si="204"/>
        <v>7.6812292480602233E-4</v>
      </c>
      <c r="CE239" s="148">
        <f t="shared" si="204"/>
        <v>3.3019211878966503E-3</v>
      </c>
      <c r="CF239" s="148">
        <f t="shared" si="204"/>
        <v>1.1043675468707806E-5</v>
      </c>
      <c r="CG239" s="119">
        <f t="shared" si="204"/>
        <v>3.6092021560660198E-5</v>
      </c>
      <c r="CH239" s="18"/>
      <c r="CI239" s="18"/>
      <c r="CJ239" s="18"/>
    </row>
    <row r="240" spans="1:88" ht="13.95" customHeight="1" x14ac:dyDescent="0.25">
      <c r="A240" s="8" t="s">
        <v>71</v>
      </c>
      <c r="B240" s="256"/>
      <c r="C240" s="22">
        <f t="shared" ref="C240:AH240" si="235">C73/C$84</f>
        <v>0</v>
      </c>
      <c r="D240" s="159">
        <f t="shared" si="235"/>
        <v>0</v>
      </c>
      <c r="E240" s="159">
        <f t="shared" si="235"/>
        <v>0</v>
      </c>
      <c r="F240" s="159">
        <f t="shared" si="235"/>
        <v>0</v>
      </c>
      <c r="G240" s="159">
        <f t="shared" si="235"/>
        <v>0</v>
      </c>
      <c r="H240" s="159">
        <f t="shared" si="235"/>
        <v>0</v>
      </c>
      <c r="I240" s="159">
        <f t="shared" si="235"/>
        <v>0</v>
      </c>
      <c r="J240" s="159">
        <f t="shared" si="235"/>
        <v>0</v>
      </c>
      <c r="K240" s="159">
        <f t="shared" si="235"/>
        <v>0</v>
      </c>
      <c r="L240" s="159">
        <f t="shared" si="235"/>
        <v>0</v>
      </c>
      <c r="M240" s="159">
        <f t="shared" si="235"/>
        <v>0</v>
      </c>
      <c r="N240" s="159">
        <f t="shared" si="235"/>
        <v>0</v>
      </c>
      <c r="O240" s="159">
        <f t="shared" si="235"/>
        <v>0</v>
      </c>
      <c r="P240" s="159">
        <f t="shared" si="235"/>
        <v>0</v>
      </c>
      <c r="Q240" s="159">
        <f t="shared" si="235"/>
        <v>0</v>
      </c>
      <c r="R240" s="159">
        <f t="shared" si="235"/>
        <v>0</v>
      </c>
      <c r="S240" s="159">
        <f t="shared" si="235"/>
        <v>0</v>
      </c>
      <c r="T240" s="159">
        <f t="shared" si="235"/>
        <v>0</v>
      </c>
      <c r="U240" s="159">
        <f t="shared" si="235"/>
        <v>0</v>
      </c>
      <c r="V240" s="159">
        <f t="shared" si="235"/>
        <v>0</v>
      </c>
      <c r="W240" s="159">
        <f t="shared" si="235"/>
        <v>0</v>
      </c>
      <c r="X240" s="159">
        <f t="shared" si="235"/>
        <v>0</v>
      </c>
      <c r="Y240" s="159">
        <f t="shared" si="235"/>
        <v>0</v>
      </c>
      <c r="Z240" s="159">
        <f t="shared" si="235"/>
        <v>0</v>
      </c>
      <c r="AA240" s="159">
        <f t="shared" si="235"/>
        <v>0</v>
      </c>
      <c r="AB240" s="159">
        <f t="shared" si="235"/>
        <v>0</v>
      </c>
      <c r="AC240" s="159">
        <f t="shared" si="235"/>
        <v>0</v>
      </c>
      <c r="AD240" s="159">
        <f t="shared" si="235"/>
        <v>0</v>
      </c>
      <c r="AE240" s="159">
        <f t="shared" si="235"/>
        <v>0</v>
      </c>
      <c r="AF240" s="159">
        <f t="shared" si="235"/>
        <v>0</v>
      </c>
      <c r="AG240" s="159">
        <f t="shared" si="235"/>
        <v>0</v>
      </c>
      <c r="AH240" s="159">
        <f t="shared" si="235"/>
        <v>0</v>
      </c>
      <c r="AI240" s="159">
        <f t="shared" ref="AI240:BN240" si="236">AI73/AI$84</f>
        <v>0</v>
      </c>
      <c r="AJ240" s="159">
        <f t="shared" si="236"/>
        <v>0</v>
      </c>
      <c r="AK240" s="159">
        <f t="shared" si="236"/>
        <v>0</v>
      </c>
      <c r="AL240" s="159">
        <f t="shared" si="236"/>
        <v>0</v>
      </c>
      <c r="AM240" s="159">
        <f t="shared" si="236"/>
        <v>0</v>
      </c>
      <c r="AN240" s="159">
        <f t="shared" si="236"/>
        <v>0</v>
      </c>
      <c r="AO240" s="159">
        <f t="shared" si="236"/>
        <v>0</v>
      </c>
      <c r="AP240" s="159">
        <f t="shared" si="236"/>
        <v>0</v>
      </c>
      <c r="AQ240" s="159">
        <f t="shared" si="236"/>
        <v>0</v>
      </c>
      <c r="AR240" s="159">
        <f t="shared" si="236"/>
        <v>0</v>
      </c>
      <c r="AS240" s="159">
        <f t="shared" si="236"/>
        <v>0</v>
      </c>
      <c r="AT240" s="159">
        <f t="shared" si="236"/>
        <v>0</v>
      </c>
      <c r="AU240" s="159">
        <f t="shared" si="236"/>
        <v>0</v>
      </c>
      <c r="AV240" s="159">
        <f t="shared" si="236"/>
        <v>0</v>
      </c>
      <c r="AW240" s="159">
        <f t="shared" si="236"/>
        <v>0</v>
      </c>
      <c r="AX240" s="159">
        <f t="shared" si="236"/>
        <v>0</v>
      </c>
      <c r="AY240" s="159">
        <f t="shared" si="236"/>
        <v>0</v>
      </c>
      <c r="AZ240" s="159">
        <f t="shared" si="236"/>
        <v>0</v>
      </c>
      <c r="BA240" s="159">
        <f t="shared" si="236"/>
        <v>0</v>
      </c>
      <c r="BB240" s="159">
        <f t="shared" si="236"/>
        <v>0</v>
      </c>
      <c r="BC240" s="159">
        <f t="shared" si="236"/>
        <v>0</v>
      </c>
      <c r="BD240" s="159">
        <f t="shared" si="236"/>
        <v>0</v>
      </c>
      <c r="BE240" s="159">
        <f t="shared" si="236"/>
        <v>0</v>
      </c>
      <c r="BF240" s="159">
        <f t="shared" si="236"/>
        <v>0</v>
      </c>
      <c r="BG240" s="159">
        <f t="shared" si="236"/>
        <v>0</v>
      </c>
      <c r="BH240" s="159">
        <f t="shared" si="236"/>
        <v>0</v>
      </c>
      <c r="BI240" s="159">
        <f t="shared" si="236"/>
        <v>0</v>
      </c>
      <c r="BJ240" s="159">
        <f t="shared" si="236"/>
        <v>0</v>
      </c>
      <c r="BK240" s="159">
        <f t="shared" si="236"/>
        <v>0</v>
      </c>
      <c r="BL240" s="159">
        <f t="shared" si="236"/>
        <v>0</v>
      </c>
      <c r="BM240" s="159">
        <f t="shared" si="236"/>
        <v>0</v>
      </c>
      <c r="BN240" s="159">
        <f t="shared" si="236"/>
        <v>0</v>
      </c>
      <c r="BO240" s="159">
        <f t="shared" ref="BO240:CA240" si="237">BO73/BO$84</f>
        <v>0</v>
      </c>
      <c r="BP240" s="159">
        <f t="shared" si="237"/>
        <v>0</v>
      </c>
      <c r="BQ240" s="159">
        <f t="shared" si="237"/>
        <v>0</v>
      </c>
      <c r="BR240" s="159">
        <f t="shared" si="237"/>
        <v>0</v>
      </c>
      <c r="BS240" s="159">
        <f t="shared" si="237"/>
        <v>0</v>
      </c>
      <c r="BT240" s="159">
        <f t="shared" si="237"/>
        <v>0</v>
      </c>
      <c r="BU240" s="159">
        <f t="shared" si="237"/>
        <v>0</v>
      </c>
      <c r="BV240" s="159">
        <f t="shared" si="237"/>
        <v>0.18594650317728079</v>
      </c>
      <c r="BW240" s="159">
        <f t="shared" si="237"/>
        <v>1.3492388537942443E-3</v>
      </c>
      <c r="BX240" s="159">
        <f t="shared" si="237"/>
        <v>0</v>
      </c>
      <c r="BY240" s="159">
        <f t="shared" si="237"/>
        <v>0</v>
      </c>
      <c r="BZ240" s="159">
        <f t="shared" si="237"/>
        <v>0</v>
      </c>
      <c r="CA240" s="118">
        <f t="shared" si="237"/>
        <v>0</v>
      </c>
      <c r="CB240" s="18"/>
      <c r="CC240" s="271"/>
      <c r="CD240" s="147">
        <f t="shared" si="204"/>
        <v>1.7216046512747753E-3</v>
      </c>
      <c r="CE240" s="148">
        <f t="shared" si="204"/>
        <v>0</v>
      </c>
      <c r="CF240" s="148">
        <f t="shared" si="204"/>
        <v>-1.1097602437072097E-6</v>
      </c>
      <c r="CG240" s="119">
        <f t="shared" si="204"/>
        <v>0</v>
      </c>
      <c r="CH240" s="18"/>
      <c r="CI240" s="18"/>
      <c r="CJ240" s="18"/>
    </row>
    <row r="241" spans="1:88" ht="13.95" customHeight="1" x14ac:dyDescent="0.25">
      <c r="A241" s="8" t="s">
        <v>72</v>
      </c>
      <c r="B241" s="256"/>
      <c r="C241" s="22">
        <f t="shared" ref="C241:AH241" si="238">C74/C$84</f>
        <v>1.8954309596660261E-5</v>
      </c>
      <c r="D241" s="159">
        <f t="shared" si="238"/>
        <v>6.5598001372258052E-5</v>
      </c>
      <c r="E241" s="159">
        <f t="shared" si="238"/>
        <v>0</v>
      </c>
      <c r="F241" s="159">
        <f t="shared" si="238"/>
        <v>5.4018389761190046E-4</v>
      </c>
      <c r="G241" s="159">
        <f t="shared" si="238"/>
        <v>1.9369198044767499E-5</v>
      </c>
      <c r="H241" s="159">
        <f t="shared" si="238"/>
        <v>1.0457562737363459E-4</v>
      </c>
      <c r="I241" s="159">
        <f t="shared" si="238"/>
        <v>8.5305764446281637E-6</v>
      </c>
      <c r="J241" s="159">
        <f t="shared" si="238"/>
        <v>1.4652170656771752E-4</v>
      </c>
      <c r="K241" s="159">
        <f t="shared" si="238"/>
        <v>9.6741607475447916E-5</v>
      </c>
      <c r="L241" s="159">
        <f t="shared" si="238"/>
        <v>3.4349899526543888E-5</v>
      </c>
      <c r="M241" s="159">
        <f t="shared" si="238"/>
        <v>8.1274554905981172E-5</v>
      </c>
      <c r="N241" s="159">
        <f t="shared" si="238"/>
        <v>7.8025235470790299E-5</v>
      </c>
      <c r="O241" s="159">
        <f t="shared" si="238"/>
        <v>8.270927194251138E-5</v>
      </c>
      <c r="P241" s="159">
        <f t="shared" si="238"/>
        <v>2.4703415390802286E-4</v>
      </c>
      <c r="Q241" s="159">
        <f t="shared" si="238"/>
        <v>1.9204789429769016E-5</v>
      </c>
      <c r="R241" s="159">
        <f t="shared" si="238"/>
        <v>7.5250054742184093E-5</v>
      </c>
      <c r="S241" s="159">
        <f t="shared" si="238"/>
        <v>2.5737985109405705E-5</v>
      </c>
      <c r="T241" s="159">
        <f t="shared" si="238"/>
        <v>8.476672906663479E-5</v>
      </c>
      <c r="U241" s="159">
        <f t="shared" si="238"/>
        <v>1.5576034439069382E-4</v>
      </c>
      <c r="V241" s="159">
        <f t="shared" si="238"/>
        <v>5.9964668681917635E-5</v>
      </c>
      <c r="W241" s="159">
        <f t="shared" si="238"/>
        <v>1.068620143929466E-4</v>
      </c>
      <c r="X241" s="159">
        <f t="shared" si="238"/>
        <v>5.1286908079576496E-5</v>
      </c>
      <c r="Y241" s="159">
        <f t="shared" si="238"/>
        <v>1.1441273436018258E-4</v>
      </c>
      <c r="Z241" s="159">
        <f t="shared" si="238"/>
        <v>1.0399965807639732E-4</v>
      </c>
      <c r="AA241" s="159">
        <f t="shared" si="238"/>
        <v>4.7505625238164065E-5</v>
      </c>
      <c r="AB241" s="159">
        <f t="shared" si="238"/>
        <v>1.389538607295441E-5</v>
      </c>
      <c r="AC241" s="159">
        <f t="shared" si="238"/>
        <v>9.1015865531025102E-5</v>
      </c>
      <c r="AD241" s="159">
        <f t="shared" si="238"/>
        <v>2.5777140632812738E-5</v>
      </c>
      <c r="AE241" s="159">
        <f t="shared" si="238"/>
        <v>3.5255504524235026E-5</v>
      </c>
      <c r="AF241" s="159">
        <f t="shared" si="238"/>
        <v>6.1663492199475156E-5</v>
      </c>
      <c r="AG241" s="159">
        <f t="shared" si="238"/>
        <v>1.0575540757142621E-4</v>
      </c>
      <c r="AH241" s="159">
        <f t="shared" si="238"/>
        <v>2.0451747312179297E-4</v>
      </c>
      <c r="AI241" s="159">
        <f t="shared" ref="AI241:BN241" si="239">AI74/AI$84</f>
        <v>7.1686489631625939E-5</v>
      </c>
      <c r="AJ241" s="159">
        <f t="shared" si="239"/>
        <v>8.6154188985059944E-5</v>
      </c>
      <c r="AK241" s="159">
        <f t="shared" si="239"/>
        <v>2.9355360743208125E-4</v>
      </c>
      <c r="AL241" s="159">
        <f t="shared" si="239"/>
        <v>1.6010667136323589E-4</v>
      </c>
      <c r="AM241" s="159">
        <f t="shared" si="239"/>
        <v>8.2957070173486527E-5</v>
      </c>
      <c r="AN241" s="159">
        <f t="shared" si="239"/>
        <v>4.4450475167100026E-5</v>
      </c>
      <c r="AO241" s="159">
        <f t="shared" si="239"/>
        <v>4.9535330026278494E-5</v>
      </c>
      <c r="AP241" s="159">
        <f t="shared" si="239"/>
        <v>1.5830149643425878E-5</v>
      </c>
      <c r="AQ241" s="159">
        <f t="shared" si="239"/>
        <v>1.4216591209629955E-3</v>
      </c>
      <c r="AR241" s="159">
        <f t="shared" si="239"/>
        <v>3.6217269084499635E-4</v>
      </c>
      <c r="AS241" s="159">
        <f t="shared" si="239"/>
        <v>5.9170430563499734E-5</v>
      </c>
      <c r="AT241" s="159">
        <f t="shared" si="239"/>
        <v>1.2499762891406072E-3</v>
      </c>
      <c r="AU241" s="159">
        <f t="shared" si="239"/>
        <v>3.2160855736049425E-6</v>
      </c>
      <c r="AV241" s="159">
        <f t="shared" si="239"/>
        <v>5.545055098840029E-5</v>
      </c>
      <c r="AW241" s="159">
        <f t="shared" si="239"/>
        <v>4.2229830026532718E-4</v>
      </c>
      <c r="AX241" s="159">
        <f t="shared" si="239"/>
        <v>6.4612963562117462E-5</v>
      </c>
      <c r="AY241" s="159">
        <f t="shared" si="239"/>
        <v>7.3655897488098662E-5</v>
      </c>
      <c r="AZ241" s="159">
        <f t="shared" si="239"/>
        <v>0</v>
      </c>
      <c r="BA241" s="159">
        <f t="shared" si="239"/>
        <v>3.3674450216174573E-5</v>
      </c>
      <c r="BB241" s="159">
        <f t="shared" si="239"/>
        <v>1.0489273105965231E-4</v>
      </c>
      <c r="BC241" s="159">
        <f t="shared" si="239"/>
        <v>2.6990906876185329E-4</v>
      </c>
      <c r="BD241" s="159">
        <f t="shared" si="239"/>
        <v>2.8382183113892089E-4</v>
      </c>
      <c r="BE241" s="159">
        <f t="shared" si="239"/>
        <v>9.4463893069757435E-5</v>
      </c>
      <c r="BF241" s="159">
        <f t="shared" si="239"/>
        <v>9.7138617501352261E-5</v>
      </c>
      <c r="BG241" s="159">
        <f t="shared" si="239"/>
        <v>4.2163114112298498E-5</v>
      </c>
      <c r="BH241" s="159">
        <f t="shared" si="239"/>
        <v>1.7341982178792906E-5</v>
      </c>
      <c r="BI241" s="159">
        <f t="shared" si="239"/>
        <v>0</v>
      </c>
      <c r="BJ241" s="159">
        <f t="shared" si="239"/>
        <v>4.8689594503345285E-4</v>
      </c>
      <c r="BK241" s="159">
        <f t="shared" si="239"/>
        <v>2.0466499326596185E-4</v>
      </c>
      <c r="BL241" s="159">
        <f t="shared" si="239"/>
        <v>1.358544687946847E-3</v>
      </c>
      <c r="BM241" s="159">
        <f t="shared" si="239"/>
        <v>6.0054621603843496E-5</v>
      </c>
      <c r="BN241" s="159">
        <f t="shared" si="239"/>
        <v>4.4144181401916976E-5</v>
      </c>
      <c r="BO241" s="159">
        <f t="shared" ref="BO241:CA241" si="240">BO74/BO$84</f>
        <v>1.143937353332583E-4</v>
      </c>
      <c r="BP241" s="159">
        <f t="shared" si="240"/>
        <v>3.5298704766385547E-4</v>
      </c>
      <c r="BQ241" s="159">
        <f t="shared" si="240"/>
        <v>1.2588889401318507E-4</v>
      </c>
      <c r="BR241" s="159">
        <f t="shared" si="240"/>
        <v>1.1136247015842491E-4</v>
      </c>
      <c r="BS241" s="159">
        <f t="shared" si="240"/>
        <v>1.8355070889721181E-4</v>
      </c>
      <c r="BT241" s="159">
        <f t="shared" si="240"/>
        <v>3.0146542505587706E-3</v>
      </c>
      <c r="BU241" s="159">
        <f t="shared" si="240"/>
        <v>1.8980049694119694E-4</v>
      </c>
      <c r="BV241" s="159">
        <f t="shared" si="240"/>
        <v>9.9762384139594779E-5</v>
      </c>
      <c r="BW241" s="159">
        <f t="shared" si="240"/>
        <v>0.15750677069480559</v>
      </c>
      <c r="BX241" s="159">
        <f t="shared" si="240"/>
        <v>1.6072608627652675E-5</v>
      </c>
      <c r="BY241" s="159">
        <f t="shared" si="240"/>
        <v>1.1800334184275148E-4</v>
      </c>
      <c r="BZ241" s="159">
        <f t="shared" si="240"/>
        <v>9.6126997218817095E-3</v>
      </c>
      <c r="CA241" s="118">
        <f t="shared" si="240"/>
        <v>0</v>
      </c>
      <c r="CB241" s="18"/>
      <c r="CC241" s="271"/>
      <c r="CD241" s="147">
        <f t="shared" si="204"/>
        <v>5.1232412971614558E-3</v>
      </c>
      <c r="CE241" s="148">
        <f t="shared" si="204"/>
        <v>5.1064233293090207E-3</v>
      </c>
      <c r="CF241" s="148">
        <f t="shared" si="204"/>
        <v>-1.0842158902714937E-6</v>
      </c>
      <c r="CG241" s="119">
        <f t="shared" si="204"/>
        <v>3.8024030550957337E-4</v>
      </c>
      <c r="CH241" s="18"/>
      <c r="CI241" s="18"/>
      <c r="CJ241" s="18"/>
    </row>
    <row r="242" spans="1:88" ht="13.95" customHeight="1" x14ac:dyDescent="0.25">
      <c r="A242" s="8" t="s">
        <v>73</v>
      </c>
      <c r="B242" s="256"/>
      <c r="C242" s="22">
        <f t="shared" ref="C242:AH242" si="241">C75/C$84</f>
        <v>5.9606929610051137E-4</v>
      </c>
      <c r="D242" s="159">
        <f t="shared" si="241"/>
        <v>1.9983497106780601E-6</v>
      </c>
      <c r="E242" s="159">
        <f t="shared" si="241"/>
        <v>1.5691512169132605E-4</v>
      </c>
      <c r="F242" s="159">
        <f t="shared" si="241"/>
        <v>3.0932462165216672E-7</v>
      </c>
      <c r="G242" s="159">
        <f t="shared" si="241"/>
        <v>1.7946984202319536E-4</v>
      </c>
      <c r="H242" s="159">
        <f t="shared" si="241"/>
        <v>1.368026882583646E-4</v>
      </c>
      <c r="I242" s="159">
        <f t="shared" si="241"/>
        <v>2.0741098366167733E-4</v>
      </c>
      <c r="J242" s="159">
        <f t="shared" si="241"/>
        <v>5.15427307992136E-5</v>
      </c>
      <c r="K242" s="159">
        <f t="shared" si="241"/>
        <v>2.2263243292384738E-4</v>
      </c>
      <c r="L242" s="159">
        <f t="shared" si="241"/>
        <v>1.4654470122687878E-4</v>
      </c>
      <c r="M242" s="159">
        <f t="shared" si="241"/>
        <v>4.1100600331314468E-4</v>
      </c>
      <c r="N242" s="159">
        <f t="shared" si="241"/>
        <v>7.1429341697345423E-5</v>
      </c>
      <c r="O242" s="159">
        <f t="shared" si="241"/>
        <v>1.2856426535769784E-3</v>
      </c>
      <c r="P242" s="159">
        <f t="shared" si="241"/>
        <v>4.3355948908472392E-4</v>
      </c>
      <c r="Q242" s="159">
        <f t="shared" si="241"/>
        <v>3.2327175559066407E-5</v>
      </c>
      <c r="R242" s="159">
        <f t="shared" si="241"/>
        <v>4.8198701071031355E-5</v>
      </c>
      <c r="S242" s="159">
        <f t="shared" si="241"/>
        <v>1.9922852110088106E-4</v>
      </c>
      <c r="T242" s="159">
        <f t="shared" si="241"/>
        <v>7.345324132268154E-5</v>
      </c>
      <c r="U242" s="159">
        <f t="shared" si="241"/>
        <v>9.495371026591252E-4</v>
      </c>
      <c r="V242" s="159">
        <f t="shared" si="241"/>
        <v>2.5174530526413446E-5</v>
      </c>
      <c r="W242" s="159">
        <f t="shared" si="241"/>
        <v>3.4158269477034417E-5</v>
      </c>
      <c r="X242" s="159">
        <f t="shared" si="241"/>
        <v>3.6803894170061534E-5</v>
      </c>
      <c r="Y242" s="159">
        <f t="shared" si="241"/>
        <v>4.4155057983485838E-5</v>
      </c>
      <c r="Z242" s="159">
        <f t="shared" si="241"/>
        <v>3.6974382687217746E-5</v>
      </c>
      <c r="AA242" s="159">
        <f t="shared" si="241"/>
        <v>2.7372447688141585E-5</v>
      </c>
      <c r="AB242" s="159">
        <f t="shared" si="241"/>
        <v>3.1254059860140617E-5</v>
      </c>
      <c r="AC242" s="159">
        <f t="shared" si="241"/>
        <v>4.0599771030862341E-5</v>
      </c>
      <c r="AD242" s="159">
        <f t="shared" si="241"/>
        <v>4.1304617037741485E-6</v>
      </c>
      <c r="AE242" s="159">
        <f t="shared" si="241"/>
        <v>2.432390275081564E-5</v>
      </c>
      <c r="AF242" s="159">
        <f t="shared" si="241"/>
        <v>7.2327836810741493E-4</v>
      </c>
      <c r="AG242" s="159">
        <f t="shared" si="241"/>
        <v>1.8213431303967846E-4</v>
      </c>
      <c r="AH242" s="159">
        <f t="shared" si="241"/>
        <v>1.2055656774510599E-4</v>
      </c>
      <c r="AI242" s="159">
        <f t="shared" ref="AI242:BN242" si="242">AI75/AI$84</f>
        <v>5.2697292758356202E-6</v>
      </c>
      <c r="AJ242" s="159">
        <f t="shared" si="242"/>
        <v>7.2037190722784328E-5</v>
      </c>
      <c r="AK242" s="159">
        <f t="shared" si="242"/>
        <v>3.8659620947568683E-5</v>
      </c>
      <c r="AL242" s="159">
        <f t="shared" si="242"/>
        <v>2.0924429799983751E-4</v>
      </c>
      <c r="AM242" s="159">
        <f t="shared" si="242"/>
        <v>2.6486891680163155E-4</v>
      </c>
      <c r="AN242" s="159">
        <f t="shared" si="242"/>
        <v>9.553154330232742E-5</v>
      </c>
      <c r="AO242" s="159">
        <f t="shared" si="242"/>
        <v>2.8387554515059597E-5</v>
      </c>
      <c r="AP242" s="159">
        <f t="shared" si="242"/>
        <v>1.365988719231104E-5</v>
      </c>
      <c r="AQ242" s="159">
        <f t="shared" si="242"/>
        <v>5.2966502169398094E-4</v>
      </c>
      <c r="AR242" s="159">
        <f t="shared" si="242"/>
        <v>4.5680322238214149E-5</v>
      </c>
      <c r="AS242" s="159">
        <f t="shared" si="242"/>
        <v>6.4507371359423245E-5</v>
      </c>
      <c r="AT242" s="159">
        <f t="shared" si="242"/>
        <v>0</v>
      </c>
      <c r="AU242" s="159">
        <f t="shared" si="242"/>
        <v>2.2782084806402185E-3</v>
      </c>
      <c r="AV242" s="159">
        <f t="shared" si="242"/>
        <v>4.1678095538570762E-4</v>
      </c>
      <c r="AW242" s="159">
        <f t="shared" si="242"/>
        <v>1.0233174797149746E-4</v>
      </c>
      <c r="AX242" s="159">
        <f t="shared" si="242"/>
        <v>8.3566099540338597E-5</v>
      </c>
      <c r="AY242" s="159">
        <f t="shared" si="242"/>
        <v>1.2342174444293596E-5</v>
      </c>
      <c r="AZ242" s="159">
        <f t="shared" si="242"/>
        <v>1.6568478266260178E-3</v>
      </c>
      <c r="BA242" s="159">
        <f t="shared" si="242"/>
        <v>1.1865525304784816E-4</v>
      </c>
      <c r="BB242" s="159">
        <f t="shared" si="242"/>
        <v>6.1634306599733544E-5</v>
      </c>
      <c r="BC242" s="159">
        <f t="shared" si="242"/>
        <v>1.5999096865790354E-3</v>
      </c>
      <c r="BD242" s="159">
        <f t="shared" si="242"/>
        <v>2.0508215747948541E-4</v>
      </c>
      <c r="BE242" s="159">
        <f t="shared" si="242"/>
        <v>4.5429200483929149E-5</v>
      </c>
      <c r="BF242" s="159">
        <f t="shared" si="242"/>
        <v>4.8962676186960784E-5</v>
      </c>
      <c r="BG242" s="159">
        <f t="shared" si="242"/>
        <v>7.2009153012174784E-5</v>
      </c>
      <c r="BH242" s="159">
        <f t="shared" si="242"/>
        <v>2.4099655985552581E-5</v>
      </c>
      <c r="BI242" s="159">
        <f t="shared" si="242"/>
        <v>0</v>
      </c>
      <c r="BJ242" s="159">
        <f t="shared" si="242"/>
        <v>7.0719122343072818E-5</v>
      </c>
      <c r="BK242" s="159">
        <f t="shared" si="242"/>
        <v>8.5536281380151224E-5</v>
      </c>
      <c r="BL242" s="159">
        <f t="shared" si="242"/>
        <v>9.7631359538281431E-5</v>
      </c>
      <c r="BM242" s="159">
        <f t="shared" si="242"/>
        <v>4.3401693602777711E-5</v>
      </c>
      <c r="BN242" s="159">
        <f t="shared" si="242"/>
        <v>7.8452729403757703E-5</v>
      </c>
      <c r="BO242" s="159">
        <f t="shared" ref="BO242:CA242" si="243">BO75/BO$84</f>
        <v>2.9138524016256031E-5</v>
      </c>
      <c r="BP242" s="159">
        <f t="shared" si="243"/>
        <v>3.710164269921684E-5</v>
      </c>
      <c r="BQ242" s="159">
        <f t="shared" si="243"/>
        <v>1.421912066628898E-4</v>
      </c>
      <c r="BR242" s="159">
        <f t="shared" si="243"/>
        <v>1.7734531474008851E-4</v>
      </c>
      <c r="BS242" s="159">
        <f t="shared" si="243"/>
        <v>0</v>
      </c>
      <c r="BT242" s="159">
        <f t="shared" si="243"/>
        <v>7.5175892312140583E-5</v>
      </c>
      <c r="BU242" s="159">
        <f t="shared" si="243"/>
        <v>5.881838316667301E-5</v>
      </c>
      <c r="BV242" s="159">
        <f t="shared" si="243"/>
        <v>1.4107811898528555E-5</v>
      </c>
      <c r="BW242" s="159">
        <f t="shared" si="243"/>
        <v>4.3987009929440731E-5</v>
      </c>
      <c r="BX242" s="159">
        <f t="shared" si="243"/>
        <v>1.4918677751821202E-4</v>
      </c>
      <c r="BY242" s="159">
        <f t="shared" si="243"/>
        <v>4.5328739624734512E-6</v>
      </c>
      <c r="BZ242" s="159">
        <f t="shared" si="243"/>
        <v>5.7270536704019469E-5</v>
      </c>
      <c r="CA242" s="118">
        <f t="shared" si="243"/>
        <v>0</v>
      </c>
      <c r="CB242" s="18"/>
      <c r="CC242" s="271"/>
      <c r="CD242" s="147">
        <f t="shared" si="204"/>
        <v>4.4857581224944307E-3</v>
      </c>
      <c r="CE242" s="148">
        <f t="shared" si="204"/>
        <v>0</v>
      </c>
      <c r="CF242" s="148">
        <f t="shared" si="204"/>
        <v>0</v>
      </c>
      <c r="CG242" s="119">
        <f t="shared" si="204"/>
        <v>0</v>
      </c>
      <c r="CH242" s="18"/>
      <c r="CI242" s="18"/>
      <c r="CJ242" s="18"/>
    </row>
    <row r="243" spans="1:88" ht="13.95" customHeight="1" x14ac:dyDescent="0.25">
      <c r="A243" s="8" t="s">
        <v>74</v>
      </c>
      <c r="B243" s="256"/>
      <c r="C243" s="22">
        <f t="shared" ref="C243:AH243" si="244">C76/C$84</f>
        <v>1.1190818789043569E-4</v>
      </c>
      <c r="D243" s="159">
        <f t="shared" si="244"/>
        <v>2.7499029714330694E-4</v>
      </c>
      <c r="E243" s="159">
        <f t="shared" si="244"/>
        <v>1.0035269410491783E-4</v>
      </c>
      <c r="F243" s="159">
        <f t="shared" si="244"/>
        <v>2.9308507901542799E-4</v>
      </c>
      <c r="G243" s="159">
        <f t="shared" si="244"/>
        <v>2.2850235735330611E-3</v>
      </c>
      <c r="H243" s="159">
        <f t="shared" si="244"/>
        <v>8.612210519034284E-4</v>
      </c>
      <c r="I243" s="159">
        <f t="shared" si="244"/>
        <v>1.8204613136089465E-4</v>
      </c>
      <c r="J243" s="159">
        <f t="shared" si="244"/>
        <v>2.4290419331573056E-3</v>
      </c>
      <c r="K243" s="159">
        <f t="shared" si="244"/>
        <v>1.7508118690884118E-3</v>
      </c>
      <c r="L243" s="159">
        <f t="shared" si="244"/>
        <v>2.3062016959184812E-3</v>
      </c>
      <c r="M243" s="159">
        <f t="shared" si="244"/>
        <v>2.3768463658015208E-3</v>
      </c>
      <c r="N243" s="159">
        <f t="shared" si="244"/>
        <v>6.673107609284799E-4</v>
      </c>
      <c r="O243" s="159">
        <f t="shared" si="244"/>
        <v>5.1637547293029932E-4</v>
      </c>
      <c r="P243" s="159">
        <f t="shared" si="244"/>
        <v>2.0300671379291433E-3</v>
      </c>
      <c r="Q243" s="159">
        <f t="shared" si="244"/>
        <v>4.6713743995333542E-3</v>
      </c>
      <c r="R243" s="159">
        <f t="shared" si="244"/>
        <v>7.7961138730227601E-4</v>
      </c>
      <c r="S243" s="159">
        <f t="shared" si="244"/>
        <v>4.6128800585119368E-4</v>
      </c>
      <c r="T243" s="159">
        <f t="shared" si="244"/>
        <v>2.306094061480142E-3</v>
      </c>
      <c r="U243" s="159">
        <f t="shared" si="244"/>
        <v>2.5664017569431408E-3</v>
      </c>
      <c r="V243" s="159">
        <f t="shared" si="244"/>
        <v>9.2773701748011169E-5</v>
      </c>
      <c r="W243" s="159">
        <f t="shared" si="244"/>
        <v>4.920586978427922E-4</v>
      </c>
      <c r="X243" s="159">
        <f t="shared" si="244"/>
        <v>1.8961388994868895E-4</v>
      </c>
      <c r="Y243" s="159">
        <f t="shared" si="244"/>
        <v>1.4623512571831218E-3</v>
      </c>
      <c r="Z243" s="159">
        <f t="shared" si="244"/>
        <v>2.1651163134743302E-3</v>
      </c>
      <c r="AA243" s="159">
        <f t="shared" si="244"/>
        <v>3.577183588641318E-4</v>
      </c>
      <c r="AB243" s="159">
        <f t="shared" si="244"/>
        <v>4.7007795438292578E-4</v>
      </c>
      <c r="AC243" s="159">
        <f t="shared" si="244"/>
        <v>2.4645983567564986E-3</v>
      </c>
      <c r="AD243" s="159">
        <f t="shared" si="244"/>
        <v>6.479470572716816E-4</v>
      </c>
      <c r="AE243" s="159">
        <f t="shared" si="244"/>
        <v>1.1180938108689606E-3</v>
      </c>
      <c r="AF243" s="159">
        <f t="shared" si="244"/>
        <v>3.0456765403929961E-4</v>
      </c>
      <c r="AG243" s="159">
        <f t="shared" si="244"/>
        <v>5.4322048472452492E-4</v>
      </c>
      <c r="AH243" s="159">
        <f t="shared" si="244"/>
        <v>2.9848990613212602E-3</v>
      </c>
      <c r="AI243" s="159">
        <f t="shared" ref="AI243:BN243" si="245">AI76/AI$84</f>
        <v>2.6557618402185375E-4</v>
      </c>
      <c r="AJ243" s="159">
        <f t="shared" si="245"/>
        <v>3.1827756143654727E-4</v>
      </c>
      <c r="AK243" s="159">
        <f t="shared" si="245"/>
        <v>9.047229062127709E-4</v>
      </c>
      <c r="AL243" s="159">
        <f t="shared" si="245"/>
        <v>9.8943037169104721E-3</v>
      </c>
      <c r="AM243" s="159">
        <f t="shared" si="245"/>
        <v>6.9739599047621689E-3</v>
      </c>
      <c r="AN243" s="159">
        <f t="shared" si="245"/>
        <v>7.3646761165410105E-4</v>
      </c>
      <c r="AO243" s="159">
        <f t="shared" si="245"/>
        <v>4.6182169224499641E-4</v>
      </c>
      <c r="AP243" s="159">
        <f t="shared" si="245"/>
        <v>4.6024651349658367E-4</v>
      </c>
      <c r="AQ243" s="159">
        <f t="shared" si="245"/>
        <v>1.490238338647891E-3</v>
      </c>
      <c r="AR243" s="159">
        <f t="shared" si="245"/>
        <v>4.0625076842345928E-4</v>
      </c>
      <c r="AS243" s="159">
        <f t="shared" si="245"/>
        <v>1.4270515606491113E-4</v>
      </c>
      <c r="AT243" s="159">
        <f t="shared" si="245"/>
        <v>1.7747766437045183E-3</v>
      </c>
      <c r="AU243" s="159">
        <f t="shared" si="245"/>
        <v>2.9909595834525963E-4</v>
      </c>
      <c r="AV243" s="159">
        <f t="shared" si="245"/>
        <v>9.528569034941663E-3</v>
      </c>
      <c r="AW243" s="159">
        <f t="shared" si="245"/>
        <v>8.2225306511103536E-3</v>
      </c>
      <c r="AX243" s="159">
        <f t="shared" si="245"/>
        <v>6.6891168795863241E-3</v>
      </c>
      <c r="AY243" s="159">
        <f t="shared" si="245"/>
        <v>6.4060162357027829E-4</v>
      </c>
      <c r="AZ243" s="159">
        <f t="shared" si="245"/>
        <v>1.2731695807412602E-3</v>
      </c>
      <c r="BA243" s="159">
        <f t="shared" si="245"/>
        <v>8.2169631913922147E-4</v>
      </c>
      <c r="BB243" s="159">
        <f t="shared" si="245"/>
        <v>2.4105322400729554E-4</v>
      </c>
      <c r="BC243" s="159">
        <f t="shared" si="245"/>
        <v>1.9004548135677448E-3</v>
      </c>
      <c r="BD243" s="159">
        <f t="shared" si="245"/>
        <v>8.6191809016559085E-3</v>
      </c>
      <c r="BE243" s="159">
        <f t="shared" si="245"/>
        <v>4.7102749734560665E-4</v>
      </c>
      <c r="BF243" s="159">
        <f t="shared" si="245"/>
        <v>5.1133138864813772E-4</v>
      </c>
      <c r="BG243" s="159">
        <f t="shared" si="245"/>
        <v>1.3618983680470988E-4</v>
      </c>
      <c r="BH243" s="159">
        <f t="shared" si="245"/>
        <v>8.4755884732973772E-4</v>
      </c>
      <c r="BI243" s="159">
        <f t="shared" si="245"/>
        <v>0</v>
      </c>
      <c r="BJ243" s="159">
        <f t="shared" si="245"/>
        <v>3.2390232354183425E-3</v>
      </c>
      <c r="BK243" s="159">
        <f t="shared" si="245"/>
        <v>7.1407242901266248E-4</v>
      </c>
      <c r="BL243" s="159">
        <f t="shared" si="245"/>
        <v>3.5682965919743565E-4</v>
      </c>
      <c r="BM243" s="159">
        <f t="shared" si="245"/>
        <v>9.5566990566116285E-4</v>
      </c>
      <c r="BN243" s="159">
        <f t="shared" si="245"/>
        <v>7.9343357625024453E-4</v>
      </c>
      <c r="BO243" s="159">
        <f t="shared" ref="BO243:CA243" si="246">BO76/BO$84</f>
        <v>1.9464323275958367E-4</v>
      </c>
      <c r="BP243" s="159">
        <f t="shared" si="246"/>
        <v>1.7935102610862704E-4</v>
      </c>
      <c r="BQ243" s="159">
        <f t="shared" si="246"/>
        <v>3.7025265518575765E-4</v>
      </c>
      <c r="BR243" s="159">
        <f t="shared" si="246"/>
        <v>4.4430806418075509E-4</v>
      </c>
      <c r="BS243" s="159">
        <f t="shared" si="246"/>
        <v>3.1528461867416944E-4</v>
      </c>
      <c r="BT243" s="159">
        <f t="shared" si="246"/>
        <v>2.7568165442036999E-3</v>
      </c>
      <c r="BU243" s="159">
        <f t="shared" si="246"/>
        <v>3.313106070304279E-3</v>
      </c>
      <c r="BV243" s="159">
        <f t="shared" si="246"/>
        <v>8.9181525215698365E-5</v>
      </c>
      <c r="BW243" s="159">
        <f t="shared" si="246"/>
        <v>9.1882710119450947E-4</v>
      </c>
      <c r="BX243" s="159">
        <f t="shared" si="246"/>
        <v>2.0179366191102905E-3</v>
      </c>
      <c r="BY243" s="159">
        <f t="shared" si="246"/>
        <v>3.4587908997130615E-2</v>
      </c>
      <c r="BZ243" s="159">
        <f t="shared" si="246"/>
        <v>3.5079746277499255E-3</v>
      </c>
      <c r="CA243" s="118">
        <f t="shared" si="246"/>
        <v>0</v>
      </c>
      <c r="CB243" s="18"/>
      <c r="CC243" s="271"/>
      <c r="CD243" s="147">
        <f t="shared" si="204"/>
        <v>6.5558742381182592E-3</v>
      </c>
      <c r="CE243" s="148">
        <f t="shared" si="204"/>
        <v>0</v>
      </c>
      <c r="CF243" s="148">
        <f t="shared" si="204"/>
        <v>-5.1446327819531661E-5</v>
      </c>
      <c r="CG243" s="119">
        <f t="shared" si="204"/>
        <v>2.376249389248364E-4</v>
      </c>
      <c r="CH243" s="18"/>
      <c r="CI243" s="18"/>
      <c r="CJ243" s="18"/>
    </row>
    <row r="244" spans="1:88" ht="14.4" customHeight="1" x14ac:dyDescent="0.25">
      <c r="A244" s="8" t="s">
        <v>102</v>
      </c>
      <c r="B244" s="256"/>
      <c r="C244" s="22">
        <f>C77/C$84</f>
        <v>1.0397653833614093E-4</v>
      </c>
      <c r="D244" s="159">
        <f>D77/D$84</f>
        <v>5.69877206623365E-4</v>
      </c>
      <c r="E244" s="159">
        <f t="shared" ref="E244:BP244" si="247">E77/E$84</f>
        <v>5.6744887030235353E-4</v>
      </c>
      <c r="F244" s="159">
        <f t="shared" si="247"/>
        <v>3.1764029856424913E-3</v>
      </c>
      <c r="G244" s="159">
        <f t="shared" si="247"/>
        <v>1.3217107309149738E-3</v>
      </c>
      <c r="H244" s="159">
        <f t="shared" si="247"/>
        <v>9.7185664467527898E-4</v>
      </c>
      <c r="I244" s="159">
        <f t="shared" si="247"/>
        <v>1.0685908259095386E-3</v>
      </c>
      <c r="J244" s="159">
        <f t="shared" si="247"/>
        <v>1.9428947680135492E-3</v>
      </c>
      <c r="K244" s="159">
        <f t="shared" si="247"/>
        <v>1.9351701114564707E-3</v>
      </c>
      <c r="L244" s="159">
        <f t="shared" si="247"/>
        <v>1.5983112340305495E-3</v>
      </c>
      <c r="M244" s="159">
        <f t="shared" si="247"/>
        <v>1.1915120020895861E-3</v>
      </c>
      <c r="N244" s="159">
        <f t="shared" si="247"/>
        <v>9.1549435124516337E-4</v>
      </c>
      <c r="O244" s="159">
        <f t="shared" si="247"/>
        <v>8.6190967397444299E-4</v>
      </c>
      <c r="P244" s="159">
        <f t="shared" si="247"/>
        <v>3.9782123486486803E-3</v>
      </c>
      <c r="Q244" s="159">
        <f t="shared" si="247"/>
        <v>7.8214741216881066E-4</v>
      </c>
      <c r="R244" s="159">
        <f t="shared" si="247"/>
        <v>5.9414825831220134E-4</v>
      </c>
      <c r="S244" s="159">
        <f t="shared" si="247"/>
        <v>7.6512010279778785E-4</v>
      </c>
      <c r="T244" s="159">
        <f t="shared" si="247"/>
        <v>7.0933360011169572E-4</v>
      </c>
      <c r="U244" s="159">
        <f t="shared" si="247"/>
        <v>1.4015435987899452E-3</v>
      </c>
      <c r="V244" s="159">
        <f t="shared" si="247"/>
        <v>9.2298558657461459E-4</v>
      </c>
      <c r="W244" s="159">
        <f t="shared" si="247"/>
        <v>1.6450886844781242E-3</v>
      </c>
      <c r="X244" s="159">
        <f t="shared" si="247"/>
        <v>1.0761447296099398E-3</v>
      </c>
      <c r="Y244" s="159">
        <f t="shared" si="247"/>
        <v>8.4609797727510532E-4</v>
      </c>
      <c r="Z244" s="159">
        <f t="shared" si="247"/>
        <v>1.0101982165721119E-3</v>
      </c>
      <c r="AA244" s="159">
        <f t="shared" si="247"/>
        <v>4.4082818251200837E-4</v>
      </c>
      <c r="AB244" s="159">
        <f t="shared" si="247"/>
        <v>1.0132650677089643E-3</v>
      </c>
      <c r="AC244" s="159">
        <f t="shared" si="247"/>
        <v>8.6098656493638207E-4</v>
      </c>
      <c r="AD244" s="159">
        <f t="shared" si="247"/>
        <v>8.2892247192223041E-4</v>
      </c>
      <c r="AE244" s="159">
        <f t="shared" si="247"/>
        <v>1.006404198327391E-3</v>
      </c>
      <c r="AF244" s="159">
        <f t="shared" si="247"/>
        <v>1.9045118838607308E-4</v>
      </c>
      <c r="AG244" s="159">
        <f t="shared" si="247"/>
        <v>8.7395093756942495E-4</v>
      </c>
      <c r="AH244" s="159">
        <f t="shared" si="247"/>
        <v>2.3796068057476104E-3</v>
      </c>
      <c r="AI244" s="159">
        <f t="shared" si="247"/>
        <v>1.5571141436081183E-3</v>
      </c>
      <c r="AJ244" s="159">
        <f t="shared" si="247"/>
        <v>4.2650980999900216E-4</v>
      </c>
      <c r="AK244" s="159">
        <f t="shared" si="247"/>
        <v>6.4479133832146755E-4</v>
      </c>
      <c r="AL244" s="159">
        <f t="shared" si="247"/>
        <v>1.1256077861208935E-3</v>
      </c>
      <c r="AM244" s="159">
        <f t="shared" si="247"/>
        <v>2.588064080508444E-4</v>
      </c>
      <c r="AN244" s="159">
        <f t="shared" si="247"/>
        <v>3.8678033942732217E-4</v>
      </c>
      <c r="AO244" s="159">
        <f t="shared" si="247"/>
        <v>1.2174259956458445E-4</v>
      </c>
      <c r="AP244" s="159">
        <f t="shared" si="247"/>
        <v>4.7514820861546843E-4</v>
      </c>
      <c r="AQ244" s="159">
        <f t="shared" si="247"/>
        <v>7.0449559985392759E-3</v>
      </c>
      <c r="AR244" s="159">
        <f t="shared" si="247"/>
        <v>5.3375674446905141E-3</v>
      </c>
      <c r="AS244" s="159">
        <f t="shared" si="247"/>
        <v>1.4600787160093914E-3</v>
      </c>
      <c r="AT244" s="159">
        <f t="shared" si="247"/>
        <v>3.8196312667801375E-3</v>
      </c>
      <c r="AU244" s="159">
        <f t="shared" si="247"/>
        <v>4.4649248716865028E-3</v>
      </c>
      <c r="AV244" s="159">
        <f t="shared" si="247"/>
        <v>8.4066087622322464E-4</v>
      </c>
      <c r="AW244" s="159">
        <f t="shared" si="247"/>
        <v>8.2274177285631312E-4</v>
      </c>
      <c r="AX244" s="159">
        <f t="shared" si="247"/>
        <v>1.1064611049103937E-3</v>
      </c>
      <c r="AY244" s="159">
        <f t="shared" si="247"/>
        <v>1.9035665584750841E-4</v>
      </c>
      <c r="AZ244" s="159">
        <f t="shared" si="247"/>
        <v>0</v>
      </c>
      <c r="BA244" s="159">
        <f t="shared" si="247"/>
        <v>2.3182723278615995E-3</v>
      </c>
      <c r="BB244" s="159">
        <f t="shared" si="247"/>
        <v>5.0371009379983421E-4</v>
      </c>
      <c r="BC244" s="159">
        <f t="shared" si="247"/>
        <v>6.2288322299006551E-4</v>
      </c>
      <c r="BD244" s="159">
        <f t="shared" si="247"/>
        <v>1.0063558554114522E-3</v>
      </c>
      <c r="BE244" s="159">
        <f t="shared" si="247"/>
        <v>8.1859693596868363E-4</v>
      </c>
      <c r="BF244" s="159">
        <f t="shared" si="247"/>
        <v>8.0515372429181833E-4</v>
      </c>
      <c r="BG244" s="159">
        <f t="shared" si="247"/>
        <v>5.0151130938316704E-4</v>
      </c>
      <c r="BH244" s="159">
        <f t="shared" si="247"/>
        <v>5.4729016059082587E-4</v>
      </c>
      <c r="BI244" s="159">
        <f t="shared" si="247"/>
        <v>5.9673807976586054E-3</v>
      </c>
      <c r="BJ244" s="159">
        <f t="shared" si="247"/>
        <v>6.4373569139964E-4</v>
      </c>
      <c r="BK244" s="159">
        <f t="shared" si="247"/>
        <v>3.8709055337308437E-4</v>
      </c>
      <c r="BL244" s="159">
        <f t="shared" si="247"/>
        <v>8.0532911704099216E-4</v>
      </c>
      <c r="BM244" s="159">
        <f t="shared" si="247"/>
        <v>6.8787000724402367E-4</v>
      </c>
      <c r="BN244" s="159">
        <f t="shared" si="247"/>
        <v>9.672222482956861E-4</v>
      </c>
      <c r="BO244" s="159">
        <f t="shared" si="247"/>
        <v>6.2239465764921554E-4</v>
      </c>
      <c r="BP244" s="159">
        <f t="shared" si="247"/>
        <v>1.1611053776590978E-4</v>
      </c>
      <c r="BQ244" s="159">
        <f t="shared" ref="BQ244:CA244" si="248">BQ77/BQ$84</f>
        <v>4.7017108913902648E-4</v>
      </c>
      <c r="BR244" s="159">
        <f t="shared" si="248"/>
        <v>5.1415893830389818E-3</v>
      </c>
      <c r="BS244" s="159">
        <f t="shared" si="248"/>
        <v>1.1602228473068087E-3</v>
      </c>
      <c r="BT244" s="159">
        <f t="shared" si="248"/>
        <v>4.4521751901197395E-3</v>
      </c>
      <c r="BU244" s="159">
        <f t="shared" si="248"/>
        <v>1.1704363978040477E-3</v>
      </c>
      <c r="BV244" s="159">
        <f t="shared" si="248"/>
        <v>1.5921673428339369E-4</v>
      </c>
      <c r="BW244" s="159">
        <f t="shared" si="248"/>
        <v>1.6300263990433168E-3</v>
      </c>
      <c r="BX244" s="159">
        <f t="shared" si="248"/>
        <v>3.5236103529853946E-5</v>
      </c>
      <c r="BY244" s="159">
        <f t="shared" si="248"/>
        <v>6.0450704401182826E-4</v>
      </c>
      <c r="BZ244" s="159">
        <f t="shared" si="248"/>
        <v>8.8682388373217229E-3</v>
      </c>
      <c r="CA244" s="118">
        <f t="shared" si="248"/>
        <v>0</v>
      </c>
      <c r="CB244" s="18"/>
      <c r="CC244" s="271"/>
      <c r="CD244" s="147">
        <f>CD77/(CD$79+CD$80)</f>
        <v>1.5278128397494593E-2</v>
      </c>
      <c r="CE244" s="148">
        <f t="shared" ref="CE244:CG244" si="249">CE77/(CE$79+CE$80)</f>
        <v>3.5161867369262897E-4</v>
      </c>
      <c r="CF244" s="148">
        <f t="shared" si="249"/>
        <v>1.349025687555081E-5</v>
      </c>
      <c r="CG244" s="119">
        <f t="shared" si="249"/>
        <v>1.1478190294065703E-8</v>
      </c>
      <c r="CH244" s="18"/>
      <c r="CI244" s="18"/>
      <c r="CJ244" s="18"/>
    </row>
    <row r="245" spans="1:88" ht="15" customHeight="1" thickBot="1" x14ac:dyDescent="0.3">
      <c r="A245" s="11" t="s">
        <v>76</v>
      </c>
      <c r="B245" s="257"/>
      <c r="C245" s="120">
        <f>C78/C$84</f>
        <v>0</v>
      </c>
      <c r="D245" s="160">
        <f>D78/D$84</f>
        <v>0</v>
      </c>
      <c r="E245" s="160">
        <f t="shared" ref="E245:BP245" si="250">E78/E$84</f>
        <v>0</v>
      </c>
      <c r="F245" s="160">
        <f t="shared" si="250"/>
        <v>0</v>
      </c>
      <c r="G245" s="160">
        <f t="shared" si="250"/>
        <v>0</v>
      </c>
      <c r="H245" s="160">
        <f t="shared" si="250"/>
        <v>0</v>
      </c>
      <c r="I245" s="160">
        <f t="shared" si="250"/>
        <v>0</v>
      </c>
      <c r="J245" s="160">
        <f t="shared" si="250"/>
        <v>0</v>
      </c>
      <c r="K245" s="160">
        <f t="shared" si="250"/>
        <v>0</v>
      </c>
      <c r="L245" s="160">
        <f t="shared" si="250"/>
        <v>0</v>
      </c>
      <c r="M245" s="160">
        <f t="shared" si="250"/>
        <v>0</v>
      </c>
      <c r="N245" s="160">
        <f t="shared" si="250"/>
        <v>0</v>
      </c>
      <c r="O245" s="160">
        <f t="shared" si="250"/>
        <v>0</v>
      </c>
      <c r="P245" s="160">
        <f t="shared" si="250"/>
        <v>0</v>
      </c>
      <c r="Q245" s="160">
        <f t="shared" si="250"/>
        <v>0</v>
      </c>
      <c r="R245" s="160">
        <f t="shared" si="250"/>
        <v>0</v>
      </c>
      <c r="S245" s="160">
        <f t="shared" si="250"/>
        <v>0</v>
      </c>
      <c r="T245" s="160">
        <f t="shared" si="250"/>
        <v>0</v>
      </c>
      <c r="U245" s="160">
        <f t="shared" si="250"/>
        <v>0</v>
      </c>
      <c r="V245" s="160">
        <f t="shared" si="250"/>
        <v>0</v>
      </c>
      <c r="W245" s="160">
        <f t="shared" si="250"/>
        <v>0</v>
      </c>
      <c r="X245" s="160">
        <f t="shared" si="250"/>
        <v>0</v>
      </c>
      <c r="Y245" s="160">
        <f t="shared" si="250"/>
        <v>0</v>
      </c>
      <c r="Z245" s="160">
        <f t="shared" si="250"/>
        <v>0</v>
      </c>
      <c r="AA245" s="160">
        <f t="shared" si="250"/>
        <v>0</v>
      </c>
      <c r="AB245" s="160">
        <f t="shared" si="250"/>
        <v>0</v>
      </c>
      <c r="AC245" s="160">
        <f t="shared" si="250"/>
        <v>0</v>
      </c>
      <c r="AD245" s="160">
        <f t="shared" si="250"/>
        <v>0</v>
      </c>
      <c r="AE245" s="160">
        <f t="shared" si="250"/>
        <v>0</v>
      </c>
      <c r="AF245" s="160">
        <f t="shared" si="250"/>
        <v>0</v>
      </c>
      <c r="AG245" s="160">
        <f t="shared" si="250"/>
        <v>0</v>
      </c>
      <c r="AH245" s="160">
        <f t="shared" si="250"/>
        <v>0</v>
      </c>
      <c r="AI245" s="160">
        <f t="shared" si="250"/>
        <v>0</v>
      </c>
      <c r="AJ245" s="160">
        <f t="shared" si="250"/>
        <v>0</v>
      </c>
      <c r="AK245" s="160">
        <f t="shared" si="250"/>
        <v>0</v>
      </c>
      <c r="AL245" s="160">
        <f t="shared" si="250"/>
        <v>0</v>
      </c>
      <c r="AM245" s="160">
        <f t="shared" si="250"/>
        <v>0</v>
      </c>
      <c r="AN245" s="160">
        <f t="shared" si="250"/>
        <v>0</v>
      </c>
      <c r="AO245" s="160">
        <f t="shared" si="250"/>
        <v>0</v>
      </c>
      <c r="AP245" s="160">
        <f t="shared" si="250"/>
        <v>0</v>
      </c>
      <c r="AQ245" s="160">
        <f t="shared" si="250"/>
        <v>0</v>
      </c>
      <c r="AR245" s="160">
        <f t="shared" si="250"/>
        <v>0</v>
      </c>
      <c r="AS245" s="160">
        <f t="shared" si="250"/>
        <v>0</v>
      </c>
      <c r="AT245" s="160">
        <f t="shared" si="250"/>
        <v>0</v>
      </c>
      <c r="AU245" s="160">
        <f t="shared" si="250"/>
        <v>0</v>
      </c>
      <c r="AV245" s="160">
        <f t="shared" si="250"/>
        <v>0</v>
      </c>
      <c r="AW245" s="160">
        <f t="shared" si="250"/>
        <v>0</v>
      </c>
      <c r="AX245" s="160">
        <f t="shared" si="250"/>
        <v>0</v>
      </c>
      <c r="AY245" s="160">
        <f t="shared" si="250"/>
        <v>0</v>
      </c>
      <c r="AZ245" s="160">
        <f t="shared" si="250"/>
        <v>0</v>
      </c>
      <c r="BA245" s="160">
        <f t="shared" si="250"/>
        <v>0</v>
      </c>
      <c r="BB245" s="160">
        <f t="shared" si="250"/>
        <v>0</v>
      </c>
      <c r="BC245" s="160">
        <f t="shared" si="250"/>
        <v>0</v>
      </c>
      <c r="BD245" s="160">
        <f t="shared" si="250"/>
        <v>0</v>
      </c>
      <c r="BE245" s="160">
        <f t="shared" si="250"/>
        <v>0</v>
      </c>
      <c r="BF245" s="160">
        <f t="shared" si="250"/>
        <v>0</v>
      </c>
      <c r="BG245" s="160">
        <f t="shared" si="250"/>
        <v>0</v>
      </c>
      <c r="BH245" s="160">
        <f t="shared" si="250"/>
        <v>0</v>
      </c>
      <c r="BI245" s="160">
        <f t="shared" si="250"/>
        <v>0</v>
      </c>
      <c r="BJ245" s="160">
        <f t="shared" si="250"/>
        <v>0</v>
      </c>
      <c r="BK245" s="160">
        <f t="shared" si="250"/>
        <v>0</v>
      </c>
      <c r="BL245" s="160">
        <f t="shared" si="250"/>
        <v>0</v>
      </c>
      <c r="BM245" s="160">
        <f t="shared" si="250"/>
        <v>0</v>
      </c>
      <c r="BN245" s="160">
        <f t="shared" si="250"/>
        <v>0</v>
      </c>
      <c r="BO245" s="160">
        <f t="shared" si="250"/>
        <v>0</v>
      </c>
      <c r="BP245" s="160">
        <f t="shared" si="250"/>
        <v>0</v>
      </c>
      <c r="BQ245" s="160">
        <f t="shared" ref="BQ245:CA245" si="251">BQ78/BQ$84</f>
        <v>0</v>
      </c>
      <c r="BR245" s="160">
        <f t="shared" si="251"/>
        <v>0</v>
      </c>
      <c r="BS245" s="160">
        <f t="shared" si="251"/>
        <v>0</v>
      </c>
      <c r="BT245" s="160">
        <f t="shared" si="251"/>
        <v>0</v>
      </c>
      <c r="BU245" s="160">
        <f t="shared" si="251"/>
        <v>0</v>
      </c>
      <c r="BV245" s="160">
        <f t="shared" si="251"/>
        <v>0</v>
      </c>
      <c r="BW245" s="160">
        <f t="shared" si="251"/>
        <v>0</v>
      </c>
      <c r="BX245" s="160">
        <f t="shared" si="251"/>
        <v>0</v>
      </c>
      <c r="BY245" s="160">
        <f t="shared" si="251"/>
        <v>0</v>
      </c>
      <c r="BZ245" s="160">
        <f t="shared" si="251"/>
        <v>0</v>
      </c>
      <c r="CA245" s="161">
        <f t="shared" si="251"/>
        <v>0</v>
      </c>
      <c r="CB245" s="18"/>
      <c r="CC245" s="272"/>
      <c r="CD245" s="149">
        <f>CD78/(CD$79+CD$80)</f>
        <v>2.3739137398195833E-3</v>
      </c>
      <c r="CE245" s="121">
        <f t="shared" ref="CE245:CG245" si="252">CE78/(CE$79+CE$80)</f>
        <v>0</v>
      </c>
      <c r="CF245" s="121">
        <f t="shared" si="252"/>
        <v>0</v>
      </c>
      <c r="CG245" s="150">
        <f t="shared" si="252"/>
        <v>0</v>
      </c>
      <c r="CH245" s="18"/>
      <c r="CI245" s="18"/>
      <c r="CJ245" s="18"/>
    </row>
    <row r="246" spans="1:88" ht="18.600000000000001" thickBot="1" x14ac:dyDescent="0.3">
      <c r="A246" s="15"/>
      <c r="B246" s="19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  <c r="BL246" s="18"/>
      <c r="BM246" s="18"/>
      <c r="BN246" s="18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22"/>
      <c r="CE246" s="122"/>
      <c r="CF246" s="122"/>
      <c r="CG246" s="122"/>
      <c r="CH246" s="18"/>
      <c r="CI246" s="18"/>
      <c r="CJ246" s="18"/>
    </row>
    <row r="247" spans="1:88" ht="13.95" customHeight="1" x14ac:dyDescent="0.25">
      <c r="A247" s="30" t="s">
        <v>0</v>
      </c>
      <c r="B247" s="252" t="s">
        <v>105</v>
      </c>
      <c r="C247" s="123">
        <f t="shared" ref="C247:AH247" si="253">C88/C$84</f>
        <v>9.532297259018262E-3</v>
      </c>
      <c r="D247" s="124">
        <f t="shared" si="253"/>
        <v>3.7273566342647293E-5</v>
      </c>
      <c r="E247" s="124">
        <f t="shared" si="253"/>
        <v>3.3061651221474747E-3</v>
      </c>
      <c r="F247" s="124">
        <f t="shared" si="253"/>
        <v>0</v>
      </c>
      <c r="G247" s="124">
        <f t="shared" si="253"/>
        <v>2.2484523604415417E-5</v>
      </c>
      <c r="H247" s="124">
        <f t="shared" si="253"/>
        <v>2.9414788626191107E-2</v>
      </c>
      <c r="I247" s="124">
        <f t="shared" si="253"/>
        <v>8.0051292359643658E-3</v>
      </c>
      <c r="J247" s="124">
        <f t="shared" si="253"/>
        <v>6.9387404965065277E-2</v>
      </c>
      <c r="K247" s="124">
        <f t="shared" si="253"/>
        <v>1.0837594751856509E-3</v>
      </c>
      <c r="L247" s="124">
        <f t="shared" si="253"/>
        <v>5.7985901819808611E-4</v>
      </c>
      <c r="M247" s="124">
        <f t="shared" si="253"/>
        <v>1.0091751443492079E-2</v>
      </c>
      <c r="N247" s="124">
        <f t="shared" si="253"/>
        <v>2.8006374355500038E-6</v>
      </c>
      <c r="O247" s="124">
        <f t="shared" si="253"/>
        <v>2.2255990670069775E-4</v>
      </c>
      <c r="P247" s="124">
        <f t="shared" si="253"/>
        <v>1.0355886609010442E-4</v>
      </c>
      <c r="Q247" s="124">
        <f t="shared" si="253"/>
        <v>0</v>
      </c>
      <c r="R247" s="124">
        <f t="shared" si="253"/>
        <v>1.1666881511025859E-3</v>
      </c>
      <c r="S247" s="124">
        <f t="shared" si="253"/>
        <v>3.4127604801083913E-3</v>
      </c>
      <c r="T247" s="124">
        <f t="shared" si="253"/>
        <v>8.0119236627155498E-3</v>
      </c>
      <c r="U247" s="124">
        <f t="shared" si="253"/>
        <v>5.8851892717801568E-4</v>
      </c>
      <c r="V247" s="124">
        <f t="shared" si="253"/>
        <v>0</v>
      </c>
      <c r="W247" s="124">
        <f t="shared" si="253"/>
        <v>1.5484256335917688E-5</v>
      </c>
      <c r="X247" s="124">
        <f t="shared" si="253"/>
        <v>0</v>
      </c>
      <c r="Y247" s="124">
        <f t="shared" si="253"/>
        <v>0</v>
      </c>
      <c r="Z247" s="124">
        <f t="shared" si="253"/>
        <v>2.6147222816657966E-4</v>
      </c>
      <c r="AA247" s="124">
        <f t="shared" si="253"/>
        <v>3.7430696290182642E-5</v>
      </c>
      <c r="AB247" s="124">
        <f t="shared" si="253"/>
        <v>0</v>
      </c>
      <c r="AC247" s="124">
        <f t="shared" si="253"/>
        <v>1.1793159117265528E-4</v>
      </c>
      <c r="AD247" s="124">
        <f t="shared" si="253"/>
        <v>1.2804431281699861E-4</v>
      </c>
      <c r="AE247" s="124">
        <f t="shared" si="253"/>
        <v>0</v>
      </c>
      <c r="AF247" s="124">
        <f t="shared" si="253"/>
        <v>2.7987743574229293E-3</v>
      </c>
      <c r="AG247" s="124">
        <f t="shared" si="253"/>
        <v>0</v>
      </c>
      <c r="AH247" s="124">
        <f t="shared" si="253"/>
        <v>1.8203728052404989E-4</v>
      </c>
      <c r="AI247" s="124">
        <f t="shared" ref="AI247:BN247" si="254">AI88/AI$84</f>
        <v>0</v>
      </c>
      <c r="AJ247" s="124">
        <f t="shared" si="254"/>
        <v>5.4500870340424733E-5</v>
      </c>
      <c r="AK247" s="124">
        <f t="shared" si="254"/>
        <v>0</v>
      </c>
      <c r="AL247" s="124">
        <f t="shared" si="254"/>
        <v>1.2796395306766913E-3</v>
      </c>
      <c r="AM247" s="124">
        <f t="shared" si="254"/>
        <v>2.8680892691870433E-4</v>
      </c>
      <c r="AN247" s="124">
        <f t="shared" si="254"/>
        <v>1.0765150217964486E-4</v>
      </c>
      <c r="AO247" s="124">
        <f t="shared" si="254"/>
        <v>0</v>
      </c>
      <c r="AP247" s="124">
        <f t="shared" si="254"/>
        <v>0</v>
      </c>
      <c r="AQ247" s="124">
        <f t="shared" si="254"/>
        <v>1.2722970337034356E-3</v>
      </c>
      <c r="AR247" s="124">
        <f t="shared" si="254"/>
        <v>1.1927240042670718E-3</v>
      </c>
      <c r="AS247" s="124">
        <f t="shared" si="254"/>
        <v>1.5469393611372479E-7</v>
      </c>
      <c r="AT247" s="124">
        <f t="shared" si="254"/>
        <v>0</v>
      </c>
      <c r="AU247" s="124">
        <f t="shared" si="254"/>
        <v>0</v>
      </c>
      <c r="AV247" s="124">
        <f t="shared" si="254"/>
        <v>0</v>
      </c>
      <c r="AW247" s="124">
        <f t="shared" si="254"/>
        <v>0</v>
      </c>
      <c r="AX247" s="124">
        <f t="shared" si="254"/>
        <v>0</v>
      </c>
      <c r="AY247" s="124">
        <f t="shared" si="254"/>
        <v>0</v>
      </c>
      <c r="AZ247" s="124">
        <f t="shared" si="254"/>
        <v>0</v>
      </c>
      <c r="BA247" s="124">
        <f t="shared" si="254"/>
        <v>0</v>
      </c>
      <c r="BB247" s="124">
        <f t="shared" si="254"/>
        <v>4.3442502861875862E-4</v>
      </c>
      <c r="BC247" s="124">
        <f t="shared" si="254"/>
        <v>0</v>
      </c>
      <c r="BD247" s="124">
        <f t="shared" si="254"/>
        <v>0</v>
      </c>
      <c r="BE247" s="124">
        <f t="shared" si="254"/>
        <v>0</v>
      </c>
      <c r="BF247" s="124">
        <f t="shared" si="254"/>
        <v>3.3107654578593335E-4</v>
      </c>
      <c r="BG247" s="124">
        <f t="shared" si="254"/>
        <v>0</v>
      </c>
      <c r="BH247" s="124">
        <f t="shared" si="254"/>
        <v>0</v>
      </c>
      <c r="BI247" s="124">
        <f t="shared" si="254"/>
        <v>0</v>
      </c>
      <c r="BJ247" s="124">
        <f t="shared" si="254"/>
        <v>4.3083851424605276E-4</v>
      </c>
      <c r="BK247" s="124">
        <f t="shared" si="254"/>
        <v>1.8172571780492128E-4</v>
      </c>
      <c r="BL247" s="124">
        <f t="shared" si="254"/>
        <v>0</v>
      </c>
      <c r="BM247" s="124">
        <f t="shared" si="254"/>
        <v>1.541436648098652E-4</v>
      </c>
      <c r="BN247" s="124">
        <f t="shared" si="254"/>
        <v>2.3672898121270109E-3</v>
      </c>
      <c r="BO247" s="124">
        <f t="shared" ref="BO247:CA247" si="255">BO88/BO$84</f>
        <v>7.4263190530327464E-3</v>
      </c>
      <c r="BP247" s="124">
        <f t="shared" si="255"/>
        <v>3.1389975374754542E-4</v>
      </c>
      <c r="BQ247" s="124">
        <f t="shared" si="255"/>
        <v>5.4846705860802117E-5</v>
      </c>
      <c r="BR247" s="124">
        <f t="shared" si="255"/>
        <v>2.5310938344963121E-4</v>
      </c>
      <c r="BS247" s="124">
        <f t="shared" si="255"/>
        <v>5.1036478456683546E-4</v>
      </c>
      <c r="BT247" s="124">
        <f t="shared" si="255"/>
        <v>0</v>
      </c>
      <c r="BU247" s="124">
        <f t="shared" si="255"/>
        <v>0</v>
      </c>
      <c r="BV247" s="124">
        <f t="shared" si="255"/>
        <v>0</v>
      </c>
      <c r="BW247" s="124">
        <f t="shared" si="255"/>
        <v>1.6170354168361763E-4</v>
      </c>
      <c r="BX247" s="124">
        <f t="shared" si="255"/>
        <v>2.6457986510135945E-4</v>
      </c>
      <c r="BY247" s="124">
        <f t="shared" si="255"/>
        <v>0</v>
      </c>
      <c r="BZ247" s="124">
        <f t="shared" si="255"/>
        <v>4.2596714567122809E-4</v>
      </c>
      <c r="CA247" s="125">
        <f t="shared" si="255"/>
        <v>0</v>
      </c>
      <c r="CB247" s="18"/>
      <c r="CC247" s="249" t="s">
        <v>106</v>
      </c>
      <c r="CD247" s="126">
        <f>CD88/(CD$79+CD$80)</f>
        <v>7.2664138070835148E-3</v>
      </c>
      <c r="CE247" s="126">
        <f t="shared" ref="CE247:CG247" si="256">CE88/(CE$79+CE$80)</f>
        <v>0</v>
      </c>
      <c r="CF247" s="126">
        <f t="shared" si="256"/>
        <v>1.0854590488053653E-3</v>
      </c>
      <c r="CG247" s="127">
        <f t="shared" si="256"/>
        <v>2.7100604150184417E-3</v>
      </c>
      <c r="CH247" s="18"/>
      <c r="CI247" s="18"/>
      <c r="CJ247" s="18"/>
    </row>
    <row r="248" spans="1:88" ht="13.95" customHeight="1" x14ac:dyDescent="0.25">
      <c r="A248" s="153" t="s">
        <v>1</v>
      </c>
      <c r="B248" s="253"/>
      <c r="C248" s="128">
        <f t="shared" ref="C248:AH248" si="257">C89/C$84</f>
        <v>3.3641469494380085E-5</v>
      </c>
      <c r="D248" s="156">
        <f t="shared" si="257"/>
        <v>7.0924037775065233E-3</v>
      </c>
      <c r="E248" s="156">
        <f t="shared" si="257"/>
        <v>0</v>
      </c>
      <c r="F248" s="156">
        <f t="shared" si="257"/>
        <v>6.119472098352032E-5</v>
      </c>
      <c r="G248" s="156">
        <f t="shared" si="257"/>
        <v>3.9483365245102976E-5</v>
      </c>
      <c r="H248" s="156">
        <f t="shared" si="257"/>
        <v>2.767693380426685E-5</v>
      </c>
      <c r="I248" s="156">
        <f t="shared" si="257"/>
        <v>1.4520130118516024E-6</v>
      </c>
      <c r="J248" s="156">
        <f t="shared" si="257"/>
        <v>0</v>
      </c>
      <c r="K248" s="156">
        <f t="shared" si="257"/>
        <v>3.2359856474320129E-5</v>
      </c>
      <c r="L248" s="156">
        <f t="shared" si="257"/>
        <v>1.7769753218277031E-5</v>
      </c>
      <c r="M248" s="156">
        <f t="shared" si="257"/>
        <v>6.2934690972327469E-5</v>
      </c>
      <c r="N248" s="156">
        <f t="shared" si="257"/>
        <v>5.0546270875349436E-3</v>
      </c>
      <c r="O248" s="156">
        <f t="shared" si="257"/>
        <v>9.3275989589578553E-4</v>
      </c>
      <c r="P248" s="156">
        <f t="shared" si="257"/>
        <v>1.3504434266793156E-5</v>
      </c>
      <c r="Q248" s="156">
        <f t="shared" si="257"/>
        <v>7.0577157830545417E-6</v>
      </c>
      <c r="R248" s="156">
        <f t="shared" si="257"/>
        <v>2.9772847745820661E-5</v>
      </c>
      <c r="S248" s="156">
        <f t="shared" si="257"/>
        <v>0</v>
      </c>
      <c r="T248" s="156">
        <f t="shared" si="257"/>
        <v>2.9173471266267506E-5</v>
      </c>
      <c r="U248" s="156">
        <f t="shared" si="257"/>
        <v>1.6232939365419058E-5</v>
      </c>
      <c r="V248" s="156">
        <f t="shared" si="257"/>
        <v>6.6520032676959393E-6</v>
      </c>
      <c r="W248" s="156">
        <f t="shared" si="257"/>
        <v>1.1066081861402507E-5</v>
      </c>
      <c r="X248" s="156">
        <f t="shared" si="257"/>
        <v>0</v>
      </c>
      <c r="Y248" s="156">
        <f t="shared" si="257"/>
        <v>9.7431348602057949E-6</v>
      </c>
      <c r="Z248" s="156">
        <f t="shared" si="257"/>
        <v>1.0395756999138056E-5</v>
      </c>
      <c r="AA248" s="156">
        <f t="shared" si="257"/>
        <v>4.4953532309287972E-6</v>
      </c>
      <c r="AB248" s="156">
        <f t="shared" si="257"/>
        <v>1.9766081100737579E-5</v>
      </c>
      <c r="AC248" s="156">
        <f t="shared" si="257"/>
        <v>3.9706349885614949E-4</v>
      </c>
      <c r="AD248" s="156">
        <f t="shared" si="257"/>
        <v>4.688838934099172E-5</v>
      </c>
      <c r="AE248" s="156">
        <f t="shared" si="257"/>
        <v>0</v>
      </c>
      <c r="AF248" s="156">
        <f t="shared" si="257"/>
        <v>1.737144613486077E-4</v>
      </c>
      <c r="AG248" s="156">
        <f t="shared" si="257"/>
        <v>2.0808355656414879E-6</v>
      </c>
      <c r="AH248" s="156">
        <f t="shared" si="257"/>
        <v>2.0911807067667995E-6</v>
      </c>
      <c r="AI248" s="156">
        <f t="shared" ref="AI248:BN248" si="258">AI89/AI$84</f>
        <v>7.7228791111384081E-6</v>
      </c>
      <c r="AJ248" s="156">
        <f t="shared" si="258"/>
        <v>2.4024932493483406E-5</v>
      </c>
      <c r="AK248" s="156">
        <f t="shared" si="258"/>
        <v>0</v>
      </c>
      <c r="AL248" s="156">
        <f t="shared" si="258"/>
        <v>7.0723370335038792E-5</v>
      </c>
      <c r="AM248" s="156">
        <f t="shared" si="258"/>
        <v>2.3392921697002814E-5</v>
      </c>
      <c r="AN248" s="156">
        <f t="shared" si="258"/>
        <v>1.0953229537733484E-5</v>
      </c>
      <c r="AO248" s="156">
        <f t="shared" si="258"/>
        <v>0</v>
      </c>
      <c r="AP248" s="156">
        <f t="shared" si="258"/>
        <v>9.4006020609787113E-7</v>
      </c>
      <c r="AQ248" s="156">
        <f t="shared" si="258"/>
        <v>9.4843598925919456E-6</v>
      </c>
      <c r="AR248" s="156">
        <f t="shared" si="258"/>
        <v>0</v>
      </c>
      <c r="AS248" s="156">
        <f t="shared" si="258"/>
        <v>2.552449945876459E-6</v>
      </c>
      <c r="AT248" s="156">
        <f t="shared" si="258"/>
        <v>0</v>
      </c>
      <c r="AU248" s="156">
        <f t="shared" si="258"/>
        <v>0</v>
      </c>
      <c r="AV248" s="156">
        <f t="shared" si="258"/>
        <v>0</v>
      </c>
      <c r="AW248" s="156">
        <f t="shared" si="258"/>
        <v>0</v>
      </c>
      <c r="AX248" s="156">
        <f t="shared" si="258"/>
        <v>0</v>
      </c>
      <c r="AY248" s="156">
        <f t="shared" si="258"/>
        <v>0</v>
      </c>
      <c r="AZ248" s="156">
        <f t="shared" si="258"/>
        <v>0</v>
      </c>
      <c r="BA248" s="156">
        <f t="shared" si="258"/>
        <v>2.8459380492430724E-5</v>
      </c>
      <c r="BB248" s="156">
        <f t="shared" si="258"/>
        <v>3.6112603161722963E-6</v>
      </c>
      <c r="BC248" s="156">
        <f t="shared" si="258"/>
        <v>0</v>
      </c>
      <c r="BD248" s="156">
        <f t="shared" si="258"/>
        <v>0</v>
      </c>
      <c r="BE248" s="156">
        <f t="shared" si="258"/>
        <v>0</v>
      </c>
      <c r="BF248" s="156">
        <f t="shared" si="258"/>
        <v>1.0829174128307016E-5</v>
      </c>
      <c r="BG248" s="156">
        <f t="shared" si="258"/>
        <v>0</v>
      </c>
      <c r="BH248" s="156">
        <f t="shared" si="258"/>
        <v>0</v>
      </c>
      <c r="BI248" s="156">
        <f t="shared" si="258"/>
        <v>0</v>
      </c>
      <c r="BJ248" s="156">
        <f t="shared" si="258"/>
        <v>4.842393541323103E-6</v>
      </c>
      <c r="BK248" s="156">
        <f t="shared" si="258"/>
        <v>1.7729338322431345E-5</v>
      </c>
      <c r="BL248" s="156">
        <f t="shared" si="258"/>
        <v>0</v>
      </c>
      <c r="BM248" s="156">
        <f t="shared" si="258"/>
        <v>0</v>
      </c>
      <c r="BN248" s="156">
        <f t="shared" si="258"/>
        <v>2.6703357451545568E-4</v>
      </c>
      <c r="BO248" s="156">
        <f t="shared" ref="BO248:CA248" si="259">BO89/BO$84</f>
        <v>0</v>
      </c>
      <c r="BP248" s="156">
        <f t="shared" si="259"/>
        <v>4.0380470129122892E-6</v>
      </c>
      <c r="BQ248" s="156">
        <f t="shared" si="259"/>
        <v>6.4098214874330479E-7</v>
      </c>
      <c r="BR248" s="156">
        <f t="shared" si="259"/>
        <v>7.2752906736290661E-7</v>
      </c>
      <c r="BS248" s="156">
        <f t="shared" si="259"/>
        <v>0</v>
      </c>
      <c r="BT248" s="156">
        <f t="shared" si="259"/>
        <v>3.2126449706042985E-6</v>
      </c>
      <c r="BU248" s="156">
        <f t="shared" si="259"/>
        <v>0</v>
      </c>
      <c r="BV248" s="156">
        <f t="shared" si="259"/>
        <v>0</v>
      </c>
      <c r="BW248" s="156">
        <f t="shared" si="259"/>
        <v>0</v>
      </c>
      <c r="BX248" s="156">
        <f t="shared" si="259"/>
        <v>3.8326989804402535E-5</v>
      </c>
      <c r="BY248" s="156">
        <f t="shared" si="259"/>
        <v>0</v>
      </c>
      <c r="BZ248" s="156">
        <f t="shared" si="259"/>
        <v>4.5434999735803893E-5</v>
      </c>
      <c r="CA248" s="129">
        <f t="shared" si="259"/>
        <v>0</v>
      </c>
      <c r="CB248" s="18"/>
      <c r="CC248" s="250"/>
      <c r="CD248" s="130">
        <f t="shared" ref="CD248:CG248" si="260">CD89/(CD$79+CD$80)</f>
        <v>1.5435370011781434E-4</v>
      </c>
      <c r="CE248" s="130">
        <f t="shared" si="260"/>
        <v>0</v>
      </c>
      <c r="CF248" s="130">
        <f t="shared" si="260"/>
        <v>2.9143269008658894E-5</v>
      </c>
      <c r="CG248" s="131">
        <f t="shared" si="260"/>
        <v>0</v>
      </c>
      <c r="CH248" s="18"/>
      <c r="CI248" s="18"/>
      <c r="CJ248" s="18"/>
    </row>
    <row r="249" spans="1:88" ht="13.95" customHeight="1" x14ac:dyDescent="0.25">
      <c r="A249" s="153" t="s">
        <v>2</v>
      </c>
      <c r="B249" s="253"/>
      <c r="C249" s="128">
        <f t="shared" ref="C249:AH249" si="261">C90/C$84</f>
        <v>2.3464463264788653E-5</v>
      </c>
      <c r="D249" s="156">
        <f t="shared" si="261"/>
        <v>3.6265703010305314E-4</v>
      </c>
      <c r="E249" s="156">
        <f t="shared" si="261"/>
        <v>5.1989993924100524E-2</v>
      </c>
      <c r="F249" s="156">
        <f t="shared" si="261"/>
        <v>0</v>
      </c>
      <c r="G249" s="156">
        <f t="shared" si="261"/>
        <v>0</v>
      </c>
      <c r="H249" s="156">
        <f t="shared" si="261"/>
        <v>1.3267243020906355E-2</v>
      </c>
      <c r="I249" s="156">
        <f t="shared" si="261"/>
        <v>0</v>
      </c>
      <c r="J249" s="156">
        <f t="shared" si="261"/>
        <v>0</v>
      </c>
      <c r="K249" s="156">
        <f t="shared" si="261"/>
        <v>0</v>
      </c>
      <c r="L249" s="156">
        <f t="shared" si="261"/>
        <v>0</v>
      </c>
      <c r="M249" s="156">
        <f t="shared" si="261"/>
        <v>1.1718207797608211E-4</v>
      </c>
      <c r="N249" s="156">
        <f t="shared" si="261"/>
        <v>2.0756126041038815E-5</v>
      </c>
      <c r="O249" s="156">
        <f t="shared" si="261"/>
        <v>0</v>
      </c>
      <c r="P249" s="156">
        <f t="shared" si="261"/>
        <v>0</v>
      </c>
      <c r="Q249" s="156">
        <f t="shared" si="261"/>
        <v>0</v>
      </c>
      <c r="R249" s="156">
        <f t="shared" si="261"/>
        <v>3.2568699582091534E-5</v>
      </c>
      <c r="S249" s="156">
        <f t="shared" si="261"/>
        <v>0</v>
      </c>
      <c r="T249" s="156">
        <f t="shared" si="261"/>
        <v>0</v>
      </c>
      <c r="U249" s="156">
        <f t="shared" si="261"/>
        <v>0</v>
      </c>
      <c r="V249" s="156">
        <f t="shared" si="261"/>
        <v>0</v>
      </c>
      <c r="W249" s="156">
        <f t="shared" si="261"/>
        <v>0</v>
      </c>
      <c r="X249" s="156">
        <f t="shared" si="261"/>
        <v>0</v>
      </c>
      <c r="Y249" s="156">
        <f t="shared" si="261"/>
        <v>0</v>
      </c>
      <c r="Z249" s="156">
        <f t="shared" si="261"/>
        <v>3.1566063762564949E-6</v>
      </c>
      <c r="AA249" s="156">
        <f t="shared" si="261"/>
        <v>0</v>
      </c>
      <c r="AB249" s="156">
        <f t="shared" si="261"/>
        <v>0</v>
      </c>
      <c r="AC249" s="156">
        <f t="shared" si="261"/>
        <v>1.673751006286247E-5</v>
      </c>
      <c r="AD249" s="156">
        <f t="shared" si="261"/>
        <v>0</v>
      </c>
      <c r="AE249" s="156">
        <f t="shared" si="261"/>
        <v>0</v>
      </c>
      <c r="AF249" s="156">
        <f t="shared" si="261"/>
        <v>5.5848188737304986E-6</v>
      </c>
      <c r="AG249" s="156">
        <f t="shared" si="261"/>
        <v>0</v>
      </c>
      <c r="AH249" s="156">
        <f t="shared" si="261"/>
        <v>0</v>
      </c>
      <c r="AI249" s="156">
        <f t="shared" ref="AI249:BN249" si="262">AI90/AI$84</f>
        <v>0</v>
      </c>
      <c r="AJ249" s="156">
        <f t="shared" si="262"/>
        <v>2.2795480800559811E-6</v>
      </c>
      <c r="AK249" s="156">
        <f t="shared" si="262"/>
        <v>0</v>
      </c>
      <c r="AL249" s="156">
        <f t="shared" si="262"/>
        <v>8.535987872132925E-4</v>
      </c>
      <c r="AM249" s="156">
        <f t="shared" si="262"/>
        <v>2.1375569647171919E-5</v>
      </c>
      <c r="AN249" s="156">
        <f t="shared" si="262"/>
        <v>0</v>
      </c>
      <c r="AO249" s="156">
        <f t="shared" si="262"/>
        <v>0</v>
      </c>
      <c r="AP249" s="156">
        <f t="shared" si="262"/>
        <v>0</v>
      </c>
      <c r="AQ249" s="156">
        <f t="shared" si="262"/>
        <v>2.3666462520794294E-3</v>
      </c>
      <c r="AR249" s="156">
        <f t="shared" si="262"/>
        <v>3.0273268385528577E-3</v>
      </c>
      <c r="AS249" s="156">
        <f t="shared" si="262"/>
        <v>0</v>
      </c>
      <c r="AT249" s="156">
        <f t="shared" si="262"/>
        <v>0</v>
      </c>
      <c r="AU249" s="156">
        <f t="shared" si="262"/>
        <v>0</v>
      </c>
      <c r="AV249" s="156">
        <f t="shared" si="262"/>
        <v>0</v>
      </c>
      <c r="AW249" s="156">
        <f t="shared" si="262"/>
        <v>0</v>
      </c>
      <c r="AX249" s="156">
        <f t="shared" si="262"/>
        <v>0</v>
      </c>
      <c r="AY249" s="156">
        <f t="shared" si="262"/>
        <v>0</v>
      </c>
      <c r="AZ249" s="156">
        <f t="shared" si="262"/>
        <v>0</v>
      </c>
      <c r="BA249" s="156">
        <f t="shared" si="262"/>
        <v>0</v>
      </c>
      <c r="BB249" s="156">
        <f t="shared" si="262"/>
        <v>8.692591203529775E-7</v>
      </c>
      <c r="BC249" s="156">
        <f t="shared" si="262"/>
        <v>0</v>
      </c>
      <c r="BD249" s="156">
        <f t="shared" si="262"/>
        <v>0</v>
      </c>
      <c r="BE249" s="156">
        <f t="shared" si="262"/>
        <v>0</v>
      </c>
      <c r="BF249" s="156">
        <f t="shared" si="262"/>
        <v>2.4430431719372965E-4</v>
      </c>
      <c r="BG249" s="156">
        <f t="shared" si="262"/>
        <v>0</v>
      </c>
      <c r="BH249" s="156">
        <f t="shared" si="262"/>
        <v>0</v>
      </c>
      <c r="BI249" s="156">
        <f t="shared" si="262"/>
        <v>0</v>
      </c>
      <c r="BJ249" s="156">
        <f t="shared" si="262"/>
        <v>0</v>
      </c>
      <c r="BK249" s="156">
        <f t="shared" si="262"/>
        <v>0</v>
      </c>
      <c r="BL249" s="156">
        <f t="shared" si="262"/>
        <v>6.514517264766743E-5</v>
      </c>
      <c r="BM249" s="156">
        <f t="shared" si="262"/>
        <v>0</v>
      </c>
      <c r="BN249" s="156">
        <f t="shared" si="262"/>
        <v>1.5798970185949231E-5</v>
      </c>
      <c r="BO249" s="156">
        <f t="shared" ref="BO249:BZ249" si="263">BO90/BO$84</f>
        <v>0</v>
      </c>
      <c r="BP249" s="156">
        <f t="shared" si="263"/>
        <v>3.804440987371909E-6</v>
      </c>
      <c r="BQ249" s="156">
        <f t="shared" si="263"/>
        <v>1.6131384076706503E-5</v>
      </c>
      <c r="BR249" s="156">
        <f t="shared" si="263"/>
        <v>5.9344141841977088E-5</v>
      </c>
      <c r="BS249" s="156">
        <f t="shared" si="263"/>
        <v>1.1858243791902507E-4</v>
      </c>
      <c r="BT249" s="156">
        <f t="shared" si="263"/>
        <v>0</v>
      </c>
      <c r="BU249" s="156">
        <f t="shared" si="263"/>
        <v>0</v>
      </c>
      <c r="BV249" s="156">
        <f t="shared" si="263"/>
        <v>0</v>
      </c>
      <c r="BW249" s="156">
        <f t="shared" si="263"/>
        <v>0</v>
      </c>
      <c r="BX249" s="156">
        <f t="shared" si="263"/>
        <v>8.6544815687360568E-5</v>
      </c>
      <c r="BY249" s="156">
        <f t="shared" si="263"/>
        <v>0</v>
      </c>
      <c r="BZ249" s="156">
        <f t="shared" si="263"/>
        <v>1.1689696228322878E-4</v>
      </c>
      <c r="CA249" s="129">
        <f t="shared" ref="CA249" si="264">CA90/CA$84</f>
        <v>0</v>
      </c>
      <c r="CB249" s="18"/>
      <c r="CC249" s="250"/>
      <c r="CD249" s="130">
        <f t="shared" ref="CD249:CG249" si="265">CD90/(CD$79+CD$80)</f>
        <v>2.7795556801211345E-4</v>
      </c>
      <c r="CE249" s="130">
        <f t="shared" si="265"/>
        <v>0</v>
      </c>
      <c r="CF249" s="130">
        <f t="shared" si="265"/>
        <v>4.8446285421581481E-5</v>
      </c>
      <c r="CG249" s="131">
        <f t="shared" si="265"/>
        <v>0</v>
      </c>
      <c r="CH249" s="18"/>
      <c r="CI249" s="18"/>
      <c r="CJ249" s="18"/>
    </row>
    <row r="250" spans="1:88" ht="13.95" customHeight="1" x14ac:dyDescent="0.25">
      <c r="A250" s="153" t="s">
        <v>3</v>
      </c>
      <c r="B250" s="253"/>
      <c r="C250" s="128">
        <f t="shared" ref="C250:AH250" si="266">C91/C$84</f>
        <v>4.8613430043988189E-4</v>
      </c>
      <c r="D250" s="156">
        <f t="shared" si="266"/>
        <v>2.0235462939866095E-4</v>
      </c>
      <c r="E250" s="156">
        <f t="shared" si="266"/>
        <v>0</v>
      </c>
      <c r="F250" s="156">
        <f t="shared" si="266"/>
        <v>4.3717879860172901E-5</v>
      </c>
      <c r="G250" s="156">
        <f t="shared" si="266"/>
        <v>2.6615716194383311E-5</v>
      </c>
      <c r="H250" s="156">
        <f t="shared" si="266"/>
        <v>1.4810844003020624E-4</v>
      </c>
      <c r="I250" s="156">
        <f t="shared" si="266"/>
        <v>7.2373773559478307E-5</v>
      </c>
      <c r="J250" s="156">
        <f t="shared" si="266"/>
        <v>1.2583201885254024E-5</v>
      </c>
      <c r="K250" s="156">
        <f t="shared" si="266"/>
        <v>3.9710528832716608E-5</v>
      </c>
      <c r="L250" s="156">
        <f t="shared" si="266"/>
        <v>2.6617454611477728E-5</v>
      </c>
      <c r="M250" s="156">
        <f t="shared" si="266"/>
        <v>4.5946185433785077E-5</v>
      </c>
      <c r="N250" s="156">
        <f t="shared" si="266"/>
        <v>5.1746357103573433E-5</v>
      </c>
      <c r="O250" s="156">
        <f t="shared" si="266"/>
        <v>4.9770000313200551E-4</v>
      </c>
      <c r="P250" s="156">
        <f t="shared" si="266"/>
        <v>0</v>
      </c>
      <c r="Q250" s="156">
        <f t="shared" si="266"/>
        <v>3.7930257106734101E-3</v>
      </c>
      <c r="R250" s="156">
        <f t="shared" si="266"/>
        <v>8.8737065541726924E-4</v>
      </c>
      <c r="S250" s="156">
        <f t="shared" si="266"/>
        <v>0</v>
      </c>
      <c r="T250" s="156">
        <f t="shared" si="266"/>
        <v>9.401495326146225E-5</v>
      </c>
      <c r="U250" s="156">
        <f t="shared" si="266"/>
        <v>9.9897468921358716E-4</v>
      </c>
      <c r="V250" s="156">
        <f t="shared" si="266"/>
        <v>5.0611436678082988E-3</v>
      </c>
      <c r="W250" s="156">
        <f t="shared" si="266"/>
        <v>1.29861296470563E-5</v>
      </c>
      <c r="X250" s="156">
        <f t="shared" si="266"/>
        <v>3.3850495255180056E-5</v>
      </c>
      <c r="Y250" s="156">
        <f t="shared" si="266"/>
        <v>3.8005135979526151E-6</v>
      </c>
      <c r="Z250" s="156">
        <f t="shared" si="266"/>
        <v>1.475187379837202E-5</v>
      </c>
      <c r="AA250" s="156">
        <f t="shared" si="266"/>
        <v>1.0008207564219958E-6</v>
      </c>
      <c r="AB250" s="156">
        <f t="shared" si="266"/>
        <v>2.9522416003024718E-5</v>
      </c>
      <c r="AC250" s="156">
        <f t="shared" si="266"/>
        <v>9.8615599829838326E-6</v>
      </c>
      <c r="AD250" s="156">
        <f t="shared" si="266"/>
        <v>1.6139396657339728E-5</v>
      </c>
      <c r="AE250" s="156">
        <f t="shared" si="266"/>
        <v>3.7672651529911422E-6</v>
      </c>
      <c r="AF250" s="156">
        <f t="shared" si="266"/>
        <v>8.5617844123928831E-3</v>
      </c>
      <c r="AG250" s="156">
        <f t="shared" si="266"/>
        <v>5.1653682864747524E-5</v>
      </c>
      <c r="AH250" s="156">
        <f t="shared" si="266"/>
        <v>2.0854299598231906E-4</v>
      </c>
      <c r="AI250" s="156">
        <f t="shared" ref="AI250:BN250" si="267">AI91/AI$84</f>
        <v>1.894376817261598E-4</v>
      </c>
      <c r="AJ250" s="156">
        <f t="shared" si="267"/>
        <v>3.9139956247661713E-6</v>
      </c>
      <c r="AK250" s="156">
        <f t="shared" si="267"/>
        <v>1.4998253733854385E-5</v>
      </c>
      <c r="AL250" s="156">
        <f t="shared" si="267"/>
        <v>4.2827947709366111E-6</v>
      </c>
      <c r="AM250" s="156">
        <f t="shared" si="267"/>
        <v>8.3254969310378659E-6</v>
      </c>
      <c r="AN250" s="156">
        <f t="shared" si="267"/>
        <v>2.6331104767659657E-6</v>
      </c>
      <c r="AO250" s="156">
        <f t="shared" si="267"/>
        <v>0</v>
      </c>
      <c r="AP250" s="156">
        <f t="shared" si="267"/>
        <v>4.8859919353975773E-6</v>
      </c>
      <c r="AQ250" s="156">
        <f t="shared" si="267"/>
        <v>2.2284929537838417E-5</v>
      </c>
      <c r="AR250" s="156">
        <f t="shared" si="267"/>
        <v>9.1883826406142985E-6</v>
      </c>
      <c r="AS250" s="156">
        <f t="shared" si="267"/>
        <v>0</v>
      </c>
      <c r="AT250" s="156">
        <f t="shared" si="267"/>
        <v>0</v>
      </c>
      <c r="AU250" s="156">
        <f t="shared" si="267"/>
        <v>0</v>
      </c>
      <c r="AV250" s="156">
        <f t="shared" si="267"/>
        <v>0</v>
      </c>
      <c r="AW250" s="156">
        <f t="shared" si="267"/>
        <v>3.6995633053743783E-6</v>
      </c>
      <c r="AX250" s="156">
        <f t="shared" si="267"/>
        <v>7.1217844281800592E-5</v>
      </c>
      <c r="AY250" s="156">
        <f t="shared" si="267"/>
        <v>4.3075410808054383E-6</v>
      </c>
      <c r="AZ250" s="156">
        <f t="shared" si="267"/>
        <v>2.5091019037484975E-5</v>
      </c>
      <c r="BA250" s="156">
        <f t="shared" si="267"/>
        <v>2.9750731090691104E-5</v>
      </c>
      <c r="BB250" s="156">
        <f t="shared" si="267"/>
        <v>3.3977805027914912E-5</v>
      </c>
      <c r="BC250" s="156">
        <f t="shared" si="267"/>
        <v>2.1613109571001359E-5</v>
      </c>
      <c r="BD250" s="156">
        <f t="shared" si="267"/>
        <v>8.2847530373803217E-6</v>
      </c>
      <c r="BE250" s="156">
        <f t="shared" si="267"/>
        <v>3.3951717292883558E-6</v>
      </c>
      <c r="BF250" s="156">
        <f t="shared" si="267"/>
        <v>5.3220300203218243E-5</v>
      </c>
      <c r="BG250" s="156">
        <f t="shared" si="267"/>
        <v>0</v>
      </c>
      <c r="BH250" s="156">
        <f t="shared" si="267"/>
        <v>2.4669580282508216E-5</v>
      </c>
      <c r="BI250" s="156">
        <f t="shared" si="267"/>
        <v>6.1762441064186783E-5</v>
      </c>
      <c r="BJ250" s="156">
        <f t="shared" si="267"/>
        <v>0</v>
      </c>
      <c r="BK250" s="156">
        <f t="shared" si="267"/>
        <v>1.4929969113626396E-5</v>
      </c>
      <c r="BL250" s="156">
        <f t="shared" si="267"/>
        <v>1.4515104780912637E-5</v>
      </c>
      <c r="BM250" s="156">
        <f t="shared" si="267"/>
        <v>1.2489696000799341E-5</v>
      </c>
      <c r="BN250" s="156">
        <f t="shared" si="267"/>
        <v>5.266323395316411E-6</v>
      </c>
      <c r="BO250" s="156">
        <f t="shared" ref="BO250:BZ250" si="268">BO91/BO$84</f>
        <v>0</v>
      </c>
      <c r="BP250" s="156">
        <f t="shared" si="268"/>
        <v>4.9390988257108997E-6</v>
      </c>
      <c r="BQ250" s="156">
        <f t="shared" si="268"/>
        <v>3.8458928924598287E-6</v>
      </c>
      <c r="BR250" s="156">
        <f t="shared" si="268"/>
        <v>4.5773703821582875E-6</v>
      </c>
      <c r="BS250" s="156">
        <f t="shared" si="268"/>
        <v>7.9785595938124084E-6</v>
      </c>
      <c r="BT250" s="156">
        <f t="shared" si="268"/>
        <v>8.8118262050860756E-6</v>
      </c>
      <c r="BU250" s="156">
        <f t="shared" si="268"/>
        <v>0</v>
      </c>
      <c r="BV250" s="156">
        <f t="shared" si="268"/>
        <v>0</v>
      </c>
      <c r="BW250" s="156">
        <f t="shared" si="268"/>
        <v>1.0597906537404114E-5</v>
      </c>
      <c r="BX250" s="156">
        <f t="shared" si="268"/>
        <v>0</v>
      </c>
      <c r="BY250" s="156">
        <f t="shared" si="268"/>
        <v>0</v>
      </c>
      <c r="BZ250" s="156">
        <f t="shared" si="268"/>
        <v>1.2284277706346977E-5</v>
      </c>
      <c r="CA250" s="129">
        <f t="shared" ref="CA250" si="269">CA91/CA$84</f>
        <v>0</v>
      </c>
      <c r="CB250" s="18"/>
      <c r="CC250" s="250"/>
      <c r="CD250" s="130">
        <f t="shared" ref="CD250:CG250" si="270">CD91/(CD$79+CD$80)</f>
        <v>9.0411137959698208E-4</v>
      </c>
      <c r="CE250" s="130">
        <f t="shared" si="270"/>
        <v>0</v>
      </c>
      <c r="CF250" s="130">
        <f t="shared" si="270"/>
        <v>3.2932631927772693E-4</v>
      </c>
      <c r="CG250" s="131">
        <f t="shared" si="270"/>
        <v>0</v>
      </c>
      <c r="CH250" s="18"/>
      <c r="CI250" s="18"/>
      <c r="CJ250" s="18"/>
    </row>
    <row r="251" spans="1:88" ht="28.2" customHeight="1" x14ac:dyDescent="0.25">
      <c r="A251" s="153" t="s">
        <v>4</v>
      </c>
      <c r="B251" s="253"/>
      <c r="C251" s="128">
        <f t="shared" ref="C251:AH251" si="271">C92/C$84</f>
        <v>2.4162370664296452E-4</v>
      </c>
      <c r="D251" s="156">
        <f t="shared" si="271"/>
        <v>5.2330696988756324E-4</v>
      </c>
      <c r="E251" s="156">
        <f t="shared" si="271"/>
        <v>0</v>
      </c>
      <c r="F251" s="156">
        <f t="shared" si="271"/>
        <v>2.1075317555234291E-3</v>
      </c>
      <c r="G251" s="156">
        <f t="shared" si="271"/>
        <v>6.6492628327032247E-2</v>
      </c>
      <c r="H251" s="156">
        <f t="shared" si="271"/>
        <v>5.8419921530250096E-5</v>
      </c>
      <c r="I251" s="156">
        <f t="shared" si="271"/>
        <v>0</v>
      </c>
      <c r="J251" s="156">
        <f t="shared" si="271"/>
        <v>0</v>
      </c>
      <c r="K251" s="156">
        <f t="shared" si="271"/>
        <v>1.1338623339043763E-4</v>
      </c>
      <c r="L251" s="156">
        <f t="shared" si="271"/>
        <v>2.8104463248990451E-5</v>
      </c>
      <c r="M251" s="156">
        <f t="shared" si="271"/>
        <v>4.5367031835880226E-5</v>
      </c>
      <c r="N251" s="156">
        <f t="shared" si="271"/>
        <v>3.3136513957068273E-5</v>
      </c>
      <c r="O251" s="156">
        <f t="shared" si="271"/>
        <v>1.4463986649750459E-4</v>
      </c>
      <c r="P251" s="156">
        <f t="shared" si="271"/>
        <v>6.4313935568926521E-5</v>
      </c>
      <c r="Q251" s="156">
        <f t="shared" si="271"/>
        <v>0.60788088306494537</v>
      </c>
      <c r="R251" s="156">
        <f t="shared" si="271"/>
        <v>3.6415761965695612E-2</v>
      </c>
      <c r="S251" s="156">
        <f t="shared" si="271"/>
        <v>1.6647108550709198E-4</v>
      </c>
      <c r="T251" s="156">
        <f t="shared" si="271"/>
        <v>1.831590019259297E-4</v>
      </c>
      <c r="U251" s="156">
        <f t="shared" si="271"/>
        <v>1.0365660237071597E-2</v>
      </c>
      <c r="V251" s="156">
        <f t="shared" si="271"/>
        <v>4.4484571217989849E-2</v>
      </c>
      <c r="W251" s="156">
        <f t="shared" si="271"/>
        <v>9.1562536849304195E-4</v>
      </c>
      <c r="X251" s="156">
        <f t="shared" si="271"/>
        <v>4.137626685549488E-3</v>
      </c>
      <c r="Y251" s="156">
        <f t="shared" si="271"/>
        <v>1.7246212455654701E-3</v>
      </c>
      <c r="Z251" s="156">
        <f t="shared" si="271"/>
        <v>1.0585153381713448E-3</v>
      </c>
      <c r="AA251" s="156">
        <f t="shared" si="271"/>
        <v>2.5229023234804473E-4</v>
      </c>
      <c r="AB251" s="156">
        <f t="shared" si="271"/>
        <v>1.1416178892156769E-4</v>
      </c>
      <c r="AC251" s="156">
        <f t="shared" si="271"/>
        <v>2.1844712457719692E-4</v>
      </c>
      <c r="AD251" s="156">
        <f t="shared" si="271"/>
        <v>4.6429449151683483E-5</v>
      </c>
      <c r="AE251" s="156">
        <f t="shared" si="271"/>
        <v>9.2134675504656195E-5</v>
      </c>
      <c r="AF251" s="156">
        <f t="shared" si="271"/>
        <v>6.5159039197334942E-2</v>
      </c>
      <c r="AG251" s="156">
        <f t="shared" si="271"/>
        <v>3.7332638089450223E-5</v>
      </c>
      <c r="AH251" s="156">
        <f t="shared" si="271"/>
        <v>8.799165618898E-4</v>
      </c>
      <c r="AI251" s="156">
        <f t="shared" ref="AI251:BN251" si="272">AI92/AI$84</f>
        <v>5.4441754863460406E-4</v>
      </c>
      <c r="AJ251" s="156">
        <f t="shared" si="272"/>
        <v>1.2254277698533428E-3</v>
      </c>
      <c r="AK251" s="156">
        <f t="shared" si="272"/>
        <v>2.7191490548018446E-5</v>
      </c>
      <c r="AL251" s="156">
        <f t="shared" si="272"/>
        <v>1.5396876227975455E-4</v>
      </c>
      <c r="AM251" s="156">
        <f t="shared" si="272"/>
        <v>1.5124914073084484E-5</v>
      </c>
      <c r="AN251" s="156">
        <f t="shared" si="272"/>
        <v>2.1915384873693293E-4</v>
      </c>
      <c r="AO251" s="156">
        <f t="shared" si="272"/>
        <v>0</v>
      </c>
      <c r="AP251" s="156">
        <f t="shared" si="272"/>
        <v>2.8271440272276716E-5</v>
      </c>
      <c r="AQ251" s="156">
        <f t="shared" si="272"/>
        <v>1.8504450419812258E-5</v>
      </c>
      <c r="AR251" s="156">
        <f t="shared" si="272"/>
        <v>9.4303542831073448E-5</v>
      </c>
      <c r="AS251" s="156">
        <f t="shared" si="272"/>
        <v>0</v>
      </c>
      <c r="AT251" s="156">
        <f t="shared" si="272"/>
        <v>0</v>
      </c>
      <c r="AU251" s="156">
        <f t="shared" si="272"/>
        <v>0</v>
      </c>
      <c r="AV251" s="156">
        <f t="shared" si="272"/>
        <v>0</v>
      </c>
      <c r="AW251" s="156">
        <f t="shared" si="272"/>
        <v>0</v>
      </c>
      <c r="AX251" s="156">
        <f t="shared" si="272"/>
        <v>0</v>
      </c>
      <c r="AY251" s="156">
        <f t="shared" si="272"/>
        <v>4.4114108657326617E-5</v>
      </c>
      <c r="AZ251" s="156">
        <f t="shared" si="272"/>
        <v>0</v>
      </c>
      <c r="BA251" s="156">
        <f t="shared" si="272"/>
        <v>0</v>
      </c>
      <c r="BB251" s="156">
        <f t="shared" si="272"/>
        <v>4.300915162393519E-5</v>
      </c>
      <c r="BC251" s="156">
        <f t="shared" si="272"/>
        <v>3.2374699496090799E-6</v>
      </c>
      <c r="BD251" s="156">
        <f t="shared" si="272"/>
        <v>7.1870232599274302E-5</v>
      </c>
      <c r="BE251" s="156">
        <f t="shared" si="272"/>
        <v>9.4163435394599171E-5</v>
      </c>
      <c r="BF251" s="156">
        <f t="shared" si="272"/>
        <v>5.7274298723046003E-4</v>
      </c>
      <c r="BG251" s="156">
        <f t="shared" si="272"/>
        <v>0</v>
      </c>
      <c r="BH251" s="156">
        <f t="shared" si="272"/>
        <v>0</v>
      </c>
      <c r="BI251" s="156">
        <f t="shared" si="272"/>
        <v>0</v>
      </c>
      <c r="BJ251" s="156">
        <f t="shared" si="272"/>
        <v>8.2421573401270315E-5</v>
      </c>
      <c r="BK251" s="156">
        <f t="shared" si="272"/>
        <v>0</v>
      </c>
      <c r="BL251" s="156">
        <f t="shared" si="272"/>
        <v>0</v>
      </c>
      <c r="BM251" s="156">
        <f t="shared" si="272"/>
        <v>0</v>
      </c>
      <c r="BN251" s="156">
        <f t="shared" si="272"/>
        <v>1.9531089662718319E-3</v>
      </c>
      <c r="BO251" s="156">
        <f t="shared" ref="BO251:BZ251" si="273">BO92/BO$84</f>
        <v>4.8065391695531191E-4</v>
      </c>
      <c r="BP251" s="156">
        <f t="shared" si="273"/>
        <v>1.1952285435326748E-4</v>
      </c>
      <c r="BQ251" s="156">
        <f t="shared" si="273"/>
        <v>4.3341076290859796E-5</v>
      </c>
      <c r="BR251" s="156">
        <f t="shared" si="273"/>
        <v>1.366137915381458E-5</v>
      </c>
      <c r="BS251" s="156">
        <f t="shared" si="273"/>
        <v>2.9590811680348215E-5</v>
      </c>
      <c r="BT251" s="156">
        <f t="shared" si="273"/>
        <v>0</v>
      </c>
      <c r="BU251" s="156">
        <f t="shared" si="273"/>
        <v>3.2374824348042707E-4</v>
      </c>
      <c r="BV251" s="156">
        <f t="shared" si="273"/>
        <v>0</v>
      </c>
      <c r="BW251" s="156">
        <f t="shared" si="273"/>
        <v>0</v>
      </c>
      <c r="BX251" s="156">
        <f t="shared" si="273"/>
        <v>6.2951050458306317E-4</v>
      </c>
      <c r="BY251" s="156">
        <f t="shared" si="273"/>
        <v>0</v>
      </c>
      <c r="BZ251" s="156">
        <f t="shared" si="273"/>
        <v>1.1128770305658632E-4</v>
      </c>
      <c r="CA251" s="129">
        <f t="shared" ref="CA251" si="274">CA92/CA$84</f>
        <v>0</v>
      </c>
      <c r="CB251" s="18"/>
      <c r="CC251" s="250"/>
      <c r="CD251" s="130">
        <f t="shared" ref="CD251:CG251" si="275">CD92/(CD$79+CD$80)</f>
        <v>7.7521875850561692E-5</v>
      </c>
      <c r="CE251" s="130">
        <f t="shared" si="275"/>
        <v>0</v>
      </c>
      <c r="CF251" s="130">
        <f t="shared" si="275"/>
        <v>7.8391505215047209E-3</v>
      </c>
      <c r="CG251" s="131">
        <f t="shared" si="275"/>
        <v>4.7315396030197639E-5</v>
      </c>
      <c r="CH251" s="18"/>
      <c r="CI251" s="18"/>
      <c r="CJ251" s="18"/>
    </row>
    <row r="252" spans="1:88" ht="13.95" customHeight="1" x14ac:dyDescent="0.25">
      <c r="A252" s="153" t="s">
        <v>5</v>
      </c>
      <c r="B252" s="253"/>
      <c r="C252" s="128">
        <f t="shared" ref="C252:AH252" si="276">C93/C$84</f>
        <v>1.2396546163201582E-2</v>
      </c>
      <c r="D252" s="156">
        <f t="shared" si="276"/>
        <v>3.796864450288314E-4</v>
      </c>
      <c r="E252" s="156">
        <f t="shared" si="276"/>
        <v>3.8316483203695898E-3</v>
      </c>
      <c r="F252" s="156">
        <f t="shared" si="276"/>
        <v>0</v>
      </c>
      <c r="G252" s="156">
        <f t="shared" si="276"/>
        <v>1.044311307168933E-4</v>
      </c>
      <c r="H252" s="156">
        <f t="shared" si="276"/>
        <v>6.8102679559016319E-2</v>
      </c>
      <c r="I252" s="156">
        <f t="shared" si="276"/>
        <v>1.8796399189232236E-2</v>
      </c>
      <c r="J252" s="156">
        <f t="shared" si="276"/>
        <v>0</v>
      </c>
      <c r="K252" s="156">
        <f t="shared" si="276"/>
        <v>4.4180075588569183E-4</v>
      </c>
      <c r="L252" s="156">
        <f t="shared" si="276"/>
        <v>4.9019239735606892E-4</v>
      </c>
      <c r="M252" s="156">
        <f t="shared" si="276"/>
        <v>3.700212337014112E-3</v>
      </c>
      <c r="N252" s="156">
        <f t="shared" si="276"/>
        <v>6.0697927224677184E-5</v>
      </c>
      <c r="O252" s="156">
        <f t="shared" si="276"/>
        <v>1.1831176185649069E-4</v>
      </c>
      <c r="P252" s="156">
        <f t="shared" si="276"/>
        <v>0</v>
      </c>
      <c r="Q252" s="156">
        <f t="shared" si="276"/>
        <v>1.3229493172839221E-3</v>
      </c>
      <c r="R252" s="156">
        <f t="shared" si="276"/>
        <v>4.5161930087166927E-4</v>
      </c>
      <c r="S252" s="156">
        <f t="shared" si="276"/>
        <v>6.0112647040283117E-4</v>
      </c>
      <c r="T252" s="156">
        <f t="shared" si="276"/>
        <v>4.7968668471204767E-5</v>
      </c>
      <c r="U252" s="156">
        <f t="shared" si="276"/>
        <v>0</v>
      </c>
      <c r="V252" s="156">
        <f t="shared" si="276"/>
        <v>0</v>
      </c>
      <c r="W252" s="156">
        <f t="shared" si="276"/>
        <v>0</v>
      </c>
      <c r="X252" s="156">
        <f t="shared" si="276"/>
        <v>1.8714325816412465E-5</v>
      </c>
      <c r="Y252" s="156">
        <f t="shared" si="276"/>
        <v>3.112966137959369E-5</v>
      </c>
      <c r="Z252" s="156">
        <f t="shared" si="276"/>
        <v>7.0834247083195748E-5</v>
      </c>
      <c r="AA252" s="156">
        <f t="shared" si="276"/>
        <v>0</v>
      </c>
      <c r="AB252" s="156">
        <f t="shared" si="276"/>
        <v>0</v>
      </c>
      <c r="AC252" s="156">
        <f t="shared" si="276"/>
        <v>5.9713328974946031E-3</v>
      </c>
      <c r="AD252" s="156">
        <f t="shared" si="276"/>
        <v>5.8147721985353843E-4</v>
      </c>
      <c r="AE252" s="156">
        <f t="shared" si="276"/>
        <v>1.1802645739428896E-4</v>
      </c>
      <c r="AF252" s="156">
        <f t="shared" si="276"/>
        <v>2.172760485637056E-5</v>
      </c>
      <c r="AG252" s="156">
        <f t="shared" si="276"/>
        <v>0</v>
      </c>
      <c r="AH252" s="156">
        <f t="shared" si="276"/>
        <v>1.3887008278461624E-3</v>
      </c>
      <c r="AI252" s="156">
        <f t="shared" ref="AI252:BN252" si="277">AI93/AI$84</f>
        <v>1.0957402597685789E-4</v>
      </c>
      <c r="AJ252" s="156">
        <f t="shared" si="277"/>
        <v>5.7668516466898461E-5</v>
      </c>
      <c r="AK252" s="156">
        <f t="shared" si="277"/>
        <v>7.7319241895137367E-5</v>
      </c>
      <c r="AL252" s="156">
        <f t="shared" si="277"/>
        <v>2.9744410480456859E-3</v>
      </c>
      <c r="AM252" s="156">
        <f t="shared" si="277"/>
        <v>3.8382683635349926E-3</v>
      </c>
      <c r="AN252" s="156">
        <f t="shared" si="277"/>
        <v>4.0752644473336689E-5</v>
      </c>
      <c r="AO252" s="156">
        <f t="shared" si="277"/>
        <v>1.7518359984293491E-4</v>
      </c>
      <c r="AP252" s="156">
        <f t="shared" si="277"/>
        <v>5.3258472663989265E-5</v>
      </c>
      <c r="AQ252" s="156">
        <f t="shared" si="277"/>
        <v>1.5693763681852387E-2</v>
      </c>
      <c r="AR252" s="156">
        <f t="shared" si="277"/>
        <v>3.6758991273848594E-2</v>
      </c>
      <c r="AS252" s="156">
        <f t="shared" si="277"/>
        <v>1.2143473984927396E-5</v>
      </c>
      <c r="AT252" s="156">
        <f t="shared" si="277"/>
        <v>0</v>
      </c>
      <c r="AU252" s="156">
        <f t="shared" si="277"/>
        <v>0</v>
      </c>
      <c r="AV252" s="156">
        <f t="shared" si="277"/>
        <v>4.2085072059586543E-5</v>
      </c>
      <c r="AW252" s="156">
        <f t="shared" si="277"/>
        <v>7.9220895718171106E-5</v>
      </c>
      <c r="AX252" s="156">
        <f t="shared" si="277"/>
        <v>1.0251923551855972E-4</v>
      </c>
      <c r="AY252" s="156">
        <f t="shared" si="277"/>
        <v>3.0282624796797094E-4</v>
      </c>
      <c r="AZ252" s="156">
        <f t="shared" si="277"/>
        <v>4.7130768423175293E-4</v>
      </c>
      <c r="BA252" s="156">
        <f t="shared" si="277"/>
        <v>0</v>
      </c>
      <c r="BB252" s="156">
        <f t="shared" si="277"/>
        <v>6.8946309788585057E-5</v>
      </c>
      <c r="BC252" s="156">
        <f t="shared" si="277"/>
        <v>1.1106320521575595E-4</v>
      </c>
      <c r="BD252" s="156">
        <f t="shared" si="277"/>
        <v>6.4482994474276837E-5</v>
      </c>
      <c r="BE252" s="156">
        <f t="shared" si="277"/>
        <v>2.2113684891648051E-5</v>
      </c>
      <c r="BF252" s="156">
        <f t="shared" si="277"/>
        <v>9.7601402720510683E-5</v>
      </c>
      <c r="BG252" s="156">
        <f t="shared" si="277"/>
        <v>2.4676696453212035E-5</v>
      </c>
      <c r="BH252" s="156">
        <f t="shared" si="277"/>
        <v>9.2002065079981136E-5</v>
      </c>
      <c r="BI252" s="156">
        <f t="shared" si="277"/>
        <v>0</v>
      </c>
      <c r="BJ252" s="156">
        <f t="shared" si="277"/>
        <v>1.4187540521418175E-4</v>
      </c>
      <c r="BK252" s="156">
        <f t="shared" si="277"/>
        <v>3.8483550595488041E-4</v>
      </c>
      <c r="BL252" s="156">
        <f t="shared" si="277"/>
        <v>6.3805981432761799E-4</v>
      </c>
      <c r="BM252" s="156">
        <f t="shared" si="277"/>
        <v>5.3913854403450486E-5</v>
      </c>
      <c r="BN252" s="156">
        <f t="shared" si="277"/>
        <v>1.741991354865471E-3</v>
      </c>
      <c r="BO252" s="156">
        <f t="shared" ref="BO252:BZ252" si="278">BO93/BO$84</f>
        <v>6.7635098421819603E-4</v>
      </c>
      <c r="BP252" s="156">
        <f t="shared" si="278"/>
        <v>4.0867705553821403E-4</v>
      </c>
      <c r="BQ252" s="156">
        <f t="shared" si="278"/>
        <v>1.0748736482634603E-3</v>
      </c>
      <c r="BR252" s="156">
        <f t="shared" si="278"/>
        <v>8.2495733496725583E-4</v>
      </c>
      <c r="BS252" s="156">
        <f t="shared" si="278"/>
        <v>5.2584406694362205E-3</v>
      </c>
      <c r="BT252" s="156">
        <f t="shared" si="278"/>
        <v>1.7008660372942185E-4</v>
      </c>
      <c r="BU252" s="156">
        <f t="shared" si="278"/>
        <v>0</v>
      </c>
      <c r="BV252" s="156">
        <f t="shared" si="278"/>
        <v>0</v>
      </c>
      <c r="BW252" s="156">
        <f t="shared" si="278"/>
        <v>8.1068287211927823E-4</v>
      </c>
      <c r="BX252" s="156">
        <f t="shared" si="278"/>
        <v>1.4640497987111829E-2</v>
      </c>
      <c r="BY252" s="156">
        <f t="shared" si="278"/>
        <v>0</v>
      </c>
      <c r="BZ252" s="156">
        <f t="shared" si="278"/>
        <v>7.3772977348801573E-4</v>
      </c>
      <c r="CA252" s="129">
        <f t="shared" ref="CA252:CA283" si="279">CA93/CA$84</f>
        <v>0</v>
      </c>
      <c r="CB252" s="18"/>
      <c r="CC252" s="250"/>
      <c r="CD252" s="130">
        <f t="shared" ref="CD252:CG252" si="280">CD93/(CD$79+CD$80)</f>
        <v>2.2233802210720726E-2</v>
      </c>
      <c r="CE252" s="130">
        <f t="shared" si="280"/>
        <v>4.0727266620462658E-5</v>
      </c>
      <c r="CF252" s="130">
        <f t="shared" si="280"/>
        <v>5.3563358684439004E-3</v>
      </c>
      <c r="CG252" s="131">
        <f t="shared" si="280"/>
        <v>1.1609133488940404E-3</v>
      </c>
      <c r="CH252" s="18"/>
      <c r="CI252" s="18"/>
      <c r="CJ252" s="18"/>
    </row>
    <row r="253" spans="1:88" ht="13.95" customHeight="1" x14ac:dyDescent="0.25">
      <c r="A253" s="153" t="s">
        <v>6</v>
      </c>
      <c r="B253" s="253"/>
      <c r="C253" s="128">
        <f t="shared" ref="C253:AH253" si="281">C94/C$84</f>
        <v>5.8097388953455581E-5</v>
      </c>
      <c r="D253" s="156">
        <f t="shared" si="281"/>
        <v>3.2929327841173252E-5</v>
      </c>
      <c r="E253" s="156">
        <f t="shared" si="281"/>
        <v>0</v>
      </c>
      <c r="F253" s="156">
        <f t="shared" si="281"/>
        <v>4.1913486233868595E-5</v>
      </c>
      <c r="G253" s="156">
        <f t="shared" si="281"/>
        <v>2.6615716194383311E-5</v>
      </c>
      <c r="H253" s="156">
        <f t="shared" si="281"/>
        <v>7.7584046798927887E-5</v>
      </c>
      <c r="I253" s="156">
        <f t="shared" si="281"/>
        <v>1.5327177100665793E-2</v>
      </c>
      <c r="J253" s="156">
        <f t="shared" si="281"/>
        <v>0</v>
      </c>
      <c r="K253" s="156">
        <f t="shared" si="281"/>
        <v>2.9571670407342155E-6</v>
      </c>
      <c r="L253" s="156">
        <f t="shared" si="281"/>
        <v>3.1375882251518441E-5</v>
      </c>
      <c r="M253" s="156">
        <f t="shared" si="281"/>
        <v>5.0000260619119055E-5</v>
      </c>
      <c r="N253" s="156">
        <f t="shared" si="281"/>
        <v>2.6697665273467326E-6</v>
      </c>
      <c r="O253" s="156">
        <f t="shared" si="281"/>
        <v>3.3169864268611336E-5</v>
      </c>
      <c r="P253" s="156">
        <f t="shared" si="281"/>
        <v>2.0816227405719837E-5</v>
      </c>
      <c r="Q253" s="156">
        <f t="shared" si="281"/>
        <v>4.1956169705294084E-5</v>
      </c>
      <c r="R253" s="156">
        <f t="shared" si="281"/>
        <v>1.9966546145623788E-4</v>
      </c>
      <c r="S253" s="156">
        <f t="shared" si="281"/>
        <v>9.9786305905449927E-6</v>
      </c>
      <c r="T253" s="156">
        <f t="shared" si="281"/>
        <v>5.2735660436797003E-5</v>
      </c>
      <c r="U253" s="156">
        <f t="shared" si="281"/>
        <v>2.8652236149294404E-5</v>
      </c>
      <c r="V253" s="156">
        <f t="shared" si="281"/>
        <v>1.5977693078824146E-5</v>
      </c>
      <c r="W253" s="156">
        <f t="shared" si="281"/>
        <v>1.540167363545946E-5</v>
      </c>
      <c r="X253" s="156">
        <f t="shared" si="281"/>
        <v>2.3570395186073362E-6</v>
      </c>
      <c r="Y253" s="156">
        <f t="shared" si="281"/>
        <v>2.0799174417886128E-5</v>
      </c>
      <c r="Z253" s="156">
        <f t="shared" si="281"/>
        <v>3.9099830980563785E-5</v>
      </c>
      <c r="AA253" s="156">
        <f t="shared" si="281"/>
        <v>2.5437527559059059E-6</v>
      </c>
      <c r="AB253" s="156">
        <f t="shared" si="281"/>
        <v>9.9675109824232235E-6</v>
      </c>
      <c r="AC253" s="156">
        <f t="shared" si="281"/>
        <v>4.7498339367582682E-6</v>
      </c>
      <c r="AD253" s="156">
        <f t="shared" si="281"/>
        <v>0</v>
      </c>
      <c r="AE253" s="156">
        <f t="shared" si="281"/>
        <v>8.3184698753908449E-6</v>
      </c>
      <c r="AF253" s="156">
        <f t="shared" si="281"/>
        <v>3.0583531927571778E-6</v>
      </c>
      <c r="AG253" s="156">
        <f t="shared" si="281"/>
        <v>8.9353527230487431E-6</v>
      </c>
      <c r="AH253" s="156">
        <f t="shared" si="281"/>
        <v>1.7147681795487753E-5</v>
      </c>
      <c r="AI253" s="156">
        <f t="shared" ref="AI253:BN253" si="282">AI94/AI$84</f>
        <v>7.3594495059083663E-6</v>
      </c>
      <c r="AJ253" s="156">
        <f t="shared" si="282"/>
        <v>1.3428505314238407E-5</v>
      </c>
      <c r="AK253" s="156">
        <f t="shared" si="282"/>
        <v>3.8850438425098637E-5</v>
      </c>
      <c r="AL253" s="156">
        <f t="shared" si="282"/>
        <v>1.4382289017534323E-4</v>
      </c>
      <c r="AM253" s="156">
        <f t="shared" si="282"/>
        <v>9.8029721240098711E-5</v>
      </c>
      <c r="AN253" s="156">
        <f t="shared" si="282"/>
        <v>2.0803485437499626E-5</v>
      </c>
      <c r="AO253" s="156">
        <f t="shared" si="282"/>
        <v>9.1640360548615212E-5</v>
      </c>
      <c r="AP253" s="156">
        <f t="shared" si="282"/>
        <v>1.6839843938864334E-5</v>
      </c>
      <c r="AQ253" s="156">
        <f t="shared" si="282"/>
        <v>1.4194040983311904E-3</v>
      </c>
      <c r="AR253" s="156">
        <f t="shared" si="282"/>
        <v>9.2671215210363613E-3</v>
      </c>
      <c r="AS253" s="156">
        <f t="shared" si="282"/>
        <v>7.7346968056862398E-6</v>
      </c>
      <c r="AT253" s="156">
        <f t="shared" si="282"/>
        <v>4.5163541700852963E-6</v>
      </c>
      <c r="AU253" s="156">
        <f t="shared" si="282"/>
        <v>0</v>
      </c>
      <c r="AV253" s="156">
        <f t="shared" si="282"/>
        <v>1.2116800966606236E-5</v>
      </c>
      <c r="AW253" s="156">
        <f t="shared" si="282"/>
        <v>1.1349894831920161E-5</v>
      </c>
      <c r="AX253" s="156">
        <f t="shared" si="282"/>
        <v>1.5124219618984532E-5</v>
      </c>
      <c r="AY253" s="156">
        <f t="shared" si="282"/>
        <v>7.046342909842371E-5</v>
      </c>
      <c r="AZ253" s="156">
        <f t="shared" si="282"/>
        <v>4.4802389102108846E-5</v>
      </c>
      <c r="BA253" s="156">
        <f t="shared" si="282"/>
        <v>3.5164470137244243E-5</v>
      </c>
      <c r="BB253" s="156">
        <f t="shared" si="282"/>
        <v>8.7117660370669737E-6</v>
      </c>
      <c r="BC253" s="156">
        <f t="shared" si="282"/>
        <v>1.9694608860121905E-5</v>
      </c>
      <c r="BD253" s="156">
        <f t="shared" si="282"/>
        <v>1.8399055703848799E-5</v>
      </c>
      <c r="BE253" s="156">
        <f t="shared" si="282"/>
        <v>4.597002429921402E-6</v>
      </c>
      <c r="BF253" s="156">
        <f t="shared" si="282"/>
        <v>5.6552353781158865E-5</v>
      </c>
      <c r="BG253" s="156">
        <f t="shared" si="282"/>
        <v>1.4891109928662436E-6</v>
      </c>
      <c r="BH253" s="156">
        <f t="shared" si="282"/>
        <v>6.3505850232199374E-6</v>
      </c>
      <c r="BI253" s="156">
        <f t="shared" si="282"/>
        <v>0</v>
      </c>
      <c r="BJ253" s="156">
        <f t="shared" si="282"/>
        <v>3.3022433733189498E-5</v>
      </c>
      <c r="BK253" s="156">
        <f t="shared" si="282"/>
        <v>1.6718454997029557E-5</v>
      </c>
      <c r="BL253" s="156">
        <f t="shared" si="282"/>
        <v>3.5337368186864695E-5</v>
      </c>
      <c r="BM253" s="156">
        <f t="shared" si="282"/>
        <v>9.9917568006394732E-6</v>
      </c>
      <c r="BN253" s="156">
        <f t="shared" si="282"/>
        <v>3.0203913590785297E-5</v>
      </c>
      <c r="BO253" s="156">
        <f t="shared" ref="BO253:BZ253" si="283">BO94/BO$84</f>
        <v>1.2804089215099846E-5</v>
      </c>
      <c r="BP253" s="156">
        <f t="shared" si="283"/>
        <v>9.5653324386445033E-5</v>
      </c>
      <c r="BQ253" s="156">
        <f t="shared" si="283"/>
        <v>1.1564386266910458E-4</v>
      </c>
      <c r="BR253" s="156">
        <f t="shared" si="283"/>
        <v>5.1553518078965964E-5</v>
      </c>
      <c r="BS253" s="156">
        <f t="shared" si="283"/>
        <v>2.603991427870643E-5</v>
      </c>
      <c r="BT253" s="156">
        <f t="shared" si="283"/>
        <v>1.4594587152173813E-5</v>
      </c>
      <c r="BU253" s="156">
        <f t="shared" si="283"/>
        <v>1.3839619568628944E-5</v>
      </c>
      <c r="BV253" s="156">
        <f t="shared" si="283"/>
        <v>0</v>
      </c>
      <c r="BW253" s="156">
        <f t="shared" si="283"/>
        <v>2.8716908036836956E-5</v>
      </c>
      <c r="BX253" s="156">
        <f t="shared" si="283"/>
        <v>0</v>
      </c>
      <c r="BY253" s="156">
        <f t="shared" si="283"/>
        <v>0</v>
      </c>
      <c r="BZ253" s="156">
        <f t="shared" si="283"/>
        <v>1.5649833242332451E-5</v>
      </c>
      <c r="CA253" s="129">
        <f t="shared" si="279"/>
        <v>0</v>
      </c>
      <c r="CB253" s="18"/>
      <c r="CC253" s="250"/>
      <c r="CD253" s="130">
        <f t="shared" ref="CD253:CG253" si="284">CD94/(CD$79+CD$80)</f>
        <v>2.2325604827503004E-3</v>
      </c>
      <c r="CE253" s="130">
        <f t="shared" si="284"/>
        <v>0</v>
      </c>
      <c r="CF253" s="130">
        <f t="shared" si="284"/>
        <v>1.0584444759163494E-4</v>
      </c>
      <c r="CG253" s="131">
        <f t="shared" si="284"/>
        <v>0</v>
      </c>
      <c r="CH253" s="18"/>
      <c r="CI253" s="18"/>
      <c r="CJ253" s="18"/>
    </row>
    <row r="254" spans="1:88" ht="13.95" customHeight="1" x14ac:dyDescent="0.25">
      <c r="A254" s="153" t="s">
        <v>7</v>
      </c>
      <c r="B254" s="253"/>
      <c r="C254" s="128">
        <f t="shared" ref="C254:AH254" si="285">C95/C$84</f>
        <v>2.2356365165291593E-7</v>
      </c>
      <c r="D254" s="156">
        <f t="shared" si="285"/>
        <v>2.6065431008844264E-7</v>
      </c>
      <c r="E254" s="156">
        <f t="shared" si="285"/>
        <v>0</v>
      </c>
      <c r="F254" s="156">
        <f t="shared" si="285"/>
        <v>9.2797386495650021E-7</v>
      </c>
      <c r="G254" s="156">
        <f t="shared" si="285"/>
        <v>1.625387248511958E-6</v>
      </c>
      <c r="H254" s="156">
        <f t="shared" si="285"/>
        <v>4.1739557589752649E-7</v>
      </c>
      <c r="I254" s="156">
        <f t="shared" si="285"/>
        <v>1.3612621986108772E-7</v>
      </c>
      <c r="J254" s="156">
        <f t="shared" si="285"/>
        <v>1.9480974380237984E-3</v>
      </c>
      <c r="K254" s="156">
        <f t="shared" si="285"/>
        <v>2.2812431457092521E-5</v>
      </c>
      <c r="L254" s="156">
        <f t="shared" si="285"/>
        <v>2.066942006142684E-5</v>
      </c>
      <c r="M254" s="156">
        <f t="shared" si="285"/>
        <v>0</v>
      </c>
      <c r="N254" s="156">
        <f t="shared" si="285"/>
        <v>0</v>
      </c>
      <c r="O254" s="156">
        <f t="shared" si="285"/>
        <v>0</v>
      </c>
      <c r="P254" s="156">
        <f t="shared" si="285"/>
        <v>0</v>
      </c>
      <c r="Q254" s="156">
        <f t="shared" si="285"/>
        <v>2.1279545074536306E-7</v>
      </c>
      <c r="R254" s="156">
        <f t="shared" si="285"/>
        <v>0</v>
      </c>
      <c r="S254" s="156">
        <f t="shared" si="285"/>
        <v>0</v>
      </c>
      <c r="T254" s="156">
        <f t="shared" si="285"/>
        <v>0</v>
      </c>
      <c r="U254" s="156">
        <f t="shared" si="285"/>
        <v>2.1963386595277941E-7</v>
      </c>
      <c r="V254" s="156">
        <f t="shared" si="285"/>
        <v>0</v>
      </c>
      <c r="W254" s="156">
        <f t="shared" si="285"/>
        <v>2.3742526381740453E-7</v>
      </c>
      <c r="X254" s="156">
        <f t="shared" si="285"/>
        <v>0</v>
      </c>
      <c r="Y254" s="156">
        <f t="shared" si="285"/>
        <v>0</v>
      </c>
      <c r="Z254" s="156">
        <f t="shared" si="285"/>
        <v>2.1044042508376635E-7</v>
      </c>
      <c r="AA254" s="156">
        <f t="shared" si="285"/>
        <v>2.8356588098623215E-7</v>
      </c>
      <c r="AB254" s="156">
        <f t="shared" si="285"/>
        <v>1.0558804006804262E-6</v>
      </c>
      <c r="AC254" s="156">
        <f t="shared" si="285"/>
        <v>1.5900634559719346E-5</v>
      </c>
      <c r="AD254" s="156">
        <f t="shared" si="285"/>
        <v>0</v>
      </c>
      <c r="AE254" s="156">
        <f t="shared" si="285"/>
        <v>3.7019368555404286E-7</v>
      </c>
      <c r="AF254" s="156">
        <f t="shared" si="285"/>
        <v>6.2053543041449985E-8</v>
      </c>
      <c r="AG254" s="156">
        <f t="shared" si="285"/>
        <v>0</v>
      </c>
      <c r="AH254" s="156">
        <f t="shared" si="285"/>
        <v>0</v>
      </c>
      <c r="AI254" s="156">
        <f t="shared" ref="AI254:BN254" si="286">AI95/AI$84</f>
        <v>0</v>
      </c>
      <c r="AJ254" s="156">
        <f t="shared" si="286"/>
        <v>2.0828358091882063E-7</v>
      </c>
      <c r="AK254" s="156">
        <f t="shared" si="286"/>
        <v>3.8163495505990799E-8</v>
      </c>
      <c r="AL254" s="156">
        <f t="shared" si="286"/>
        <v>2.0612381250497058E-7</v>
      </c>
      <c r="AM254" s="156">
        <f t="shared" si="286"/>
        <v>8.3620810355684769E-8</v>
      </c>
      <c r="AN254" s="156">
        <f t="shared" si="286"/>
        <v>3.1240293792138574E-7</v>
      </c>
      <c r="AO254" s="156">
        <f t="shared" si="286"/>
        <v>1.009758650535677E-5</v>
      </c>
      <c r="AP254" s="156">
        <f t="shared" si="286"/>
        <v>0</v>
      </c>
      <c r="AQ254" s="156">
        <f t="shared" si="286"/>
        <v>1.8862601073098945E-4</v>
      </c>
      <c r="AR254" s="156">
        <f t="shared" si="286"/>
        <v>6.5669141840376144E-4</v>
      </c>
      <c r="AS254" s="156">
        <f t="shared" si="286"/>
        <v>0</v>
      </c>
      <c r="AT254" s="156">
        <f t="shared" si="286"/>
        <v>0</v>
      </c>
      <c r="AU254" s="156">
        <f t="shared" si="286"/>
        <v>0</v>
      </c>
      <c r="AV254" s="156">
        <f t="shared" si="286"/>
        <v>0</v>
      </c>
      <c r="AW254" s="156">
        <f t="shared" si="286"/>
        <v>0</v>
      </c>
      <c r="AX254" s="156">
        <f t="shared" si="286"/>
        <v>0</v>
      </c>
      <c r="AY254" s="156">
        <f t="shared" si="286"/>
        <v>0</v>
      </c>
      <c r="AZ254" s="156">
        <f t="shared" si="286"/>
        <v>0</v>
      </c>
      <c r="BA254" s="156">
        <f t="shared" si="286"/>
        <v>4.4700597632090144E-7</v>
      </c>
      <c r="BB254" s="156">
        <f t="shared" si="286"/>
        <v>0</v>
      </c>
      <c r="BC254" s="156">
        <f t="shared" si="286"/>
        <v>0</v>
      </c>
      <c r="BD254" s="156">
        <f t="shared" si="286"/>
        <v>5.177970648362701E-7</v>
      </c>
      <c r="BE254" s="156">
        <f t="shared" si="286"/>
        <v>0</v>
      </c>
      <c r="BF254" s="156">
        <f t="shared" si="286"/>
        <v>1.8974193985495201E-6</v>
      </c>
      <c r="BG254" s="156">
        <f t="shared" si="286"/>
        <v>0</v>
      </c>
      <c r="BH254" s="156">
        <f t="shared" si="286"/>
        <v>8.9559532378742705E-7</v>
      </c>
      <c r="BI254" s="156">
        <f t="shared" si="286"/>
        <v>0</v>
      </c>
      <c r="BJ254" s="156">
        <f t="shared" si="286"/>
        <v>0</v>
      </c>
      <c r="BK254" s="156">
        <f t="shared" si="286"/>
        <v>0</v>
      </c>
      <c r="BL254" s="156">
        <f t="shared" si="286"/>
        <v>1.0367931986366169E-6</v>
      </c>
      <c r="BM254" s="156">
        <f t="shared" si="286"/>
        <v>0</v>
      </c>
      <c r="BN254" s="156">
        <f t="shared" si="286"/>
        <v>1.5489186456812973E-6</v>
      </c>
      <c r="BO254" s="156">
        <f t="shared" ref="BO254:BZ254" si="287">BO95/BO$84</f>
        <v>0</v>
      </c>
      <c r="BP254" s="156">
        <f t="shared" si="287"/>
        <v>3.2537982128838693E-7</v>
      </c>
      <c r="BQ254" s="156">
        <f t="shared" si="287"/>
        <v>8.2259375755390786E-7</v>
      </c>
      <c r="BR254" s="156">
        <f t="shared" si="287"/>
        <v>0</v>
      </c>
      <c r="BS254" s="156">
        <f t="shared" si="287"/>
        <v>0</v>
      </c>
      <c r="BT254" s="156">
        <f t="shared" si="287"/>
        <v>4.5894928151489979E-7</v>
      </c>
      <c r="BU254" s="156">
        <f t="shared" si="287"/>
        <v>0</v>
      </c>
      <c r="BV254" s="156">
        <f t="shared" si="287"/>
        <v>1.0077008498948968E-6</v>
      </c>
      <c r="BW254" s="156">
        <f t="shared" si="287"/>
        <v>3.4186795281948755E-7</v>
      </c>
      <c r="BX254" s="156">
        <f t="shared" si="287"/>
        <v>4.7393589543078404E-6</v>
      </c>
      <c r="BY254" s="156">
        <f t="shared" si="287"/>
        <v>0</v>
      </c>
      <c r="BZ254" s="156">
        <f t="shared" si="287"/>
        <v>4.5434999735803891E-6</v>
      </c>
      <c r="CA254" s="129">
        <f t="shared" si="279"/>
        <v>0</v>
      </c>
      <c r="CB254" s="18"/>
      <c r="CC254" s="250"/>
      <c r="CD254" s="130">
        <f t="shared" ref="CD254:CG254" si="288">CD95/(CD$79+CD$80)</f>
        <v>1.1522305337379327E-3</v>
      </c>
      <c r="CE254" s="130">
        <f t="shared" si="288"/>
        <v>0</v>
      </c>
      <c r="CF254" s="130">
        <f t="shared" si="288"/>
        <v>5.9972465344075037E-6</v>
      </c>
      <c r="CG254" s="131">
        <f t="shared" si="288"/>
        <v>9.1825522352525623E-4</v>
      </c>
      <c r="CH254" s="18"/>
      <c r="CI254" s="18"/>
      <c r="CJ254" s="18"/>
    </row>
    <row r="255" spans="1:88" ht="13.95" customHeight="1" x14ac:dyDescent="0.25">
      <c r="A255" s="153" t="s">
        <v>8</v>
      </c>
      <c r="B255" s="253"/>
      <c r="C255" s="128">
        <f t="shared" ref="C255:AH255" si="289">C96/C$84</f>
        <v>7.7469665377119131E-6</v>
      </c>
      <c r="D255" s="156">
        <f t="shared" si="289"/>
        <v>2.4518882102319504E-4</v>
      </c>
      <c r="E255" s="156">
        <f t="shared" si="289"/>
        <v>5.0906184827767412E-4</v>
      </c>
      <c r="F255" s="156">
        <f t="shared" si="289"/>
        <v>4.2449648911399015E-4</v>
      </c>
      <c r="G255" s="156">
        <f t="shared" si="289"/>
        <v>4.5341531786614826E-4</v>
      </c>
      <c r="H255" s="156">
        <f t="shared" si="289"/>
        <v>1.3728192021587659E-4</v>
      </c>
      <c r="I255" s="156">
        <f t="shared" si="289"/>
        <v>2.1644068957912949E-5</v>
      </c>
      <c r="J255" s="156">
        <f t="shared" si="289"/>
        <v>0</v>
      </c>
      <c r="K255" s="156">
        <f t="shared" si="289"/>
        <v>0.23162813506176086</v>
      </c>
      <c r="L255" s="156">
        <f t="shared" si="289"/>
        <v>0.11758134178886098</v>
      </c>
      <c r="M255" s="156">
        <f t="shared" si="289"/>
        <v>3.1201900087124007E-2</v>
      </c>
      <c r="N255" s="156">
        <f t="shared" si="289"/>
        <v>4.1143196120944404E-4</v>
      </c>
      <c r="O255" s="156">
        <f t="shared" si="289"/>
        <v>1.3834798162516218E-3</v>
      </c>
      <c r="P255" s="156">
        <f t="shared" si="289"/>
        <v>4.6273205150635993E-4</v>
      </c>
      <c r="Q255" s="156">
        <f t="shared" si="289"/>
        <v>2.9365772202860101E-5</v>
      </c>
      <c r="R255" s="156">
        <f t="shared" si="289"/>
        <v>5.6785535380939869E-4</v>
      </c>
      <c r="S255" s="156">
        <f t="shared" si="289"/>
        <v>1.8574016526814438E-4</v>
      </c>
      <c r="T255" s="156">
        <f t="shared" si="289"/>
        <v>1.17505962279481E-2</v>
      </c>
      <c r="U255" s="156">
        <f t="shared" si="289"/>
        <v>8.2196975997073356E-4</v>
      </c>
      <c r="V255" s="156">
        <f t="shared" si="289"/>
        <v>2.1115681074937957E-5</v>
      </c>
      <c r="W255" s="156">
        <f t="shared" si="289"/>
        <v>1.1117696049188899E-4</v>
      </c>
      <c r="X255" s="156">
        <f t="shared" si="289"/>
        <v>6.5769921989091451E-5</v>
      </c>
      <c r="Y255" s="156">
        <f t="shared" si="289"/>
        <v>2.3074300058115036E-4</v>
      </c>
      <c r="Z255" s="156">
        <f t="shared" si="289"/>
        <v>1.0079465040237156E-3</v>
      </c>
      <c r="AA255" s="156">
        <f t="shared" si="289"/>
        <v>8.0561817403755863E-3</v>
      </c>
      <c r="AB255" s="156">
        <f t="shared" si="289"/>
        <v>1.5584372361882818E-3</v>
      </c>
      <c r="AC255" s="156">
        <f t="shared" si="289"/>
        <v>3.34389892425761E-2</v>
      </c>
      <c r="AD255" s="156">
        <f t="shared" si="289"/>
        <v>1.5866327244701325E-3</v>
      </c>
      <c r="AE255" s="156">
        <f t="shared" si="289"/>
        <v>6.9269771396906493E-5</v>
      </c>
      <c r="AF255" s="156">
        <f t="shared" si="289"/>
        <v>5.7355203354025915E-5</v>
      </c>
      <c r="AG255" s="156">
        <f t="shared" si="289"/>
        <v>4.5166371983629942E-5</v>
      </c>
      <c r="AH255" s="156">
        <f t="shared" si="289"/>
        <v>2.4090401741953528E-4</v>
      </c>
      <c r="AI255" s="156">
        <f t="shared" ref="AI255:BN255" si="290">AI96/AI$84</f>
        <v>5.7331020225039244E-5</v>
      </c>
      <c r="AJ255" s="156">
        <f t="shared" si="290"/>
        <v>1.4632500125049701E-4</v>
      </c>
      <c r="AK255" s="156">
        <f t="shared" si="290"/>
        <v>2.2077582150215677E-5</v>
      </c>
      <c r="AL255" s="156">
        <f t="shared" si="290"/>
        <v>2.0794056488574355E-3</v>
      </c>
      <c r="AM255" s="156">
        <f t="shared" si="290"/>
        <v>1.0907812080834356E-3</v>
      </c>
      <c r="AN255" s="156">
        <f t="shared" si="290"/>
        <v>1.3697912492328517E-4</v>
      </c>
      <c r="AO255" s="156">
        <f t="shared" si="290"/>
        <v>7.1159406787750065E-5</v>
      </c>
      <c r="AP255" s="156">
        <f t="shared" si="290"/>
        <v>1.2000274729693812E-4</v>
      </c>
      <c r="AQ255" s="156">
        <f t="shared" si="290"/>
        <v>2.641162095404171E-3</v>
      </c>
      <c r="AR255" s="156">
        <f t="shared" si="290"/>
        <v>5.9423657554406992E-4</v>
      </c>
      <c r="AS255" s="156">
        <f t="shared" si="290"/>
        <v>2.2353273768433234E-5</v>
      </c>
      <c r="AT255" s="156">
        <f t="shared" si="290"/>
        <v>2.8453031271537365E-5</v>
      </c>
      <c r="AU255" s="156">
        <f t="shared" si="290"/>
        <v>0</v>
      </c>
      <c r="AV255" s="156">
        <f t="shared" si="290"/>
        <v>0</v>
      </c>
      <c r="AW255" s="156">
        <f t="shared" si="290"/>
        <v>0</v>
      </c>
      <c r="AX255" s="156">
        <f t="shared" si="290"/>
        <v>0</v>
      </c>
      <c r="AY255" s="156">
        <f t="shared" si="290"/>
        <v>2.002548353523379E-5</v>
      </c>
      <c r="AZ255" s="156">
        <f t="shared" si="290"/>
        <v>0</v>
      </c>
      <c r="BA255" s="156">
        <f t="shared" si="290"/>
        <v>0</v>
      </c>
      <c r="BB255" s="156">
        <f t="shared" si="290"/>
        <v>4.8071307677755467E-5</v>
      </c>
      <c r="BC255" s="156">
        <f t="shared" si="290"/>
        <v>9.9222458640796795E-6</v>
      </c>
      <c r="BD255" s="156">
        <f t="shared" si="290"/>
        <v>0</v>
      </c>
      <c r="BE255" s="156">
        <f t="shared" si="290"/>
        <v>4.9815882541239772E-5</v>
      </c>
      <c r="BF255" s="156">
        <f t="shared" si="290"/>
        <v>7.0074937884967881E-4</v>
      </c>
      <c r="BG255" s="156">
        <f t="shared" si="290"/>
        <v>2.763364542476072E-5</v>
      </c>
      <c r="BH255" s="156">
        <f t="shared" si="290"/>
        <v>3.1044590632740539E-4</v>
      </c>
      <c r="BI255" s="156">
        <f t="shared" si="290"/>
        <v>0</v>
      </c>
      <c r="BJ255" s="156">
        <f t="shared" si="290"/>
        <v>1.8152250233376466E-4</v>
      </c>
      <c r="BK255" s="156">
        <f t="shared" si="290"/>
        <v>0</v>
      </c>
      <c r="BL255" s="156">
        <f t="shared" si="290"/>
        <v>0</v>
      </c>
      <c r="BM255" s="156">
        <f t="shared" si="290"/>
        <v>8.1703428005229023E-5</v>
      </c>
      <c r="BN255" s="156">
        <f t="shared" si="290"/>
        <v>3.86842431758904E-4</v>
      </c>
      <c r="BO255" s="156">
        <f t="shared" ref="BO255:BZ255" si="291">BO96/BO$84</f>
        <v>1.4811643943887106E-4</v>
      </c>
      <c r="BP255" s="156">
        <f t="shared" si="291"/>
        <v>4.645005525700242E-4</v>
      </c>
      <c r="BQ255" s="156">
        <f t="shared" si="291"/>
        <v>8.7184255264901838E-5</v>
      </c>
      <c r="BR255" s="156">
        <f t="shared" si="291"/>
        <v>2.2935353848615631E-4</v>
      </c>
      <c r="BS255" s="156">
        <f t="shared" si="291"/>
        <v>6.6546447601138658E-5</v>
      </c>
      <c r="BT255" s="156">
        <f t="shared" si="291"/>
        <v>7.6332444501558136E-4</v>
      </c>
      <c r="BU255" s="156">
        <f t="shared" si="291"/>
        <v>0</v>
      </c>
      <c r="BV255" s="156">
        <f t="shared" si="291"/>
        <v>0</v>
      </c>
      <c r="BW255" s="156">
        <f t="shared" si="291"/>
        <v>7.532490560456043E-5</v>
      </c>
      <c r="BX255" s="156">
        <f t="shared" si="291"/>
        <v>4.2985985715572111E-3</v>
      </c>
      <c r="BY255" s="156">
        <f t="shared" si="291"/>
        <v>0</v>
      </c>
      <c r="BZ255" s="156">
        <f t="shared" si="291"/>
        <v>1.0503898827810662E-3</v>
      </c>
      <c r="CA255" s="129">
        <f t="shared" si="279"/>
        <v>0</v>
      </c>
      <c r="CB255" s="18"/>
      <c r="CC255" s="250"/>
      <c r="CD255" s="130">
        <f t="shared" ref="CD255:CG255" si="292">CD96/(CD$79+CD$80)</f>
        <v>3.4680511595486757E-3</v>
      </c>
      <c r="CE255" s="130">
        <f t="shared" si="292"/>
        <v>2.0131419155104774E-5</v>
      </c>
      <c r="CF255" s="130">
        <f t="shared" si="292"/>
        <v>8.6292231819639471E-4</v>
      </c>
      <c r="CG255" s="131">
        <f t="shared" si="292"/>
        <v>2.1048831621350919E-3</v>
      </c>
      <c r="CH255" s="18"/>
      <c r="CI255" s="18"/>
      <c r="CJ255" s="18"/>
    </row>
    <row r="256" spans="1:88" ht="13.95" customHeight="1" x14ac:dyDescent="0.25">
      <c r="A256" s="153" t="s">
        <v>9</v>
      </c>
      <c r="B256" s="253"/>
      <c r="C256" s="128">
        <f t="shared" ref="C256:AH256" si="293">C97/C$84</f>
        <v>1.6660352127525993E-5</v>
      </c>
      <c r="D256" s="156">
        <f t="shared" si="293"/>
        <v>9.4921611257207852E-4</v>
      </c>
      <c r="E256" s="156">
        <f t="shared" si="293"/>
        <v>1.2407242180244386E-4</v>
      </c>
      <c r="F256" s="156">
        <f t="shared" si="293"/>
        <v>3.216460524146447E-4</v>
      </c>
      <c r="G256" s="156">
        <f t="shared" si="293"/>
        <v>1.0023221365823741E-4</v>
      </c>
      <c r="H256" s="156">
        <f t="shared" si="293"/>
        <v>1.7468262502901542E-4</v>
      </c>
      <c r="I256" s="156">
        <f t="shared" si="293"/>
        <v>9.0705437834104794E-5</v>
      </c>
      <c r="J256" s="156">
        <f t="shared" si="293"/>
        <v>1.0611026974392095E-4</v>
      </c>
      <c r="K256" s="156">
        <f t="shared" si="293"/>
        <v>2.2229447097633489E-4</v>
      </c>
      <c r="L256" s="156">
        <f t="shared" si="293"/>
        <v>9.4286013174450425E-3</v>
      </c>
      <c r="M256" s="156">
        <f t="shared" si="293"/>
        <v>2.6139132385439077E-4</v>
      </c>
      <c r="N256" s="156">
        <f t="shared" si="293"/>
        <v>9.5797504804794528E-5</v>
      </c>
      <c r="O256" s="156">
        <f t="shared" si="293"/>
        <v>4.2596288644412263E-5</v>
      </c>
      <c r="P256" s="156">
        <f t="shared" si="293"/>
        <v>1.4847416680065403E-5</v>
      </c>
      <c r="Q256" s="156">
        <f t="shared" si="293"/>
        <v>3.284143123170103E-5</v>
      </c>
      <c r="R256" s="156">
        <f t="shared" si="293"/>
        <v>4.7901270024619554E-5</v>
      </c>
      <c r="S256" s="156">
        <f t="shared" si="293"/>
        <v>9.3523854983107904E-5</v>
      </c>
      <c r="T256" s="156">
        <f t="shared" si="293"/>
        <v>6.1035681870076137E-5</v>
      </c>
      <c r="U256" s="156">
        <f t="shared" si="293"/>
        <v>1.8636931861847663E-4</v>
      </c>
      <c r="V256" s="156">
        <f t="shared" si="293"/>
        <v>2.4734821835836935E-4</v>
      </c>
      <c r="W256" s="156">
        <f t="shared" si="293"/>
        <v>1.3007807605926584E-4</v>
      </c>
      <c r="X256" s="156">
        <f t="shared" si="293"/>
        <v>1.7720393489288888E-5</v>
      </c>
      <c r="Y256" s="156">
        <f t="shared" si="293"/>
        <v>1.1130322323458499E-4</v>
      </c>
      <c r="Z256" s="156">
        <f t="shared" si="293"/>
        <v>9.3940605757393287E-5</v>
      </c>
      <c r="AA256" s="156">
        <f t="shared" si="293"/>
        <v>4.7355502124700763E-5</v>
      </c>
      <c r="AB256" s="156">
        <f t="shared" si="293"/>
        <v>2.638433945220249E-4</v>
      </c>
      <c r="AC256" s="156">
        <f t="shared" si="293"/>
        <v>1.029809234002876E-4</v>
      </c>
      <c r="AD256" s="156">
        <f t="shared" si="293"/>
        <v>1.3370457515180022E-4</v>
      </c>
      <c r="AE256" s="156">
        <f t="shared" si="293"/>
        <v>1.807633990461241E-4</v>
      </c>
      <c r="AF256" s="156">
        <f t="shared" si="293"/>
        <v>8.1963865565892372E-5</v>
      </c>
      <c r="AG256" s="156">
        <f t="shared" si="293"/>
        <v>8.9843135598873655E-5</v>
      </c>
      <c r="AH256" s="156">
        <f t="shared" si="293"/>
        <v>7.1675218724432047E-5</v>
      </c>
      <c r="AI256" s="156">
        <f t="shared" ref="AI256:BN256" si="294">AI97/AI$84</f>
        <v>1.8752967629870207E-4</v>
      </c>
      <c r="AJ256" s="156">
        <f t="shared" si="294"/>
        <v>1.8095793223327648E-4</v>
      </c>
      <c r="AK256" s="156">
        <f t="shared" si="294"/>
        <v>1.2120726172702678E-4</v>
      </c>
      <c r="AL256" s="156">
        <f t="shared" si="294"/>
        <v>1.988751250985458E-4</v>
      </c>
      <c r="AM256" s="156">
        <f t="shared" si="294"/>
        <v>9.1329603810349464E-5</v>
      </c>
      <c r="AN256" s="156">
        <f t="shared" si="294"/>
        <v>9.7903255402465291E-5</v>
      </c>
      <c r="AO256" s="156">
        <f t="shared" si="294"/>
        <v>6.8587380036385607E-5</v>
      </c>
      <c r="AP256" s="156">
        <f t="shared" si="294"/>
        <v>3.4613945243048156E-4</v>
      </c>
      <c r="AQ256" s="156">
        <f t="shared" si="294"/>
        <v>4.1863831917510739E-4</v>
      </c>
      <c r="AR256" s="156">
        <f t="shared" si="294"/>
        <v>4.1668170814714597E-4</v>
      </c>
      <c r="AS256" s="156">
        <f t="shared" si="294"/>
        <v>1.0364493719619561E-5</v>
      </c>
      <c r="AT256" s="156">
        <f t="shared" si="294"/>
        <v>6.9551854219313555E-5</v>
      </c>
      <c r="AU256" s="156">
        <f t="shared" si="294"/>
        <v>2.2179900507620293E-6</v>
      </c>
      <c r="AV256" s="156">
        <f t="shared" si="294"/>
        <v>5.9659058194358941E-6</v>
      </c>
      <c r="AW256" s="156">
        <f t="shared" si="294"/>
        <v>6.5084910001956654E-6</v>
      </c>
      <c r="AX256" s="156">
        <f t="shared" si="294"/>
        <v>0</v>
      </c>
      <c r="AY256" s="156">
        <f t="shared" si="294"/>
        <v>4.4954231917767391E-4</v>
      </c>
      <c r="AZ256" s="156">
        <f t="shared" si="294"/>
        <v>0</v>
      </c>
      <c r="BA256" s="156">
        <f t="shared" si="294"/>
        <v>0</v>
      </c>
      <c r="BB256" s="156">
        <f t="shared" si="294"/>
        <v>6.3948069846555438E-5</v>
      </c>
      <c r="BC256" s="156">
        <f t="shared" si="294"/>
        <v>9.532550407182291E-6</v>
      </c>
      <c r="BD256" s="156">
        <f t="shared" si="294"/>
        <v>3.5589918256412966E-5</v>
      </c>
      <c r="BE256" s="156">
        <f t="shared" si="294"/>
        <v>6.7002061560292325E-5</v>
      </c>
      <c r="BF256" s="156">
        <f t="shared" si="294"/>
        <v>1.0532991588045628E-4</v>
      </c>
      <c r="BG256" s="156">
        <f t="shared" si="294"/>
        <v>5.4012183012677038E-5</v>
      </c>
      <c r="BH256" s="156">
        <f t="shared" si="294"/>
        <v>1.0177219588493489E-5</v>
      </c>
      <c r="BI256" s="156">
        <f t="shared" si="294"/>
        <v>1.4942526063916157E-5</v>
      </c>
      <c r="BJ256" s="156">
        <f t="shared" si="294"/>
        <v>7.4024728489684361E-4</v>
      </c>
      <c r="BK256" s="156">
        <f t="shared" si="294"/>
        <v>1.2270568365261694E-4</v>
      </c>
      <c r="BL256" s="156">
        <f t="shared" si="294"/>
        <v>1.0774009322498845E-4</v>
      </c>
      <c r="BM256" s="156">
        <f t="shared" si="294"/>
        <v>2.0730813745326771E-3</v>
      </c>
      <c r="BN256" s="156">
        <f t="shared" si="294"/>
        <v>6.7199835442883083E-4</v>
      </c>
      <c r="BO256" s="156">
        <f t="shared" ref="BO256:BZ256" si="295">BO97/BO$84</f>
        <v>9.5319330823521084E-5</v>
      </c>
      <c r="BP256" s="156">
        <f t="shared" si="295"/>
        <v>2.1901983216708583E-3</v>
      </c>
      <c r="BQ256" s="156">
        <f t="shared" si="295"/>
        <v>7.4973545331341894E-5</v>
      </c>
      <c r="BR256" s="156">
        <f t="shared" si="295"/>
        <v>9.671084310736638E-5</v>
      </c>
      <c r="BS256" s="156">
        <f t="shared" si="295"/>
        <v>2.8687743946103516E-4</v>
      </c>
      <c r="BT256" s="156">
        <f t="shared" si="295"/>
        <v>5.2081564466310826E-4</v>
      </c>
      <c r="BU256" s="156">
        <f t="shared" si="295"/>
        <v>3.5043893836278288E-4</v>
      </c>
      <c r="BV256" s="156">
        <f t="shared" si="295"/>
        <v>3.2750277621584145E-5</v>
      </c>
      <c r="BW256" s="156">
        <f t="shared" si="295"/>
        <v>5.3446496183955951E-3</v>
      </c>
      <c r="BX256" s="156">
        <f t="shared" si="295"/>
        <v>1.5942791404121635E-3</v>
      </c>
      <c r="BY256" s="156">
        <f t="shared" si="295"/>
        <v>7.8767973774128826E-6</v>
      </c>
      <c r="BZ256" s="156">
        <f t="shared" si="295"/>
        <v>6.1634540382347306E-4</v>
      </c>
      <c r="CA256" s="129">
        <f t="shared" si="279"/>
        <v>0</v>
      </c>
      <c r="CB256" s="18"/>
      <c r="CC256" s="250"/>
      <c r="CD256" s="130">
        <f t="shared" ref="CD256:CG256" si="296">CD97/(CD$79+CD$80)</f>
        <v>1.5255118450375263E-2</v>
      </c>
      <c r="CE256" s="130">
        <f t="shared" si="296"/>
        <v>5.9909394309410073E-4</v>
      </c>
      <c r="CF256" s="130">
        <f t="shared" si="296"/>
        <v>4.3139673056230947E-3</v>
      </c>
      <c r="CG256" s="131">
        <f t="shared" si="296"/>
        <v>5.6702260052684571E-3</v>
      </c>
      <c r="CH256" s="18"/>
      <c r="CI256" s="18"/>
      <c r="CJ256" s="18"/>
    </row>
    <row r="257" spans="1:88" ht="13.95" customHeight="1" x14ac:dyDescent="0.25">
      <c r="A257" s="153" t="s">
        <v>10</v>
      </c>
      <c r="B257" s="253"/>
      <c r="C257" s="128">
        <f t="shared" ref="C257:AH257" si="297">C98/C$84</f>
        <v>2.0917781667698914E-5</v>
      </c>
      <c r="D257" s="156">
        <f t="shared" si="297"/>
        <v>4.5779585328533469E-4</v>
      </c>
      <c r="E257" s="156">
        <f t="shared" si="297"/>
        <v>0</v>
      </c>
      <c r="F257" s="156">
        <f t="shared" si="297"/>
        <v>5.6204283754198695E-4</v>
      </c>
      <c r="G257" s="156">
        <f t="shared" si="297"/>
        <v>2.0506969118725868E-4</v>
      </c>
      <c r="H257" s="156">
        <f t="shared" si="297"/>
        <v>1.0224130396768917E-4</v>
      </c>
      <c r="I257" s="156">
        <f t="shared" si="297"/>
        <v>7.0422631074802723E-5</v>
      </c>
      <c r="J257" s="156">
        <f t="shared" si="297"/>
        <v>1.5729002356567528E-5</v>
      </c>
      <c r="K257" s="156">
        <f t="shared" si="297"/>
        <v>9.2745207446112818E-4</v>
      </c>
      <c r="L257" s="156">
        <f t="shared" si="297"/>
        <v>3.9509819498713033E-3</v>
      </c>
      <c r="M257" s="156">
        <f t="shared" si="297"/>
        <v>0.17894668562944246</v>
      </c>
      <c r="N257" s="156">
        <f t="shared" si="297"/>
        <v>1.438533022970357E-4</v>
      </c>
      <c r="O257" s="156">
        <f t="shared" si="297"/>
        <v>2.0487269107083471E-4</v>
      </c>
      <c r="P257" s="156">
        <f t="shared" si="297"/>
        <v>1.5675589168249955E-4</v>
      </c>
      <c r="Q257" s="156">
        <f t="shared" si="297"/>
        <v>7.0807686235519555E-5</v>
      </c>
      <c r="R257" s="156">
        <f t="shared" si="297"/>
        <v>2.9490288251729459E-5</v>
      </c>
      <c r="S257" s="156">
        <f t="shared" si="297"/>
        <v>2.1815351015191469E-5</v>
      </c>
      <c r="T257" s="156">
        <f t="shared" si="297"/>
        <v>9.6911517861808483E-5</v>
      </c>
      <c r="U257" s="156">
        <f t="shared" si="297"/>
        <v>6.8545732892353795E-5</v>
      </c>
      <c r="V257" s="156">
        <f t="shared" si="297"/>
        <v>3.9203331606711664E-5</v>
      </c>
      <c r="W257" s="156">
        <f t="shared" si="297"/>
        <v>3.0153008504810375E-5</v>
      </c>
      <c r="X257" s="156">
        <f t="shared" si="297"/>
        <v>8.2354392818810545E-6</v>
      </c>
      <c r="Y257" s="156">
        <f t="shared" si="297"/>
        <v>9.9417980710078631E-5</v>
      </c>
      <c r="Z257" s="156">
        <f t="shared" si="297"/>
        <v>4.9285147554618074E-5</v>
      </c>
      <c r="AA257" s="156">
        <f t="shared" si="297"/>
        <v>1.3644939987868384E-3</v>
      </c>
      <c r="AB257" s="156">
        <f t="shared" si="297"/>
        <v>2.8120206830921113E-4</v>
      </c>
      <c r="AC257" s="156">
        <f t="shared" si="297"/>
        <v>1.0779454082133948E-2</v>
      </c>
      <c r="AD257" s="156">
        <f t="shared" si="297"/>
        <v>2.4056114922906845E-4</v>
      </c>
      <c r="AE257" s="156">
        <f t="shared" si="297"/>
        <v>3.6845159762202386E-5</v>
      </c>
      <c r="AF257" s="156">
        <f t="shared" si="297"/>
        <v>4.7896470436136325E-5</v>
      </c>
      <c r="AG257" s="156">
        <f t="shared" si="297"/>
        <v>1.2313650464913746E-4</v>
      </c>
      <c r="AH257" s="156">
        <f t="shared" si="297"/>
        <v>5.9023575448492914E-5</v>
      </c>
      <c r="AI257" s="156">
        <f t="shared" ref="AI257:BN257" si="298">AI98/AI$84</f>
        <v>5.8421309040729376E-5</v>
      </c>
      <c r="AJ257" s="156">
        <f t="shared" si="298"/>
        <v>9.6412155345311861E-5</v>
      </c>
      <c r="AK257" s="156">
        <f t="shared" si="298"/>
        <v>1.5952341121504154E-5</v>
      </c>
      <c r="AL257" s="156">
        <f t="shared" si="298"/>
        <v>1.9063589825980544E-4</v>
      </c>
      <c r="AM257" s="156">
        <f t="shared" si="298"/>
        <v>1.5684128242338127E-4</v>
      </c>
      <c r="AN257" s="156">
        <f t="shared" si="298"/>
        <v>9.296856409733973E-5</v>
      </c>
      <c r="AO257" s="156">
        <f t="shared" si="298"/>
        <v>7.9828089542348805E-5</v>
      </c>
      <c r="AP257" s="156">
        <f t="shared" si="298"/>
        <v>3.3318751181313314E-4</v>
      </c>
      <c r="AQ257" s="156">
        <f t="shared" si="298"/>
        <v>1.540711051083293E-4</v>
      </c>
      <c r="AR257" s="156">
        <f t="shared" si="298"/>
        <v>3.2698870607168324E-6</v>
      </c>
      <c r="AS257" s="156">
        <f t="shared" si="298"/>
        <v>4.1999403654876284E-5</v>
      </c>
      <c r="AT257" s="156">
        <f t="shared" si="298"/>
        <v>0</v>
      </c>
      <c r="AU257" s="156">
        <f t="shared" si="298"/>
        <v>0</v>
      </c>
      <c r="AV257" s="156">
        <f t="shared" si="298"/>
        <v>3.214189569386005E-6</v>
      </c>
      <c r="AW257" s="156">
        <f t="shared" si="298"/>
        <v>0</v>
      </c>
      <c r="AX257" s="156">
        <f t="shared" si="298"/>
        <v>0</v>
      </c>
      <c r="AY257" s="156">
        <f t="shared" si="298"/>
        <v>4.1792313464835742E-5</v>
      </c>
      <c r="AZ257" s="156">
        <f t="shared" si="298"/>
        <v>0</v>
      </c>
      <c r="BA257" s="156">
        <f t="shared" si="298"/>
        <v>0</v>
      </c>
      <c r="BB257" s="156">
        <f t="shared" si="298"/>
        <v>9.5874167685990172E-6</v>
      </c>
      <c r="BC257" s="156">
        <f t="shared" si="298"/>
        <v>2.3681493149918271E-6</v>
      </c>
      <c r="BD257" s="156">
        <f t="shared" si="298"/>
        <v>0</v>
      </c>
      <c r="BE257" s="156">
        <f t="shared" si="298"/>
        <v>5.4683296878803608E-6</v>
      </c>
      <c r="BF257" s="156">
        <f t="shared" si="298"/>
        <v>5.3359135768965774E-5</v>
      </c>
      <c r="BG257" s="156">
        <f t="shared" si="298"/>
        <v>4.4673329785987307E-6</v>
      </c>
      <c r="BH257" s="156">
        <f t="shared" si="298"/>
        <v>0</v>
      </c>
      <c r="BI257" s="156">
        <f t="shared" si="298"/>
        <v>0</v>
      </c>
      <c r="BJ257" s="156">
        <f t="shared" si="298"/>
        <v>7.2198742591810433E-5</v>
      </c>
      <c r="BK257" s="156">
        <f t="shared" si="298"/>
        <v>1.9206783182633958E-5</v>
      </c>
      <c r="BL257" s="156">
        <f t="shared" si="298"/>
        <v>0</v>
      </c>
      <c r="BM257" s="156">
        <f t="shared" si="298"/>
        <v>1.3145405040841307E-4</v>
      </c>
      <c r="BN257" s="156">
        <f t="shared" si="298"/>
        <v>1.5922883677603735E-4</v>
      </c>
      <c r="BO257" s="156">
        <f t="shared" ref="BO257:BZ257" si="299">BO98/BO$84</f>
        <v>0</v>
      </c>
      <c r="BP257" s="156">
        <f t="shared" si="299"/>
        <v>3.1962310137328474E-5</v>
      </c>
      <c r="BQ257" s="156">
        <f t="shared" si="299"/>
        <v>7.3712947105480055E-6</v>
      </c>
      <c r="BR257" s="156">
        <f t="shared" si="299"/>
        <v>2.3654799259674504E-5</v>
      </c>
      <c r="BS257" s="156">
        <f t="shared" si="299"/>
        <v>1.9025795954475742E-5</v>
      </c>
      <c r="BT257" s="156">
        <f t="shared" si="299"/>
        <v>1.4631303094695005E-4</v>
      </c>
      <c r="BU257" s="156">
        <f t="shared" si="299"/>
        <v>0</v>
      </c>
      <c r="BV257" s="156">
        <f t="shared" si="299"/>
        <v>3.3254128046531593E-5</v>
      </c>
      <c r="BW257" s="156">
        <f t="shared" si="299"/>
        <v>1.4745904364947231E-4</v>
      </c>
      <c r="BX257" s="156">
        <f t="shared" si="299"/>
        <v>2.431497202644892E-4</v>
      </c>
      <c r="BY257" s="156">
        <f t="shared" si="299"/>
        <v>1.0402574196830465E-3</v>
      </c>
      <c r="BZ257" s="156">
        <f t="shared" si="299"/>
        <v>4.1620703461687018E-5</v>
      </c>
      <c r="CA257" s="129">
        <f t="shared" si="279"/>
        <v>0</v>
      </c>
      <c r="CB257" s="18"/>
      <c r="CC257" s="250"/>
      <c r="CD257" s="130">
        <f t="shared" ref="CD257:CG257" si="300">CD98/(CD$79+CD$80)</f>
        <v>7.016624792501462E-3</v>
      </c>
      <c r="CE257" s="130">
        <f t="shared" si="300"/>
        <v>1.8869412626710324E-4</v>
      </c>
      <c r="CF257" s="130">
        <f t="shared" si="300"/>
        <v>1.5855096351399524E-4</v>
      </c>
      <c r="CG257" s="131">
        <f t="shared" si="300"/>
        <v>1.7963367810212825E-3</v>
      </c>
      <c r="CH257" s="18"/>
      <c r="CI257" s="18"/>
      <c r="CJ257" s="18"/>
    </row>
    <row r="258" spans="1:88" ht="13.95" customHeight="1" x14ac:dyDescent="0.25">
      <c r="A258" s="153" t="s">
        <v>11</v>
      </c>
      <c r="B258" s="253"/>
      <c r="C258" s="128">
        <f t="shared" ref="C258:AH258" si="301">C99/C$84</f>
        <v>4.1392324095599004E-4</v>
      </c>
      <c r="D258" s="156">
        <f t="shared" si="301"/>
        <v>3.1000485946518774E-3</v>
      </c>
      <c r="E258" s="156">
        <f t="shared" si="301"/>
        <v>0</v>
      </c>
      <c r="F258" s="156">
        <f t="shared" si="301"/>
        <v>6.6850206149394098E-4</v>
      </c>
      <c r="G258" s="156">
        <f t="shared" si="301"/>
        <v>2.6818889600447308E-4</v>
      </c>
      <c r="H258" s="156">
        <f t="shared" si="301"/>
        <v>1.3633891539625625E-4</v>
      </c>
      <c r="I258" s="156">
        <f t="shared" si="301"/>
        <v>1.8508628360445895E-4</v>
      </c>
      <c r="J258" s="156">
        <f t="shared" si="301"/>
        <v>5.7955324067660358E-5</v>
      </c>
      <c r="K258" s="156">
        <f t="shared" si="301"/>
        <v>3.4505914841024388E-4</v>
      </c>
      <c r="L258" s="156">
        <f t="shared" si="301"/>
        <v>1.6557841178704163E-4</v>
      </c>
      <c r="M258" s="156">
        <f t="shared" si="301"/>
        <v>5.7374816432440869E-4</v>
      </c>
      <c r="N258" s="156">
        <f t="shared" si="301"/>
        <v>3.5376500421875456E-2</v>
      </c>
      <c r="O258" s="156">
        <f t="shared" si="301"/>
        <v>1.2165155414877715E-3</v>
      </c>
      <c r="P258" s="156">
        <f t="shared" si="301"/>
        <v>2.3546958312706739E-4</v>
      </c>
      <c r="Q258" s="156">
        <f t="shared" si="301"/>
        <v>5.2755538830621261E-5</v>
      </c>
      <c r="R258" s="156">
        <f t="shared" si="301"/>
        <v>1.8950819122127508E-4</v>
      </c>
      <c r="S258" s="156">
        <f t="shared" si="301"/>
        <v>4.665870027854831E-5</v>
      </c>
      <c r="T258" s="156">
        <f t="shared" si="301"/>
        <v>4.8741518667261275E-4</v>
      </c>
      <c r="U258" s="156">
        <f t="shared" si="301"/>
        <v>1.6880659602828893E-3</v>
      </c>
      <c r="V258" s="156">
        <f t="shared" si="301"/>
        <v>7.0546669037550158E-5</v>
      </c>
      <c r="W258" s="156">
        <f t="shared" si="301"/>
        <v>9.991164786563101E-4</v>
      </c>
      <c r="X258" s="156">
        <f t="shared" si="301"/>
        <v>4.7666154602197755E-4</v>
      </c>
      <c r="Y258" s="156">
        <f t="shared" si="301"/>
        <v>9.2406033121856059E-4</v>
      </c>
      <c r="Z258" s="156">
        <f t="shared" si="301"/>
        <v>5.066984555166926E-4</v>
      </c>
      <c r="AA258" s="156">
        <f t="shared" si="301"/>
        <v>2.9813616316514237E-4</v>
      </c>
      <c r="AB258" s="156">
        <f t="shared" si="301"/>
        <v>1.5245645929344539E-3</v>
      </c>
      <c r="AC258" s="156">
        <f t="shared" si="301"/>
        <v>3.0694987559054008E-2</v>
      </c>
      <c r="AD258" s="156">
        <f t="shared" si="301"/>
        <v>7.6022677458594222E-3</v>
      </c>
      <c r="AE258" s="156">
        <f t="shared" si="301"/>
        <v>1.1138474715346643E-4</v>
      </c>
      <c r="AF258" s="156">
        <f t="shared" si="301"/>
        <v>9.2903018724913697E-5</v>
      </c>
      <c r="AG258" s="156">
        <f t="shared" si="301"/>
        <v>3.5986215076388086E-5</v>
      </c>
      <c r="AH258" s="156">
        <f t="shared" si="301"/>
        <v>5.5301273790448011E-4</v>
      </c>
      <c r="AI258" s="156">
        <f t="shared" ref="AI258:BN258" si="302">AI99/AI$84</f>
        <v>7.1959061835548461E-5</v>
      </c>
      <c r="AJ258" s="156">
        <f t="shared" si="302"/>
        <v>2.5308913985022555E-3</v>
      </c>
      <c r="AK258" s="156">
        <f t="shared" si="302"/>
        <v>3.6980427145305083E-5</v>
      </c>
      <c r="AL258" s="156">
        <f t="shared" si="302"/>
        <v>5.2565580151788427E-4</v>
      </c>
      <c r="AM258" s="156">
        <f t="shared" si="302"/>
        <v>4.4219207146150831E-4</v>
      </c>
      <c r="AN258" s="156">
        <f t="shared" si="302"/>
        <v>3.4605319723463214E-4</v>
      </c>
      <c r="AO258" s="156">
        <f t="shared" si="302"/>
        <v>7.0968886287649E-5</v>
      </c>
      <c r="AP258" s="156">
        <f t="shared" si="302"/>
        <v>2.007318682057874E-4</v>
      </c>
      <c r="AQ258" s="156">
        <f t="shared" si="302"/>
        <v>2.7723513532191841E-4</v>
      </c>
      <c r="AR258" s="156">
        <f t="shared" si="302"/>
        <v>1.3046849372260161E-4</v>
      </c>
      <c r="AS258" s="156">
        <f t="shared" si="302"/>
        <v>3.8673484028431199E-6</v>
      </c>
      <c r="AT258" s="156">
        <f t="shared" si="302"/>
        <v>4.4862451422847269E-5</v>
      </c>
      <c r="AU258" s="156">
        <f t="shared" si="302"/>
        <v>0</v>
      </c>
      <c r="AV258" s="156">
        <f t="shared" si="302"/>
        <v>1.6556544832232947E-5</v>
      </c>
      <c r="AW258" s="156">
        <f t="shared" si="302"/>
        <v>1.1646773368771192E-5</v>
      </c>
      <c r="AX258" s="156">
        <f t="shared" si="302"/>
        <v>0</v>
      </c>
      <c r="AY258" s="156">
        <f t="shared" si="302"/>
        <v>8.2820878511088959E-5</v>
      </c>
      <c r="AZ258" s="156">
        <f t="shared" si="302"/>
        <v>0</v>
      </c>
      <c r="BA258" s="156">
        <f t="shared" si="302"/>
        <v>0</v>
      </c>
      <c r="BB258" s="156">
        <f t="shared" si="302"/>
        <v>8.4121273049923579E-4</v>
      </c>
      <c r="BC258" s="156">
        <f t="shared" si="302"/>
        <v>4.8262283508061282E-6</v>
      </c>
      <c r="BD258" s="156">
        <f t="shared" si="302"/>
        <v>2.8927596022186293E-5</v>
      </c>
      <c r="BE258" s="156">
        <f t="shared" si="302"/>
        <v>3.8578765490320785E-5</v>
      </c>
      <c r="BF258" s="156">
        <f t="shared" si="302"/>
        <v>8.094113483080758E-5</v>
      </c>
      <c r="BG258" s="156">
        <f t="shared" si="302"/>
        <v>0</v>
      </c>
      <c r="BH258" s="156">
        <f t="shared" si="302"/>
        <v>1.8783076472523582E-4</v>
      </c>
      <c r="BI258" s="156">
        <f t="shared" si="302"/>
        <v>0</v>
      </c>
      <c r="BJ258" s="156">
        <f t="shared" si="302"/>
        <v>2.1037509718414816E-4</v>
      </c>
      <c r="BK258" s="156">
        <f t="shared" si="302"/>
        <v>0</v>
      </c>
      <c r="BL258" s="156">
        <f t="shared" si="302"/>
        <v>0</v>
      </c>
      <c r="BM258" s="156">
        <f t="shared" si="302"/>
        <v>0</v>
      </c>
      <c r="BN258" s="156">
        <f t="shared" si="302"/>
        <v>5.2423151563083502E-4</v>
      </c>
      <c r="BO258" s="156">
        <f t="shared" ref="BO258:BZ258" si="303">BO99/BO$84</f>
        <v>8.5571361667992387E-5</v>
      </c>
      <c r="BP258" s="156">
        <f t="shared" si="303"/>
        <v>2.1619403356528132E-4</v>
      </c>
      <c r="BQ258" s="156">
        <f t="shared" si="303"/>
        <v>6.321152290190224E-5</v>
      </c>
      <c r="BR258" s="156">
        <f t="shared" si="303"/>
        <v>2.1846081161647279E-5</v>
      </c>
      <c r="BS258" s="156">
        <f t="shared" si="303"/>
        <v>0</v>
      </c>
      <c r="BT258" s="156">
        <f t="shared" si="303"/>
        <v>1.1996934218799481E-4</v>
      </c>
      <c r="BU258" s="156">
        <f t="shared" si="303"/>
        <v>2.5801005052943961E-4</v>
      </c>
      <c r="BV258" s="156">
        <f t="shared" si="303"/>
        <v>0</v>
      </c>
      <c r="BW258" s="156">
        <f t="shared" si="303"/>
        <v>0</v>
      </c>
      <c r="BX258" s="156">
        <f t="shared" si="303"/>
        <v>1.3873958191023778E-3</v>
      </c>
      <c r="BY258" s="156">
        <f t="shared" si="303"/>
        <v>6.9167198102791606E-4</v>
      </c>
      <c r="BZ258" s="156">
        <f t="shared" si="303"/>
        <v>2.7508929099299929E-3</v>
      </c>
      <c r="CA258" s="129">
        <f t="shared" si="279"/>
        <v>0</v>
      </c>
      <c r="CB258" s="18"/>
      <c r="CC258" s="250"/>
      <c r="CD258" s="130">
        <f t="shared" ref="CD258:CG258" si="304">CD99/(CD$79+CD$80)</f>
        <v>5.8261387863059596E-4</v>
      </c>
      <c r="CE258" s="130">
        <f t="shared" si="304"/>
        <v>0</v>
      </c>
      <c r="CF258" s="130">
        <f t="shared" si="304"/>
        <v>3.2788732070084827E-4</v>
      </c>
      <c r="CG258" s="131">
        <f t="shared" si="304"/>
        <v>0</v>
      </c>
      <c r="CH258" s="18"/>
      <c r="CI258" s="18"/>
      <c r="CJ258" s="18"/>
    </row>
    <row r="259" spans="1:88" ht="13.95" customHeight="1" x14ac:dyDescent="0.25">
      <c r="A259" s="153" t="s">
        <v>12</v>
      </c>
      <c r="B259" s="253"/>
      <c r="C259" s="128">
        <f t="shared" ref="C259:AH259" si="305">C100/C$84</f>
        <v>3.3680350129450156E-4</v>
      </c>
      <c r="D259" s="156">
        <f t="shared" si="305"/>
        <v>4.2234686711330649E-4</v>
      </c>
      <c r="E259" s="156">
        <f t="shared" si="305"/>
        <v>0</v>
      </c>
      <c r="F259" s="156">
        <f t="shared" si="305"/>
        <v>1.190384252324755E-4</v>
      </c>
      <c r="G259" s="156">
        <f t="shared" si="305"/>
        <v>4.5300897105402031E-4</v>
      </c>
      <c r="H259" s="156">
        <f t="shared" si="305"/>
        <v>4.5288553651877889E-3</v>
      </c>
      <c r="I259" s="156">
        <f t="shared" si="305"/>
        <v>1.0917277457452615E-2</v>
      </c>
      <c r="J259" s="156">
        <f t="shared" si="305"/>
        <v>2.5065859147751834E-2</v>
      </c>
      <c r="K259" s="156">
        <f t="shared" si="305"/>
        <v>6.1561458549136121E-3</v>
      </c>
      <c r="L259" s="156">
        <f t="shared" si="305"/>
        <v>1.5113212287360552E-3</v>
      </c>
      <c r="M259" s="156">
        <f t="shared" si="305"/>
        <v>5.0112230314713997E-3</v>
      </c>
      <c r="N259" s="156">
        <f t="shared" si="305"/>
        <v>1.2393056219943533E-2</v>
      </c>
      <c r="O259" s="156">
        <f t="shared" si="305"/>
        <v>0.15539795069534071</v>
      </c>
      <c r="P259" s="156">
        <f t="shared" si="305"/>
        <v>0.12432420938438805</v>
      </c>
      <c r="Q259" s="156">
        <f t="shared" si="305"/>
        <v>4.9370317868347108E-4</v>
      </c>
      <c r="R259" s="156">
        <f t="shared" si="305"/>
        <v>2.9191072619039193E-3</v>
      </c>
      <c r="S259" s="156">
        <f t="shared" si="305"/>
        <v>3.2219277723319686E-3</v>
      </c>
      <c r="T259" s="156">
        <f t="shared" si="305"/>
        <v>4.6120322540131806E-3</v>
      </c>
      <c r="U259" s="156">
        <f t="shared" si="305"/>
        <v>8.7978338350403109E-3</v>
      </c>
      <c r="V259" s="156">
        <f t="shared" si="305"/>
        <v>5.6498540102721106E-4</v>
      </c>
      <c r="W259" s="156">
        <f t="shared" si="305"/>
        <v>8.4380938760705566E-4</v>
      </c>
      <c r="X259" s="156">
        <f t="shared" si="305"/>
        <v>3.603714637485192E-4</v>
      </c>
      <c r="Y259" s="156">
        <f t="shared" si="305"/>
        <v>1.7476834530803188E-3</v>
      </c>
      <c r="Z259" s="156">
        <f t="shared" si="305"/>
        <v>1.3057617936022617E-3</v>
      </c>
      <c r="AA259" s="156">
        <f t="shared" si="305"/>
        <v>1.0054578925934175E-3</v>
      </c>
      <c r="AB259" s="156">
        <f t="shared" si="305"/>
        <v>1.0504742930289425E-3</v>
      </c>
      <c r="AC259" s="156">
        <f t="shared" si="305"/>
        <v>9.9287135875468589E-3</v>
      </c>
      <c r="AD259" s="156">
        <f t="shared" si="305"/>
        <v>6.7807648069976752E-3</v>
      </c>
      <c r="AE259" s="156">
        <f t="shared" si="305"/>
        <v>8.9560740585098084E-4</v>
      </c>
      <c r="AF259" s="156">
        <f t="shared" si="305"/>
        <v>2.4294848579913976E-4</v>
      </c>
      <c r="AG259" s="156">
        <f t="shared" si="305"/>
        <v>4.6671917716417611E-4</v>
      </c>
      <c r="AH259" s="156">
        <f t="shared" si="305"/>
        <v>1.0913872108615926E-3</v>
      </c>
      <c r="AI259" s="156">
        <f t="shared" ref="AI259:BN259" si="306">AI100/AI$84</f>
        <v>4.6273674485915195E-4</v>
      </c>
      <c r="AJ259" s="156">
        <f t="shared" si="306"/>
        <v>4.07561789790415E-4</v>
      </c>
      <c r="AK259" s="156">
        <f t="shared" si="306"/>
        <v>8.1353123370120589E-4</v>
      </c>
      <c r="AL259" s="156">
        <f t="shared" si="306"/>
        <v>4.168951444157824E-3</v>
      </c>
      <c r="AM259" s="156">
        <f t="shared" si="306"/>
        <v>1.6272243854170952E-3</v>
      </c>
      <c r="AN259" s="156">
        <f t="shared" si="306"/>
        <v>7.0588400158861362E-4</v>
      </c>
      <c r="AO259" s="156">
        <f t="shared" si="306"/>
        <v>3.296957254249036E-4</v>
      </c>
      <c r="AP259" s="156">
        <f t="shared" si="306"/>
        <v>1.2551892774086797E-3</v>
      </c>
      <c r="AQ259" s="156">
        <f t="shared" si="306"/>
        <v>1.3067856151310427E-3</v>
      </c>
      <c r="AR259" s="156">
        <f t="shared" si="306"/>
        <v>2.7659320669191543E-3</v>
      </c>
      <c r="AS259" s="156">
        <f t="shared" si="306"/>
        <v>6.738026979395928E-2</v>
      </c>
      <c r="AT259" s="156">
        <f t="shared" si="306"/>
        <v>1.3821398666712031E-2</v>
      </c>
      <c r="AU259" s="156">
        <f t="shared" si="306"/>
        <v>1.3862437817262683E-5</v>
      </c>
      <c r="AV259" s="156">
        <f t="shared" si="306"/>
        <v>3.619778670443779E-4</v>
      </c>
      <c r="AW259" s="156">
        <f t="shared" si="306"/>
        <v>3.0882218875665261E-4</v>
      </c>
      <c r="AX259" s="156">
        <f t="shared" si="306"/>
        <v>3.2382102879153656E-3</v>
      </c>
      <c r="AY259" s="156">
        <f t="shared" si="306"/>
        <v>2.6838730427724776E-3</v>
      </c>
      <c r="AZ259" s="156">
        <f t="shared" si="306"/>
        <v>7.5859775078557581E-3</v>
      </c>
      <c r="BA259" s="156">
        <f t="shared" si="306"/>
        <v>2.667036324053307E-3</v>
      </c>
      <c r="BB259" s="156">
        <f t="shared" si="306"/>
        <v>7.9745576036734989E-4</v>
      </c>
      <c r="BC259" s="156">
        <f t="shared" si="306"/>
        <v>1.0299650925797998E-3</v>
      </c>
      <c r="BD259" s="156">
        <f t="shared" si="306"/>
        <v>6.1272652672291969E-4</v>
      </c>
      <c r="BE259" s="156">
        <f t="shared" si="306"/>
        <v>6.7578940296596191E-4</v>
      </c>
      <c r="BF259" s="156">
        <f t="shared" si="306"/>
        <v>2.6374592425057485E-3</v>
      </c>
      <c r="BG259" s="156">
        <f t="shared" si="306"/>
        <v>1.5515685625098906E-3</v>
      </c>
      <c r="BH259" s="156">
        <f t="shared" si="306"/>
        <v>8.9103592941178189E-4</v>
      </c>
      <c r="BI259" s="156">
        <f t="shared" si="306"/>
        <v>0</v>
      </c>
      <c r="BJ259" s="156">
        <f t="shared" si="306"/>
        <v>2.6017776964733924E-4</v>
      </c>
      <c r="BK259" s="156">
        <f t="shared" si="306"/>
        <v>2.0777540349796735E-4</v>
      </c>
      <c r="BL259" s="156">
        <f t="shared" si="306"/>
        <v>2.9393087181348092E-4</v>
      </c>
      <c r="BM259" s="156">
        <f t="shared" si="306"/>
        <v>5.4871397763511765E-4</v>
      </c>
      <c r="BN259" s="156">
        <f t="shared" si="306"/>
        <v>1.7831925908405935E-3</v>
      </c>
      <c r="BO259" s="156">
        <f t="shared" ref="BO259:BZ259" si="307">BO100/BO$84</f>
        <v>2.3792000047211787E-2</v>
      </c>
      <c r="BP259" s="156">
        <f t="shared" si="307"/>
        <v>1.9537306223176083E-3</v>
      </c>
      <c r="BQ259" s="156">
        <f t="shared" si="307"/>
        <v>1.3832608430596766E-3</v>
      </c>
      <c r="BR259" s="156">
        <f t="shared" si="307"/>
        <v>4.742681153575748E-4</v>
      </c>
      <c r="BS259" s="156">
        <f t="shared" si="307"/>
        <v>4.9125131213330678E-4</v>
      </c>
      <c r="BT259" s="156">
        <f t="shared" si="307"/>
        <v>5.94917595656504E-3</v>
      </c>
      <c r="BU259" s="156">
        <f t="shared" si="307"/>
        <v>8.1401676669910737E-3</v>
      </c>
      <c r="BV259" s="156">
        <f t="shared" si="307"/>
        <v>3.8212016228014486E-3</v>
      </c>
      <c r="BW259" s="156">
        <f t="shared" si="307"/>
        <v>3.4597036825332141E-4</v>
      </c>
      <c r="BX259" s="156">
        <f t="shared" si="307"/>
        <v>3.0680137161169321E-2</v>
      </c>
      <c r="BY259" s="156">
        <f t="shared" si="307"/>
        <v>1.5716440050215325E-4</v>
      </c>
      <c r="BZ259" s="156">
        <f t="shared" si="307"/>
        <v>1.5027766394097803E-3</v>
      </c>
      <c r="CA259" s="129">
        <f t="shared" si="279"/>
        <v>0</v>
      </c>
      <c r="CB259" s="18"/>
      <c r="CC259" s="250"/>
      <c r="CD259" s="130">
        <f t="shared" ref="CD259:CG259" si="308">CD100/(CD$79+CD$80)</f>
        <v>9.7656464949424904E-4</v>
      </c>
      <c r="CE259" s="130">
        <f t="shared" si="308"/>
        <v>0</v>
      </c>
      <c r="CF259" s="130">
        <f t="shared" si="308"/>
        <v>1.0950864317891373E-3</v>
      </c>
      <c r="CG259" s="131">
        <f t="shared" si="308"/>
        <v>1.8470875994064939E-3</v>
      </c>
      <c r="CH259" s="18"/>
      <c r="CI259" s="18"/>
      <c r="CJ259" s="18"/>
    </row>
    <row r="260" spans="1:88" ht="13.95" customHeight="1" x14ac:dyDescent="0.25">
      <c r="A260" s="153" t="s">
        <v>13</v>
      </c>
      <c r="B260" s="253"/>
      <c r="C260" s="128">
        <f t="shared" ref="C260:AH260" si="309">C101/C$84</f>
        <v>4.2768698577079565E-7</v>
      </c>
      <c r="D260" s="156">
        <f t="shared" si="309"/>
        <v>3.5622755712087159E-6</v>
      </c>
      <c r="E260" s="156">
        <f t="shared" si="309"/>
        <v>0</v>
      </c>
      <c r="F260" s="156">
        <f t="shared" si="309"/>
        <v>0</v>
      </c>
      <c r="G260" s="156">
        <f t="shared" si="309"/>
        <v>1.2867649050719666E-6</v>
      </c>
      <c r="H260" s="156">
        <f t="shared" si="309"/>
        <v>3.1794206213428867E-6</v>
      </c>
      <c r="I260" s="156">
        <f t="shared" si="309"/>
        <v>1.1071599215368469E-5</v>
      </c>
      <c r="J260" s="156">
        <f t="shared" si="309"/>
        <v>7.0175548975455135E-6</v>
      </c>
      <c r="K260" s="156">
        <f t="shared" si="309"/>
        <v>7.1816913846402378E-6</v>
      </c>
      <c r="L260" s="156">
        <f t="shared" si="309"/>
        <v>4.7584276400407113E-6</v>
      </c>
      <c r="M260" s="156">
        <f t="shared" si="309"/>
        <v>1.0617815961588989E-5</v>
      </c>
      <c r="N260" s="156">
        <f t="shared" si="309"/>
        <v>2.3033279843775733E-6</v>
      </c>
      <c r="O260" s="156">
        <f t="shared" si="309"/>
        <v>6.8265557173138991E-5</v>
      </c>
      <c r="P260" s="156">
        <f t="shared" si="309"/>
        <v>2.8963654046238138E-3</v>
      </c>
      <c r="Q260" s="156">
        <f t="shared" si="309"/>
        <v>5.8518748954974838E-7</v>
      </c>
      <c r="R260" s="156">
        <f t="shared" si="309"/>
        <v>1.9154559388919588E-5</v>
      </c>
      <c r="S260" s="156">
        <f t="shared" si="309"/>
        <v>4.2391975474315277E-5</v>
      </c>
      <c r="T260" s="156">
        <f t="shared" si="309"/>
        <v>8.7546391956653164E-6</v>
      </c>
      <c r="U260" s="156">
        <f t="shared" si="309"/>
        <v>7.2678842915283362E-6</v>
      </c>
      <c r="V260" s="156">
        <f t="shared" si="309"/>
        <v>1.610654544236305E-7</v>
      </c>
      <c r="W260" s="156">
        <f t="shared" si="309"/>
        <v>3.5097647694746758E-6</v>
      </c>
      <c r="X260" s="156">
        <f t="shared" si="309"/>
        <v>9.3713619414508541E-7</v>
      </c>
      <c r="Y260" s="156">
        <f t="shared" si="309"/>
        <v>5.9253462004443041E-6</v>
      </c>
      <c r="Z260" s="156">
        <f t="shared" si="309"/>
        <v>2.3990208459549364E-6</v>
      </c>
      <c r="AA260" s="156">
        <f t="shared" si="309"/>
        <v>2.7272365612499385E-6</v>
      </c>
      <c r="AB260" s="156">
        <f t="shared" si="309"/>
        <v>8.0246910451712398E-7</v>
      </c>
      <c r="AC260" s="156">
        <f t="shared" si="309"/>
        <v>1.8773153178616013E-6</v>
      </c>
      <c r="AD260" s="156">
        <f t="shared" si="309"/>
        <v>9.9437041016785044E-6</v>
      </c>
      <c r="AE260" s="156">
        <f t="shared" si="309"/>
        <v>1.0888049575118907E-6</v>
      </c>
      <c r="AF260" s="156">
        <f t="shared" si="309"/>
        <v>3.3065673649229779E-6</v>
      </c>
      <c r="AG260" s="156">
        <f t="shared" si="309"/>
        <v>2.8152481182208368E-6</v>
      </c>
      <c r="AH260" s="156">
        <f t="shared" si="309"/>
        <v>5.2802312845861682E-6</v>
      </c>
      <c r="AI260" s="156">
        <f t="shared" ref="AI260:BN260" si="310">AI101/AI$84</f>
        <v>1.8171480261502138E-6</v>
      </c>
      <c r="AJ260" s="156">
        <f t="shared" si="310"/>
        <v>2.3779042154898687E-6</v>
      </c>
      <c r="AK260" s="156">
        <f t="shared" si="310"/>
        <v>9.4263833899797273E-6</v>
      </c>
      <c r="AL260" s="156">
        <f t="shared" si="310"/>
        <v>1.4794536642544264E-4</v>
      </c>
      <c r="AM260" s="156">
        <f t="shared" si="310"/>
        <v>4.7569788491090174E-5</v>
      </c>
      <c r="AN260" s="156">
        <f t="shared" si="310"/>
        <v>5.6870085842015529E-6</v>
      </c>
      <c r="AO260" s="156">
        <f t="shared" si="310"/>
        <v>4.8582727525773139E-6</v>
      </c>
      <c r="AP260" s="156">
        <f t="shared" si="310"/>
        <v>2.6809124396124471E-6</v>
      </c>
      <c r="AQ260" s="156">
        <f t="shared" si="310"/>
        <v>5.3722597993003331E-6</v>
      </c>
      <c r="AR260" s="156">
        <f t="shared" si="310"/>
        <v>3.5314780255741793E-6</v>
      </c>
      <c r="AS260" s="156">
        <f t="shared" si="310"/>
        <v>1.9571103327427892E-3</v>
      </c>
      <c r="AT260" s="156">
        <f t="shared" si="310"/>
        <v>7.6838238947051169E-4</v>
      </c>
      <c r="AU260" s="156">
        <f t="shared" si="310"/>
        <v>2.1070905482239277E-6</v>
      </c>
      <c r="AV260" s="156">
        <f t="shared" si="310"/>
        <v>1.4082312573784728E-5</v>
      </c>
      <c r="AW260" s="156">
        <f t="shared" si="310"/>
        <v>6.8510431581007006E-6</v>
      </c>
      <c r="AX260" s="156">
        <f t="shared" si="310"/>
        <v>3.4077355597205659E-5</v>
      </c>
      <c r="AY260" s="156">
        <f t="shared" si="310"/>
        <v>7.5886042870359631E-5</v>
      </c>
      <c r="AZ260" s="156">
        <f t="shared" si="310"/>
        <v>5.728485585945062E-4</v>
      </c>
      <c r="BA260" s="156">
        <f t="shared" si="310"/>
        <v>4.4948934285601755E-5</v>
      </c>
      <c r="BB260" s="156">
        <f t="shared" si="310"/>
        <v>2.5822109163426683E-6</v>
      </c>
      <c r="BC260" s="156">
        <f t="shared" si="310"/>
        <v>8.9030423614249699E-6</v>
      </c>
      <c r="BD260" s="156">
        <f t="shared" si="310"/>
        <v>2.9790591130246743E-5</v>
      </c>
      <c r="BE260" s="156">
        <f t="shared" si="310"/>
        <v>7.5414876464723657E-6</v>
      </c>
      <c r="BF260" s="156">
        <f t="shared" si="310"/>
        <v>6.5576665554748043E-5</v>
      </c>
      <c r="BG260" s="156">
        <f t="shared" si="310"/>
        <v>1.9249950534923769E-4</v>
      </c>
      <c r="BH260" s="156">
        <f t="shared" si="310"/>
        <v>2.5369772990196568E-4</v>
      </c>
      <c r="BI260" s="156">
        <f t="shared" si="310"/>
        <v>0</v>
      </c>
      <c r="BJ260" s="156">
        <f t="shared" si="310"/>
        <v>2.7507485533349294E-5</v>
      </c>
      <c r="BK260" s="156">
        <f t="shared" si="310"/>
        <v>8.4758678822149852E-6</v>
      </c>
      <c r="BL260" s="156">
        <f t="shared" si="310"/>
        <v>8.2943455890929352E-6</v>
      </c>
      <c r="BM260" s="156">
        <f t="shared" si="310"/>
        <v>4.4754744002864302E-6</v>
      </c>
      <c r="BN260" s="156">
        <f t="shared" si="310"/>
        <v>5.8858908535889297E-6</v>
      </c>
      <c r="BO260" s="156">
        <f t="shared" ref="BO260:BZ260" si="311">BO101/BO$84</f>
        <v>2.2552058370628535E-5</v>
      </c>
      <c r="BP260" s="156">
        <f t="shared" si="311"/>
        <v>7.9818173083743532E-5</v>
      </c>
      <c r="BQ260" s="156">
        <f t="shared" si="311"/>
        <v>1.2404072881764188E-4</v>
      </c>
      <c r="BR260" s="156">
        <f t="shared" si="311"/>
        <v>9.0435904901361302E-6</v>
      </c>
      <c r="BS260" s="156">
        <f t="shared" si="311"/>
        <v>5.1290740245936908E-6</v>
      </c>
      <c r="BT260" s="156">
        <f t="shared" si="311"/>
        <v>1.2611926256029447E-4</v>
      </c>
      <c r="BU260" s="156">
        <f t="shared" si="311"/>
        <v>1.4927018249021216E-4</v>
      </c>
      <c r="BV260" s="156">
        <f t="shared" si="311"/>
        <v>9.0693076490540715E-5</v>
      </c>
      <c r="BW260" s="156">
        <f t="shared" si="311"/>
        <v>1.4928233939784291E-5</v>
      </c>
      <c r="BX260" s="156">
        <f t="shared" si="311"/>
        <v>2.2151351634264906E-4</v>
      </c>
      <c r="BY260" s="156">
        <f t="shared" si="311"/>
        <v>0</v>
      </c>
      <c r="BZ260" s="156">
        <f t="shared" si="311"/>
        <v>1.0657592530620665E-5</v>
      </c>
      <c r="CA260" s="129">
        <f t="shared" si="279"/>
        <v>0</v>
      </c>
      <c r="CB260" s="18"/>
      <c r="CC260" s="250"/>
      <c r="CD260" s="130">
        <f t="shared" ref="CD260:CG260" si="312">CD101/(CD$79+CD$80)</f>
        <v>4.4489546559345553E-5</v>
      </c>
      <c r="CE260" s="130">
        <f t="shared" si="312"/>
        <v>0</v>
      </c>
      <c r="CF260" s="130">
        <f t="shared" si="312"/>
        <v>2.8331526221701701E-5</v>
      </c>
      <c r="CG260" s="131">
        <f t="shared" si="312"/>
        <v>0</v>
      </c>
      <c r="CH260" s="18"/>
      <c r="CI260" s="18"/>
      <c r="CJ260" s="18"/>
    </row>
    <row r="261" spans="1:88" ht="13.95" customHeight="1" x14ac:dyDescent="0.25">
      <c r="A261" s="153" t="s">
        <v>14</v>
      </c>
      <c r="B261" s="253"/>
      <c r="C261" s="128">
        <f t="shared" ref="C261:AH261" si="313">C102/C$84</f>
        <v>5.5541084399186001E-3</v>
      </c>
      <c r="D261" s="156">
        <f t="shared" si="313"/>
        <v>1.3786875308278025E-3</v>
      </c>
      <c r="E261" s="156">
        <f t="shared" si="313"/>
        <v>1.257510486856534E-2</v>
      </c>
      <c r="F261" s="156">
        <f t="shared" si="313"/>
        <v>4.9971392627907541E-4</v>
      </c>
      <c r="G261" s="156">
        <f t="shared" si="313"/>
        <v>3.2411576224702201E-3</v>
      </c>
      <c r="H261" s="156">
        <f t="shared" si="313"/>
        <v>5.4655116496290428E-4</v>
      </c>
      <c r="I261" s="156">
        <f t="shared" si="313"/>
        <v>2.1565569504459724E-3</v>
      </c>
      <c r="J261" s="156">
        <f t="shared" si="313"/>
        <v>3.6866361677277893E-4</v>
      </c>
      <c r="K261" s="156">
        <f t="shared" si="313"/>
        <v>9.2297407865658777E-4</v>
      </c>
      <c r="L261" s="156">
        <f t="shared" si="313"/>
        <v>4.6699506261087042E-4</v>
      </c>
      <c r="M261" s="156">
        <f t="shared" si="313"/>
        <v>4.1081295211384304E-4</v>
      </c>
      <c r="N261" s="156">
        <f t="shared" si="313"/>
        <v>1.2842100480170598E-3</v>
      </c>
      <c r="O261" s="156">
        <f t="shared" si="313"/>
        <v>1.0673145019052021E-3</v>
      </c>
      <c r="P261" s="156">
        <f t="shared" si="313"/>
        <v>2.6986485493365108E-4</v>
      </c>
      <c r="Q261" s="156">
        <f t="shared" si="313"/>
        <v>7.4876867242397761E-3</v>
      </c>
      <c r="R261" s="156">
        <f t="shared" si="313"/>
        <v>2.6270745889844984E-3</v>
      </c>
      <c r="S261" s="156">
        <f t="shared" si="313"/>
        <v>1.1689449600758431E-3</v>
      </c>
      <c r="T261" s="156">
        <f t="shared" si="313"/>
        <v>8.3809433949838747E-4</v>
      </c>
      <c r="U261" s="156">
        <f t="shared" si="313"/>
        <v>3.0075862934970145E-3</v>
      </c>
      <c r="V261" s="156">
        <f t="shared" si="313"/>
        <v>1.3345239291724328E-3</v>
      </c>
      <c r="W261" s="156">
        <f t="shared" si="313"/>
        <v>6.4198759052470455E-4</v>
      </c>
      <c r="X261" s="156">
        <f t="shared" si="313"/>
        <v>1.5877358974136888E-4</v>
      </c>
      <c r="Y261" s="156">
        <f t="shared" si="313"/>
        <v>5.1201555695326161E-4</v>
      </c>
      <c r="Z261" s="156">
        <f t="shared" si="313"/>
        <v>5.7858490472530719E-4</v>
      </c>
      <c r="AA261" s="156">
        <f t="shared" si="313"/>
        <v>1.6364253384796649E-4</v>
      </c>
      <c r="AB261" s="156">
        <f t="shared" si="313"/>
        <v>3.7889212298016417E-4</v>
      </c>
      <c r="AC261" s="156">
        <f t="shared" si="313"/>
        <v>4.7290251404638985E-4</v>
      </c>
      <c r="AD261" s="156">
        <f t="shared" si="313"/>
        <v>4.338285119499229E-3</v>
      </c>
      <c r="AE261" s="156">
        <f t="shared" si="313"/>
        <v>5.5023847332820908E-4</v>
      </c>
      <c r="AF261" s="156">
        <f t="shared" si="313"/>
        <v>8.9314550978745273E-4</v>
      </c>
      <c r="AG261" s="156">
        <f t="shared" si="313"/>
        <v>6.2302664877148076E-5</v>
      </c>
      <c r="AH261" s="156">
        <f t="shared" si="313"/>
        <v>4.2305108493069041E-3</v>
      </c>
      <c r="AI261" s="156">
        <f t="shared" ref="AI261:BN261" si="314">AI102/AI$84</f>
        <v>3.7803038962015974E-3</v>
      </c>
      <c r="AJ261" s="156">
        <f t="shared" si="314"/>
        <v>3.3609622178415234E-3</v>
      </c>
      <c r="AK261" s="156">
        <f t="shared" si="314"/>
        <v>1.7865477151219474E-3</v>
      </c>
      <c r="AL261" s="156">
        <f t="shared" si="314"/>
        <v>2.4208611955948362E-3</v>
      </c>
      <c r="AM261" s="156">
        <f t="shared" si="314"/>
        <v>9.2180968185783278E-4</v>
      </c>
      <c r="AN261" s="156">
        <f t="shared" si="314"/>
        <v>2.8319230689021192E-2</v>
      </c>
      <c r="AO261" s="156">
        <f t="shared" si="314"/>
        <v>9.8492430334750237E-3</v>
      </c>
      <c r="AP261" s="156">
        <f t="shared" si="314"/>
        <v>2.6627147309314417E-3</v>
      </c>
      <c r="AQ261" s="156">
        <f t="shared" si="314"/>
        <v>1.5689651581759095E-3</v>
      </c>
      <c r="AR261" s="156">
        <f t="shared" si="314"/>
        <v>9.2446246980586286E-4</v>
      </c>
      <c r="AS261" s="156">
        <f t="shared" si="314"/>
        <v>1.5693699818737381E-4</v>
      </c>
      <c r="AT261" s="156">
        <f t="shared" si="314"/>
        <v>2.7549760437520302E-4</v>
      </c>
      <c r="AU261" s="156">
        <f t="shared" si="314"/>
        <v>5.3675359228441112E-5</v>
      </c>
      <c r="AV261" s="156">
        <f t="shared" si="314"/>
        <v>6.767834555164719E-4</v>
      </c>
      <c r="AW261" s="156">
        <f t="shared" si="314"/>
        <v>1.9934251909020339E-4</v>
      </c>
      <c r="AX261" s="156">
        <f t="shared" si="314"/>
        <v>2.3662703100082129E-4</v>
      </c>
      <c r="AY261" s="156">
        <f t="shared" si="314"/>
        <v>9.6970081713748809E-4</v>
      </c>
      <c r="AZ261" s="156">
        <f t="shared" si="314"/>
        <v>1.3158411245080248E-2</v>
      </c>
      <c r="BA261" s="156">
        <f t="shared" si="314"/>
        <v>6.0564343058411914E-4</v>
      </c>
      <c r="BB261" s="156">
        <f t="shared" si="314"/>
        <v>5.6548501584550721E-4</v>
      </c>
      <c r="BC261" s="156">
        <f t="shared" si="314"/>
        <v>1.2524212453209941E-4</v>
      </c>
      <c r="BD261" s="156">
        <f t="shared" si="314"/>
        <v>3.0722625846952027E-4</v>
      </c>
      <c r="BE261" s="156">
        <f t="shared" si="314"/>
        <v>2.7278552327618567E-4</v>
      </c>
      <c r="BF261" s="156">
        <f t="shared" si="314"/>
        <v>6.1707781122583656E-4</v>
      </c>
      <c r="BG261" s="156">
        <f t="shared" si="314"/>
        <v>3.6327926321681205E-4</v>
      </c>
      <c r="BH261" s="156">
        <f t="shared" si="314"/>
        <v>5.453361344298351E-4</v>
      </c>
      <c r="BI261" s="156">
        <f t="shared" si="314"/>
        <v>5.2929747879738561E-4</v>
      </c>
      <c r="BJ261" s="156">
        <f t="shared" si="314"/>
        <v>1.9856167460729534E-3</v>
      </c>
      <c r="BK261" s="156">
        <f t="shared" si="314"/>
        <v>6.0334182475326674E-4</v>
      </c>
      <c r="BL261" s="156">
        <f t="shared" si="314"/>
        <v>5.7360583714570837E-4</v>
      </c>
      <c r="BM261" s="156">
        <f t="shared" si="314"/>
        <v>2.4646333441577365E-3</v>
      </c>
      <c r="BN261" s="156">
        <f t="shared" si="314"/>
        <v>2.5483584018071545E-3</v>
      </c>
      <c r="BO261" s="156">
        <f t="shared" ref="BO261:BZ261" si="315">BO102/BO$84</f>
        <v>4.8513271359433861E-4</v>
      </c>
      <c r="BP261" s="156">
        <f t="shared" si="315"/>
        <v>1.3984490996081242E-3</v>
      </c>
      <c r="BQ261" s="156">
        <f t="shared" si="315"/>
        <v>4.4654021392202331E-4</v>
      </c>
      <c r="BR261" s="156">
        <f t="shared" si="315"/>
        <v>5.2009234203105788E-4</v>
      </c>
      <c r="BS261" s="156">
        <f t="shared" si="315"/>
        <v>8.5019881737581225E-4</v>
      </c>
      <c r="BT261" s="156">
        <f t="shared" si="315"/>
        <v>5.9131025430379694E-4</v>
      </c>
      <c r="BU261" s="156">
        <f t="shared" si="315"/>
        <v>6.9445233906870239E-4</v>
      </c>
      <c r="BV261" s="156">
        <f t="shared" si="315"/>
        <v>1.8995161020518805E-4</v>
      </c>
      <c r="BW261" s="156">
        <f t="shared" si="315"/>
        <v>7.555281757310675E-4</v>
      </c>
      <c r="BX261" s="156">
        <f t="shared" si="315"/>
        <v>1.6674301155764802E-3</v>
      </c>
      <c r="BY261" s="156">
        <f t="shared" si="315"/>
        <v>1.3056163200107958E-4</v>
      </c>
      <c r="BZ261" s="156">
        <f t="shared" si="315"/>
        <v>1.0990221602760564E-3</v>
      </c>
      <c r="CA261" s="129">
        <f t="shared" si="279"/>
        <v>0</v>
      </c>
      <c r="CB261" s="18"/>
      <c r="CC261" s="250"/>
      <c r="CD261" s="130">
        <f t="shared" ref="CD261:CG261" si="316">CD102/(CD$79+CD$80)</f>
        <v>4.380037497961088E-3</v>
      </c>
      <c r="CE261" s="130">
        <f t="shared" si="316"/>
        <v>0</v>
      </c>
      <c r="CF261" s="130">
        <f t="shared" si="316"/>
        <v>9.1621919250926939E-4</v>
      </c>
      <c r="CG261" s="131">
        <f t="shared" si="316"/>
        <v>0</v>
      </c>
      <c r="CH261" s="18"/>
      <c r="CI261" s="18"/>
      <c r="CJ261" s="18"/>
    </row>
    <row r="262" spans="1:88" ht="13.95" customHeight="1" x14ac:dyDescent="0.25">
      <c r="A262" s="153" t="s">
        <v>15</v>
      </c>
      <c r="B262" s="253"/>
      <c r="C262" s="128">
        <f t="shared" ref="C262:AH262" si="317">C103/C$84</f>
        <v>4.480862941698352E-2</v>
      </c>
      <c r="D262" s="156">
        <f t="shared" si="317"/>
        <v>4.1497035013780357E-3</v>
      </c>
      <c r="E262" s="156">
        <f t="shared" si="317"/>
        <v>0</v>
      </c>
      <c r="F262" s="156">
        <f t="shared" si="317"/>
        <v>5.4233885914274395E-3</v>
      </c>
      <c r="G262" s="156">
        <f t="shared" si="317"/>
        <v>6.3023713316364294E-3</v>
      </c>
      <c r="H262" s="156">
        <f t="shared" si="317"/>
        <v>5.8237607265123493E-3</v>
      </c>
      <c r="I262" s="156">
        <f t="shared" si="317"/>
        <v>9.5687657481020594E-3</v>
      </c>
      <c r="J262" s="156">
        <f t="shared" si="317"/>
        <v>7.5159222875970646E-3</v>
      </c>
      <c r="K262" s="156">
        <f t="shared" si="317"/>
        <v>7.3986291587485001E-2</v>
      </c>
      <c r="L262" s="156">
        <f t="shared" si="317"/>
        <v>1.4073793249739159E-2</v>
      </c>
      <c r="M262" s="156">
        <f t="shared" si="317"/>
        <v>5.3883099390672498E-2</v>
      </c>
      <c r="N262" s="156">
        <f t="shared" si="317"/>
        <v>3.2522938791048055E-2</v>
      </c>
      <c r="O262" s="156">
        <f t="shared" si="317"/>
        <v>4.7621966528490149E-2</v>
      </c>
      <c r="P262" s="156">
        <f t="shared" si="317"/>
        <v>4.4302453069293042E-2</v>
      </c>
      <c r="Q262" s="156">
        <f t="shared" si="317"/>
        <v>2.8216428507475938E-2</v>
      </c>
      <c r="R262" s="156">
        <f t="shared" si="317"/>
        <v>0.223043080686083</v>
      </c>
      <c r="S262" s="156">
        <f t="shared" si="317"/>
        <v>1.4460756179249789E-2</v>
      </c>
      <c r="T262" s="156">
        <f t="shared" si="317"/>
        <v>0.16247228309157172</v>
      </c>
      <c r="U262" s="156">
        <f t="shared" si="317"/>
        <v>3.0473220531908898E-2</v>
      </c>
      <c r="V262" s="156">
        <f t="shared" si="317"/>
        <v>5.1913328746189188E-3</v>
      </c>
      <c r="W262" s="156">
        <f t="shared" si="317"/>
        <v>1.2569902513909275E-2</v>
      </c>
      <c r="X262" s="156">
        <f t="shared" si="317"/>
        <v>9.3185415377808594E-3</v>
      </c>
      <c r="Y262" s="156">
        <f t="shared" si="317"/>
        <v>2.3738180683430123E-2</v>
      </c>
      <c r="Z262" s="156">
        <f t="shared" si="317"/>
        <v>1.1456355697517731E-2</v>
      </c>
      <c r="AA262" s="156">
        <f t="shared" si="317"/>
        <v>1.1437863334422838E-2</v>
      </c>
      <c r="AB262" s="156">
        <f t="shared" si="317"/>
        <v>1.196629258091127E-2</v>
      </c>
      <c r="AC262" s="156">
        <f t="shared" si="317"/>
        <v>2.8991335217223024E-2</v>
      </c>
      <c r="AD262" s="156">
        <f t="shared" si="317"/>
        <v>3.2401712795382509E-2</v>
      </c>
      <c r="AE262" s="156">
        <f t="shared" si="317"/>
        <v>5.9883619380179482E-3</v>
      </c>
      <c r="AF262" s="156">
        <f t="shared" si="317"/>
        <v>1.4871840773232534E-3</v>
      </c>
      <c r="AG262" s="156">
        <f t="shared" si="317"/>
        <v>1.4172571037584174E-2</v>
      </c>
      <c r="AH262" s="156">
        <f t="shared" si="317"/>
        <v>4.6092236753023713E-3</v>
      </c>
      <c r="AI262" s="156">
        <f t="shared" ref="AI262:BN262" si="318">AI103/AI$84</f>
        <v>8.1885232928394017E-3</v>
      </c>
      <c r="AJ262" s="156">
        <f t="shared" si="318"/>
        <v>7.1111341277325041E-3</v>
      </c>
      <c r="AK262" s="156">
        <f t="shared" si="318"/>
        <v>4.7182101946489016E-3</v>
      </c>
      <c r="AL262" s="156">
        <f t="shared" si="318"/>
        <v>7.1601858572612068E-3</v>
      </c>
      <c r="AM262" s="156">
        <f t="shared" si="318"/>
        <v>2.9651416722061099E-3</v>
      </c>
      <c r="AN262" s="156">
        <f t="shared" si="318"/>
        <v>3.0168560447963373E-3</v>
      </c>
      <c r="AO262" s="156">
        <f t="shared" si="318"/>
        <v>1.5122564695522521E-3</v>
      </c>
      <c r="AP262" s="156">
        <f t="shared" si="318"/>
        <v>1.2319895199767088E-3</v>
      </c>
      <c r="AQ262" s="156">
        <f t="shared" si="318"/>
        <v>5.3453321761087781E-3</v>
      </c>
      <c r="AR262" s="156">
        <f t="shared" si="318"/>
        <v>2.6038437653194209E-3</v>
      </c>
      <c r="AS262" s="156">
        <f t="shared" si="318"/>
        <v>5.136380107752061E-3</v>
      </c>
      <c r="AT262" s="156">
        <f t="shared" si="318"/>
        <v>1.2857307596537823E-2</v>
      </c>
      <c r="AU262" s="156">
        <f t="shared" si="318"/>
        <v>0</v>
      </c>
      <c r="AV262" s="156">
        <f t="shared" si="318"/>
        <v>0</v>
      </c>
      <c r="AW262" s="156">
        <f t="shared" si="318"/>
        <v>2.8920536851395758E-4</v>
      </c>
      <c r="AX262" s="156">
        <f t="shared" si="318"/>
        <v>0</v>
      </c>
      <c r="AY262" s="156">
        <f t="shared" si="318"/>
        <v>1.7525123962478324E-3</v>
      </c>
      <c r="AZ262" s="156">
        <f t="shared" si="318"/>
        <v>5.983178342003954E-4</v>
      </c>
      <c r="BA262" s="156">
        <f t="shared" si="318"/>
        <v>8.7737339685652483E-4</v>
      </c>
      <c r="BB262" s="156">
        <f t="shared" si="318"/>
        <v>5.175114998187914E-3</v>
      </c>
      <c r="BC262" s="156">
        <f t="shared" si="318"/>
        <v>9.4282319310282211E-4</v>
      </c>
      <c r="BD262" s="156">
        <f t="shared" si="318"/>
        <v>7.7379593369132215E-4</v>
      </c>
      <c r="BE262" s="156">
        <f t="shared" si="318"/>
        <v>2.2484750120468503E-3</v>
      </c>
      <c r="BF262" s="156">
        <f t="shared" si="318"/>
        <v>2.1996690530340753E-2</v>
      </c>
      <c r="BG262" s="156">
        <f t="shared" si="318"/>
        <v>1.1042821662812386E-3</v>
      </c>
      <c r="BH262" s="156">
        <f t="shared" si="318"/>
        <v>2.3752002164409646E-3</v>
      </c>
      <c r="BI262" s="156">
        <f t="shared" si="318"/>
        <v>6.360203205072224E-3</v>
      </c>
      <c r="BJ262" s="156">
        <f t="shared" si="318"/>
        <v>1.8421272096783305E-3</v>
      </c>
      <c r="BK262" s="156">
        <f t="shared" si="318"/>
        <v>6.6391706402157383E-4</v>
      </c>
      <c r="BL262" s="156">
        <f t="shared" si="318"/>
        <v>3.4568413231209202E-4</v>
      </c>
      <c r="BM262" s="156">
        <f t="shared" si="318"/>
        <v>3.2426373242075289E-3</v>
      </c>
      <c r="BN262" s="156">
        <f t="shared" si="318"/>
        <v>3.1097407311546553E-2</v>
      </c>
      <c r="BO262" s="156">
        <f t="shared" ref="BO262:BZ262" si="319">BO103/BO$84</f>
        <v>3.0924773499350204E-3</v>
      </c>
      <c r="BP262" s="156">
        <f t="shared" si="319"/>
        <v>1.65813556928562E-3</v>
      </c>
      <c r="BQ262" s="156">
        <f t="shared" si="319"/>
        <v>1.4724962412005569E-3</v>
      </c>
      <c r="BR262" s="156">
        <f t="shared" si="319"/>
        <v>1.1836119874075228E-2</v>
      </c>
      <c r="BS262" s="156">
        <f t="shared" si="319"/>
        <v>1.1111240190371939E-3</v>
      </c>
      <c r="BT262" s="156">
        <f t="shared" si="319"/>
        <v>2.9315844306045738E-3</v>
      </c>
      <c r="BU262" s="156">
        <f t="shared" si="319"/>
        <v>8.4520533794126766E-4</v>
      </c>
      <c r="BV262" s="156">
        <f t="shared" si="319"/>
        <v>0</v>
      </c>
      <c r="BW262" s="156">
        <f t="shared" si="319"/>
        <v>3.2524177471403314E-3</v>
      </c>
      <c r="BX262" s="156">
        <f t="shared" si="319"/>
        <v>2.1669585493605266E-2</v>
      </c>
      <c r="BY262" s="156">
        <f t="shared" si="319"/>
        <v>9.4514137588032495E-4</v>
      </c>
      <c r="BZ262" s="156">
        <f t="shared" si="319"/>
        <v>9.387151408378416E-3</v>
      </c>
      <c r="CA262" s="129">
        <f t="shared" si="279"/>
        <v>0</v>
      </c>
      <c r="CB262" s="18"/>
      <c r="CC262" s="250"/>
      <c r="CD262" s="130">
        <f t="shared" ref="CD262:CG262" si="320">CD103/(CD$79+CD$80)</f>
        <v>9.541641585089182E-3</v>
      </c>
      <c r="CE262" s="130">
        <f t="shared" si="320"/>
        <v>7.9324355391231043E-6</v>
      </c>
      <c r="CF262" s="130">
        <f t="shared" si="320"/>
        <v>2.3081934529742671E-3</v>
      </c>
      <c r="CG262" s="131">
        <f t="shared" si="320"/>
        <v>3.6385863232188276E-3</v>
      </c>
      <c r="CH262" s="18"/>
      <c r="CI262" s="18"/>
      <c r="CJ262" s="18"/>
    </row>
    <row r="263" spans="1:88" ht="13.95" customHeight="1" x14ac:dyDescent="0.25">
      <c r="A263" s="153" t="s">
        <v>16</v>
      </c>
      <c r="B263" s="253"/>
      <c r="C263" s="128">
        <f t="shared" ref="C263:AH263" si="321">C104/C$84</f>
        <v>1.9935073616302837E-4</v>
      </c>
      <c r="D263" s="156">
        <f t="shared" si="321"/>
        <v>4.1878459154209778E-5</v>
      </c>
      <c r="E263" s="156">
        <f t="shared" si="321"/>
        <v>0</v>
      </c>
      <c r="F263" s="156">
        <f t="shared" si="321"/>
        <v>0</v>
      </c>
      <c r="G263" s="156">
        <f t="shared" si="321"/>
        <v>5.1199698328126677E-5</v>
      </c>
      <c r="H263" s="156">
        <f t="shared" si="321"/>
        <v>3.1508212948462046E-4</v>
      </c>
      <c r="I263" s="156">
        <f t="shared" si="321"/>
        <v>2.3822088475690353E-5</v>
      </c>
      <c r="J263" s="156">
        <f t="shared" si="321"/>
        <v>0</v>
      </c>
      <c r="K263" s="156">
        <f t="shared" si="321"/>
        <v>1.7828337636152196E-3</v>
      </c>
      <c r="L263" s="156">
        <f t="shared" si="321"/>
        <v>0</v>
      </c>
      <c r="M263" s="156">
        <f t="shared" si="321"/>
        <v>0</v>
      </c>
      <c r="N263" s="156">
        <f t="shared" si="321"/>
        <v>0</v>
      </c>
      <c r="O263" s="156">
        <f t="shared" si="321"/>
        <v>1.4545074171262725E-5</v>
      </c>
      <c r="P263" s="156">
        <f t="shared" si="321"/>
        <v>0</v>
      </c>
      <c r="Q263" s="156">
        <f t="shared" si="321"/>
        <v>0</v>
      </c>
      <c r="R263" s="156">
        <f t="shared" si="321"/>
        <v>1.4046329882320217E-3</v>
      </c>
      <c r="S263" s="156">
        <f t="shared" si="321"/>
        <v>0.18155209960022164</v>
      </c>
      <c r="T263" s="156">
        <f t="shared" si="321"/>
        <v>2.6062586863653494E-4</v>
      </c>
      <c r="U263" s="156">
        <f t="shared" si="321"/>
        <v>4.9577353560068297E-5</v>
      </c>
      <c r="V263" s="156">
        <f t="shared" si="321"/>
        <v>0</v>
      </c>
      <c r="W263" s="156">
        <f t="shared" si="321"/>
        <v>4.6896651022716035E-5</v>
      </c>
      <c r="X263" s="156">
        <f t="shared" si="321"/>
        <v>2.1383744066401495E-5</v>
      </c>
      <c r="Y263" s="156">
        <f t="shared" si="321"/>
        <v>0</v>
      </c>
      <c r="Z263" s="156">
        <f t="shared" si="321"/>
        <v>6.8330006024698933E-5</v>
      </c>
      <c r="AA263" s="156">
        <f t="shared" si="321"/>
        <v>6.7326046301804672E-4</v>
      </c>
      <c r="AB263" s="156">
        <f t="shared" si="321"/>
        <v>0</v>
      </c>
      <c r="AC263" s="156">
        <f t="shared" si="321"/>
        <v>0</v>
      </c>
      <c r="AD263" s="156">
        <f t="shared" si="321"/>
        <v>2.9808165295570102E-4</v>
      </c>
      <c r="AE263" s="156">
        <f t="shared" si="321"/>
        <v>0</v>
      </c>
      <c r="AF263" s="156">
        <f t="shared" si="321"/>
        <v>2.7835446450021851E-6</v>
      </c>
      <c r="AG263" s="156">
        <f t="shared" si="321"/>
        <v>0</v>
      </c>
      <c r="AH263" s="156">
        <f t="shared" si="321"/>
        <v>0</v>
      </c>
      <c r="AI263" s="156">
        <f t="shared" ref="AI263:BN263" si="322">AI104/AI$84</f>
        <v>8.4951670222522494E-5</v>
      </c>
      <c r="AJ263" s="156">
        <f t="shared" si="322"/>
        <v>8.5859120578758281E-6</v>
      </c>
      <c r="AK263" s="156">
        <f t="shared" si="322"/>
        <v>6.735856956807376E-6</v>
      </c>
      <c r="AL263" s="156">
        <f t="shared" si="322"/>
        <v>3.1036520501790099E-4</v>
      </c>
      <c r="AM263" s="156">
        <f t="shared" si="322"/>
        <v>1.2852518551668751E-4</v>
      </c>
      <c r="AN263" s="156">
        <f t="shared" si="322"/>
        <v>2.561704090955363E-5</v>
      </c>
      <c r="AO263" s="156">
        <f t="shared" si="322"/>
        <v>2.6568083739094366E-4</v>
      </c>
      <c r="AP263" s="156">
        <f t="shared" si="322"/>
        <v>1.2549223467328742E-4</v>
      </c>
      <c r="AQ263" s="156">
        <f t="shared" si="322"/>
        <v>2.9593855832688991E-4</v>
      </c>
      <c r="AR263" s="156">
        <f t="shared" si="322"/>
        <v>6.2651036083334515E-5</v>
      </c>
      <c r="AS263" s="156">
        <f t="shared" si="322"/>
        <v>0</v>
      </c>
      <c r="AT263" s="156">
        <f t="shared" si="322"/>
        <v>0</v>
      </c>
      <c r="AU263" s="156">
        <f t="shared" si="322"/>
        <v>0</v>
      </c>
      <c r="AV263" s="156">
        <f t="shared" si="322"/>
        <v>0</v>
      </c>
      <c r="AW263" s="156">
        <f t="shared" si="322"/>
        <v>6.9423904002087098E-5</v>
      </c>
      <c r="AX263" s="156">
        <f t="shared" si="322"/>
        <v>2.6984288041719874E-4</v>
      </c>
      <c r="AY263" s="156">
        <f t="shared" si="322"/>
        <v>1.2953173179159616E-5</v>
      </c>
      <c r="AZ263" s="156">
        <f t="shared" si="322"/>
        <v>2.6562016803501682E-5</v>
      </c>
      <c r="BA263" s="156">
        <f t="shared" si="322"/>
        <v>0</v>
      </c>
      <c r="BB263" s="156">
        <f t="shared" si="322"/>
        <v>7.7402411378489401E-6</v>
      </c>
      <c r="BC263" s="156">
        <f t="shared" si="322"/>
        <v>0</v>
      </c>
      <c r="BD263" s="156">
        <f t="shared" si="322"/>
        <v>1.6510822407412535E-4</v>
      </c>
      <c r="BE263" s="156">
        <f t="shared" si="322"/>
        <v>3.3831534222820253E-5</v>
      </c>
      <c r="BF263" s="156">
        <f t="shared" si="322"/>
        <v>3.9528799494416402E-3</v>
      </c>
      <c r="BG263" s="156">
        <f t="shared" si="322"/>
        <v>2.3279059421336148E-4</v>
      </c>
      <c r="BH263" s="156">
        <f t="shared" si="322"/>
        <v>0</v>
      </c>
      <c r="BI263" s="156">
        <f t="shared" si="322"/>
        <v>0.10860294354481213</v>
      </c>
      <c r="BJ263" s="156">
        <f t="shared" si="322"/>
        <v>0</v>
      </c>
      <c r="BK263" s="156">
        <f t="shared" si="322"/>
        <v>0</v>
      </c>
      <c r="BL263" s="156">
        <f t="shared" si="322"/>
        <v>0</v>
      </c>
      <c r="BM263" s="156">
        <f t="shared" si="322"/>
        <v>6.1928076003963398E-5</v>
      </c>
      <c r="BN263" s="156">
        <f t="shared" si="322"/>
        <v>5.2438640749540315E-4</v>
      </c>
      <c r="BO263" s="156">
        <f t="shared" ref="BO263:BZ263" si="323">BO104/BO$84</f>
        <v>0</v>
      </c>
      <c r="BP263" s="156">
        <f t="shared" si="323"/>
        <v>1.8611892639142549E-3</v>
      </c>
      <c r="BQ263" s="156">
        <f t="shared" si="323"/>
        <v>4.592530265387655E-4</v>
      </c>
      <c r="BR263" s="156">
        <f t="shared" si="323"/>
        <v>3.2303068642832319E-2</v>
      </c>
      <c r="BS263" s="156">
        <f t="shared" si="323"/>
        <v>7.3896366840141888E-3</v>
      </c>
      <c r="BT263" s="156">
        <f t="shared" si="323"/>
        <v>0</v>
      </c>
      <c r="BU263" s="156">
        <f t="shared" si="323"/>
        <v>0</v>
      </c>
      <c r="BV263" s="156">
        <f t="shared" si="323"/>
        <v>0</v>
      </c>
      <c r="BW263" s="156">
        <f t="shared" si="323"/>
        <v>1.0452042877534466E-3</v>
      </c>
      <c r="BX263" s="156">
        <f t="shared" si="323"/>
        <v>1.854531764729155E-6</v>
      </c>
      <c r="BY263" s="156">
        <f t="shared" si="323"/>
        <v>0</v>
      </c>
      <c r="BZ263" s="156">
        <f t="shared" si="323"/>
        <v>2.1444198023454108E-4</v>
      </c>
      <c r="CA263" s="129">
        <f t="shared" si="279"/>
        <v>0</v>
      </c>
      <c r="CB263" s="18"/>
      <c r="CC263" s="250"/>
      <c r="CD263" s="130">
        <f t="shared" ref="CD263:CG263" si="324">CD104/(CD$79+CD$80)</f>
        <v>1.2577984454558712E-2</v>
      </c>
      <c r="CE263" s="130">
        <f t="shared" si="324"/>
        <v>1.3545392249292782E-2</v>
      </c>
      <c r="CF263" s="130">
        <f t="shared" si="324"/>
        <v>1.1722984974408277E-3</v>
      </c>
      <c r="CG263" s="131">
        <f t="shared" si="324"/>
        <v>3.041720427927411E-4</v>
      </c>
      <c r="CH263" s="18"/>
      <c r="CI263" s="18"/>
      <c r="CJ263" s="18"/>
    </row>
    <row r="264" spans="1:88" ht="13.95" customHeight="1" x14ac:dyDescent="0.25">
      <c r="A264" s="153" t="s">
        <v>17</v>
      </c>
      <c r="B264" s="253"/>
      <c r="C264" s="128">
        <f t="shared" ref="C264:AH264" si="325">C105/C$84</f>
        <v>8.3385354003030624E-4</v>
      </c>
      <c r="D264" s="156">
        <f t="shared" si="325"/>
        <v>2.4968945211072211E-3</v>
      </c>
      <c r="E264" s="156">
        <f t="shared" si="325"/>
        <v>0</v>
      </c>
      <c r="F264" s="156">
        <f t="shared" si="325"/>
        <v>4.0559675473104276E-3</v>
      </c>
      <c r="G264" s="156">
        <f t="shared" si="325"/>
        <v>1.9654995302630851E-3</v>
      </c>
      <c r="H264" s="156">
        <f t="shared" si="325"/>
        <v>3.4078596741220629E-3</v>
      </c>
      <c r="I264" s="156">
        <f t="shared" si="325"/>
        <v>2.1951215085326183E-2</v>
      </c>
      <c r="J264" s="156">
        <f t="shared" si="325"/>
        <v>0</v>
      </c>
      <c r="K264" s="156">
        <f t="shared" si="325"/>
        <v>9.0348212333380539E-3</v>
      </c>
      <c r="L264" s="156">
        <f t="shared" si="325"/>
        <v>1.6534792544822716E-3</v>
      </c>
      <c r="M264" s="156">
        <f t="shared" si="325"/>
        <v>1.4470924848449982E-2</v>
      </c>
      <c r="N264" s="156">
        <f t="shared" si="325"/>
        <v>6.826593010425595E-3</v>
      </c>
      <c r="O264" s="156">
        <f t="shared" si="325"/>
        <v>5.6347972097378412E-3</v>
      </c>
      <c r="P264" s="156">
        <f t="shared" si="325"/>
        <v>7.5555444469355935E-3</v>
      </c>
      <c r="Q264" s="156">
        <f t="shared" si="325"/>
        <v>4.4844867949162388E-4</v>
      </c>
      <c r="R264" s="156">
        <f t="shared" si="325"/>
        <v>1.0352786533321588E-2</v>
      </c>
      <c r="S264" s="156">
        <f t="shared" si="325"/>
        <v>4.9867002058763535E-3</v>
      </c>
      <c r="T264" s="156">
        <f t="shared" si="325"/>
        <v>7.4337654717627627E-2</v>
      </c>
      <c r="U264" s="156">
        <f t="shared" si="325"/>
        <v>5.1330431144673205E-3</v>
      </c>
      <c r="V264" s="156">
        <f t="shared" si="325"/>
        <v>9.7633046507972091E-4</v>
      </c>
      <c r="W264" s="156">
        <f t="shared" si="325"/>
        <v>4.8110513491076406E-3</v>
      </c>
      <c r="X264" s="156">
        <f t="shared" si="325"/>
        <v>1.5983028179543366E-2</v>
      </c>
      <c r="Y264" s="156">
        <f t="shared" si="325"/>
        <v>2.2253786447378875E-2</v>
      </c>
      <c r="Z264" s="156">
        <f t="shared" si="325"/>
        <v>1.0579871327043845E-2</v>
      </c>
      <c r="AA264" s="156">
        <f t="shared" si="325"/>
        <v>2.1431442235253093E-2</v>
      </c>
      <c r="AB264" s="156">
        <f t="shared" si="325"/>
        <v>3.9457828221267253E-3</v>
      </c>
      <c r="AC264" s="156">
        <f t="shared" si="325"/>
        <v>1.7206657946273136E-2</v>
      </c>
      <c r="AD264" s="156">
        <f t="shared" si="325"/>
        <v>3.9351750042203378E-2</v>
      </c>
      <c r="AE264" s="156">
        <f t="shared" si="325"/>
        <v>5.0682999728212507E-3</v>
      </c>
      <c r="AF264" s="156">
        <f t="shared" si="325"/>
        <v>8.7471560750414202E-4</v>
      </c>
      <c r="AG264" s="156">
        <f t="shared" si="325"/>
        <v>1.6551210893296588E-3</v>
      </c>
      <c r="AH264" s="156">
        <f t="shared" si="325"/>
        <v>7.0222893723582503E-3</v>
      </c>
      <c r="AI264" s="156">
        <f t="shared" ref="AI264:BN264" si="326">AI105/AI$84</f>
        <v>4.9191105641899361E-3</v>
      </c>
      <c r="AJ264" s="156">
        <f t="shared" si="326"/>
        <v>2.7153314272126427E-2</v>
      </c>
      <c r="AK264" s="156">
        <f t="shared" si="326"/>
        <v>5.5626156962144541E-3</v>
      </c>
      <c r="AL264" s="156">
        <f t="shared" si="326"/>
        <v>5.1934955798752392E-3</v>
      </c>
      <c r="AM264" s="156">
        <f t="shared" si="326"/>
        <v>3.7061265779704216E-3</v>
      </c>
      <c r="AN264" s="156">
        <f t="shared" si="326"/>
        <v>5.7427820719757623E-3</v>
      </c>
      <c r="AO264" s="156">
        <f t="shared" si="326"/>
        <v>1.663243965882351E-4</v>
      </c>
      <c r="AP264" s="156">
        <f t="shared" si="326"/>
        <v>2.0120770114961471E-3</v>
      </c>
      <c r="AQ264" s="156">
        <f t="shared" si="326"/>
        <v>4.2686251936169066E-4</v>
      </c>
      <c r="AR264" s="156">
        <f t="shared" si="326"/>
        <v>5.6313994959665287E-4</v>
      </c>
      <c r="AS264" s="156">
        <f t="shared" si="326"/>
        <v>1.6972245200717316E-3</v>
      </c>
      <c r="AT264" s="156">
        <f t="shared" si="326"/>
        <v>1.2596563415784899E-2</v>
      </c>
      <c r="AU264" s="156">
        <f t="shared" si="326"/>
        <v>0</v>
      </c>
      <c r="AV264" s="156">
        <f t="shared" si="326"/>
        <v>7.8823952547647585E-4</v>
      </c>
      <c r="AW264" s="156">
        <f t="shared" si="326"/>
        <v>7.1844605917949344E-5</v>
      </c>
      <c r="AX264" s="156">
        <f t="shared" si="326"/>
        <v>0</v>
      </c>
      <c r="AY264" s="156">
        <f t="shared" si="326"/>
        <v>9.4373337090568224E-4</v>
      </c>
      <c r="AZ264" s="156">
        <f t="shared" si="326"/>
        <v>7.7823346953651883E-3</v>
      </c>
      <c r="BA264" s="156">
        <f t="shared" si="326"/>
        <v>0</v>
      </c>
      <c r="BB264" s="156">
        <f t="shared" si="326"/>
        <v>3.5740611391101322E-4</v>
      </c>
      <c r="BC264" s="156">
        <f t="shared" si="326"/>
        <v>2.1484210304489144E-4</v>
      </c>
      <c r="BD264" s="156">
        <f t="shared" si="326"/>
        <v>4.4761830264879431E-4</v>
      </c>
      <c r="BE264" s="156">
        <f t="shared" si="326"/>
        <v>7.6199070996886716E-4</v>
      </c>
      <c r="BF264" s="156">
        <f t="shared" si="326"/>
        <v>1.6996712744031274E-3</v>
      </c>
      <c r="BG264" s="156">
        <f t="shared" si="326"/>
        <v>3.7500069403208772E-4</v>
      </c>
      <c r="BH264" s="156">
        <f t="shared" si="326"/>
        <v>1.7716503859649467E-4</v>
      </c>
      <c r="BI264" s="156">
        <f t="shared" si="326"/>
        <v>0</v>
      </c>
      <c r="BJ264" s="156">
        <f t="shared" si="326"/>
        <v>2.1048606870280348E-3</v>
      </c>
      <c r="BK264" s="156">
        <f t="shared" si="326"/>
        <v>1.8405852547892542E-4</v>
      </c>
      <c r="BL264" s="156">
        <f t="shared" si="326"/>
        <v>1.1646643598017997E-4</v>
      </c>
      <c r="BM264" s="156">
        <f t="shared" si="326"/>
        <v>2.7061008001731906E-4</v>
      </c>
      <c r="BN264" s="156">
        <f t="shared" si="326"/>
        <v>3.2280239035321076E-3</v>
      </c>
      <c r="BO264" s="156">
        <f t="shared" ref="BO264:BZ264" si="327">BO105/BO$84</f>
        <v>8.9221844387424969E-3</v>
      </c>
      <c r="BP264" s="156">
        <f t="shared" si="327"/>
        <v>1.3209836729244659E-3</v>
      </c>
      <c r="BQ264" s="156">
        <f t="shared" si="327"/>
        <v>2.6279199794894257E-4</v>
      </c>
      <c r="BR264" s="156">
        <f t="shared" si="327"/>
        <v>5.8625706887956218E-4</v>
      </c>
      <c r="BS264" s="156">
        <f t="shared" si="327"/>
        <v>2.2212835968048062E-4</v>
      </c>
      <c r="BT264" s="156">
        <f t="shared" si="327"/>
        <v>4.2223333899370783E-4</v>
      </c>
      <c r="BU264" s="156">
        <f t="shared" si="327"/>
        <v>1.0261089365883459E-3</v>
      </c>
      <c r="BV264" s="156">
        <f t="shared" si="327"/>
        <v>0</v>
      </c>
      <c r="BW264" s="156">
        <f t="shared" si="327"/>
        <v>9.3375533513429367E-4</v>
      </c>
      <c r="BX264" s="156">
        <f t="shared" si="327"/>
        <v>4.514342433520703E-3</v>
      </c>
      <c r="BY264" s="156">
        <f t="shared" si="327"/>
        <v>4.17321642184441E-4</v>
      </c>
      <c r="BZ264" s="156">
        <f t="shared" si="327"/>
        <v>2.8641438537159044E-3</v>
      </c>
      <c r="CA264" s="129">
        <f t="shared" si="279"/>
        <v>0</v>
      </c>
      <c r="CB264" s="18"/>
      <c r="CC264" s="250"/>
      <c r="CD264" s="130">
        <f t="shared" ref="CD264:CG264" si="328">CD105/(CD$79+CD$80)</f>
        <v>2.4823516436825346E-3</v>
      </c>
      <c r="CE264" s="130">
        <f t="shared" si="328"/>
        <v>0</v>
      </c>
      <c r="CF264" s="130">
        <f t="shared" si="328"/>
        <v>8.0800479657109855E-4</v>
      </c>
      <c r="CG264" s="131">
        <f t="shared" si="328"/>
        <v>0</v>
      </c>
      <c r="CH264" s="18"/>
      <c r="CI264" s="18"/>
      <c r="CJ264" s="18"/>
    </row>
    <row r="265" spans="1:88" ht="13.95" customHeight="1" x14ac:dyDescent="0.25">
      <c r="A265" s="153" t="s">
        <v>18</v>
      </c>
      <c r="B265" s="253"/>
      <c r="C265" s="128">
        <f t="shared" ref="C265:AH265" si="329">C106/C$84</f>
        <v>4.5142361348107481E-4</v>
      </c>
      <c r="D265" s="156">
        <f t="shared" si="329"/>
        <v>4.1226823378988673E-4</v>
      </c>
      <c r="E265" s="156">
        <f t="shared" si="329"/>
        <v>0</v>
      </c>
      <c r="F265" s="156">
        <f t="shared" si="329"/>
        <v>4.0521525436433841E-4</v>
      </c>
      <c r="G265" s="156">
        <f t="shared" si="329"/>
        <v>1.9062406201610868E-3</v>
      </c>
      <c r="H265" s="156">
        <f t="shared" si="329"/>
        <v>6.7218208027625852E-4</v>
      </c>
      <c r="I265" s="156">
        <f t="shared" si="329"/>
        <v>5.1038257366583829E-3</v>
      </c>
      <c r="J265" s="156">
        <f t="shared" si="329"/>
        <v>8.7961420870958412E-5</v>
      </c>
      <c r="K265" s="156">
        <f t="shared" si="329"/>
        <v>9.8085006216810022E-4</v>
      </c>
      <c r="L265" s="156">
        <f t="shared" si="329"/>
        <v>3.481087220417283E-4</v>
      </c>
      <c r="M265" s="156">
        <f t="shared" si="329"/>
        <v>1.2554119490584218E-3</v>
      </c>
      <c r="N265" s="156">
        <f t="shared" si="329"/>
        <v>3.9391619885551822E-3</v>
      </c>
      <c r="O265" s="156">
        <f t="shared" si="329"/>
        <v>3.8957486116549325E-4</v>
      </c>
      <c r="P265" s="156">
        <f t="shared" si="329"/>
        <v>4.4124433289400401E-4</v>
      </c>
      <c r="Q265" s="156">
        <f t="shared" si="329"/>
        <v>2.4533542175517485E-4</v>
      </c>
      <c r="R265" s="156">
        <f t="shared" si="329"/>
        <v>1.5370790331991938E-3</v>
      </c>
      <c r="S265" s="156">
        <f t="shared" si="329"/>
        <v>9.1576301564401527E-4</v>
      </c>
      <c r="T265" s="156">
        <f t="shared" si="329"/>
        <v>5.8205621353827541E-3</v>
      </c>
      <c r="U265" s="156">
        <f t="shared" si="329"/>
        <v>2.7845620793225279E-2</v>
      </c>
      <c r="V265" s="156">
        <f t="shared" si="329"/>
        <v>2.0283778002839906E-3</v>
      </c>
      <c r="W265" s="156">
        <f t="shared" si="329"/>
        <v>2.2959435924645309E-3</v>
      </c>
      <c r="X265" s="156">
        <f t="shared" si="329"/>
        <v>9.1302623569571647E-4</v>
      </c>
      <c r="Y265" s="156">
        <f t="shared" si="329"/>
        <v>3.0551292310232541E-3</v>
      </c>
      <c r="Z265" s="156">
        <f t="shared" si="329"/>
        <v>1.2290773027017372E-3</v>
      </c>
      <c r="AA265" s="156">
        <f t="shared" si="329"/>
        <v>7.8129906367380121E-4</v>
      </c>
      <c r="AB265" s="156">
        <f t="shared" si="329"/>
        <v>1.3774171002956296E-3</v>
      </c>
      <c r="AC265" s="156">
        <f t="shared" si="329"/>
        <v>1.9535614616749924E-3</v>
      </c>
      <c r="AD265" s="156">
        <f t="shared" si="329"/>
        <v>4.5819823600219039E-3</v>
      </c>
      <c r="AE265" s="156">
        <f t="shared" si="329"/>
        <v>8.5908888757603202E-4</v>
      </c>
      <c r="AF265" s="156">
        <f t="shared" si="329"/>
        <v>1.4258131232552592E-4</v>
      </c>
      <c r="AG265" s="156">
        <f t="shared" si="329"/>
        <v>6.9365265591119483E-4</v>
      </c>
      <c r="AH265" s="156">
        <f t="shared" si="329"/>
        <v>1.9427068765863567E-3</v>
      </c>
      <c r="AI265" s="156">
        <f t="shared" ref="AI265:BN265" si="330">AI106/AI$84</f>
        <v>1.5827359307768362E-4</v>
      </c>
      <c r="AJ265" s="156">
        <f t="shared" si="330"/>
        <v>8.0702395182784947E-3</v>
      </c>
      <c r="AK265" s="156">
        <f t="shared" si="330"/>
        <v>1.4057523569631711E-4</v>
      </c>
      <c r="AL265" s="156">
        <f t="shared" si="330"/>
        <v>4.5793267778708452E-4</v>
      </c>
      <c r="AM265" s="156">
        <f t="shared" si="330"/>
        <v>4.5998762516532746E-4</v>
      </c>
      <c r="AN265" s="156">
        <f t="shared" si="330"/>
        <v>2.4500041017230638E-4</v>
      </c>
      <c r="AO265" s="156">
        <f t="shared" si="330"/>
        <v>7.5731898790175773E-5</v>
      </c>
      <c r="AP265" s="156">
        <f t="shared" si="330"/>
        <v>7.1096405216735287E-5</v>
      </c>
      <c r="AQ265" s="156">
        <f t="shared" si="330"/>
        <v>1.8745870489805508E-3</v>
      </c>
      <c r="AR265" s="156">
        <f t="shared" si="330"/>
        <v>2.1754558614949087E-4</v>
      </c>
      <c r="AS265" s="156">
        <f t="shared" si="330"/>
        <v>4.64855278021743E-5</v>
      </c>
      <c r="AT265" s="156">
        <f t="shared" si="330"/>
        <v>3.116284377358854E-5</v>
      </c>
      <c r="AU265" s="156">
        <f t="shared" si="330"/>
        <v>0</v>
      </c>
      <c r="AV265" s="156">
        <f t="shared" si="330"/>
        <v>9.7142520726551138E-5</v>
      </c>
      <c r="AW265" s="156">
        <f t="shared" si="330"/>
        <v>4.8071486159339918E-5</v>
      </c>
      <c r="AX265" s="156">
        <f t="shared" si="330"/>
        <v>0</v>
      </c>
      <c r="AY265" s="156">
        <f t="shared" si="330"/>
        <v>5.625312602227726E-4</v>
      </c>
      <c r="AZ265" s="156">
        <f t="shared" si="330"/>
        <v>0</v>
      </c>
      <c r="BA265" s="156">
        <f t="shared" si="330"/>
        <v>4.4303258986471563E-5</v>
      </c>
      <c r="BB265" s="156">
        <f t="shared" si="330"/>
        <v>8.4328361252125324E-4</v>
      </c>
      <c r="BC265" s="156">
        <f t="shared" si="330"/>
        <v>8.6332531989575469E-6</v>
      </c>
      <c r="BD265" s="156">
        <f t="shared" si="330"/>
        <v>9.8581657183961346E-4</v>
      </c>
      <c r="BE265" s="156">
        <f t="shared" si="330"/>
        <v>6.1233274197253706E-4</v>
      </c>
      <c r="BF265" s="156">
        <f t="shared" si="330"/>
        <v>4.8217591984115729E-4</v>
      </c>
      <c r="BG265" s="156">
        <f t="shared" si="330"/>
        <v>0</v>
      </c>
      <c r="BH265" s="156">
        <f t="shared" si="330"/>
        <v>1.8253861053921922E-4</v>
      </c>
      <c r="BI265" s="156">
        <f t="shared" si="330"/>
        <v>0</v>
      </c>
      <c r="BJ265" s="156">
        <f t="shared" si="330"/>
        <v>8.4257647619022001E-4</v>
      </c>
      <c r="BK265" s="156">
        <f t="shared" si="330"/>
        <v>5.3188014967294039E-5</v>
      </c>
      <c r="BL265" s="156">
        <f t="shared" si="330"/>
        <v>0</v>
      </c>
      <c r="BM265" s="156">
        <f t="shared" si="330"/>
        <v>0</v>
      </c>
      <c r="BN265" s="156">
        <f t="shared" si="330"/>
        <v>3.182253357552225E-4</v>
      </c>
      <c r="BO265" s="156">
        <f t="shared" ref="BO265:BZ265" si="331">BO106/BO$84</f>
        <v>2.4080118400414115E-4</v>
      </c>
      <c r="BP265" s="156">
        <f t="shared" si="331"/>
        <v>1.4951619941818418E-4</v>
      </c>
      <c r="BQ265" s="156">
        <f t="shared" si="331"/>
        <v>1.8429305079951252E-4</v>
      </c>
      <c r="BR265" s="156">
        <f t="shared" si="331"/>
        <v>4.8476676398243669E-4</v>
      </c>
      <c r="BS265" s="156">
        <f t="shared" si="331"/>
        <v>4.6503604489649461E-4</v>
      </c>
      <c r="BT265" s="156">
        <f t="shared" si="331"/>
        <v>2.3222833644653931E-5</v>
      </c>
      <c r="BU265" s="156">
        <f t="shared" si="331"/>
        <v>2.5306732925492925E-4</v>
      </c>
      <c r="BV265" s="156">
        <f t="shared" si="331"/>
        <v>4.7865790370007597E-5</v>
      </c>
      <c r="BW265" s="156">
        <f t="shared" si="331"/>
        <v>8.888566773306677E-5</v>
      </c>
      <c r="BX265" s="156">
        <f t="shared" si="331"/>
        <v>5.9662347462186615E-3</v>
      </c>
      <c r="BY265" s="156">
        <f t="shared" si="331"/>
        <v>0</v>
      </c>
      <c r="BZ265" s="156">
        <f t="shared" si="331"/>
        <v>4.8918349715548857E-4</v>
      </c>
      <c r="CA265" s="129">
        <f t="shared" si="279"/>
        <v>0</v>
      </c>
      <c r="CB265" s="18"/>
      <c r="CC265" s="250"/>
      <c r="CD265" s="130">
        <f t="shared" ref="CD265:CG265" si="332">CD106/(CD$79+CD$80)</f>
        <v>1.9111960554951588E-3</v>
      </c>
      <c r="CE265" s="130">
        <f t="shared" si="332"/>
        <v>0</v>
      </c>
      <c r="CF265" s="130">
        <f t="shared" si="332"/>
        <v>1.3291124449211942E-3</v>
      </c>
      <c r="CG265" s="131">
        <f t="shared" si="332"/>
        <v>5.7390951470328514E-5</v>
      </c>
      <c r="CH265" s="18"/>
      <c r="CI265" s="18"/>
      <c r="CJ265" s="18"/>
    </row>
    <row r="266" spans="1:88" ht="13.95" customHeight="1" x14ac:dyDescent="0.25">
      <c r="A266" s="153" t="s">
        <v>19</v>
      </c>
      <c r="B266" s="253"/>
      <c r="C266" s="128">
        <f t="shared" ref="C266:AH266" si="333">C107/C$84</f>
        <v>3.3571484351253958E-4</v>
      </c>
      <c r="D266" s="156">
        <f t="shared" si="333"/>
        <v>4.5154014984321211E-4</v>
      </c>
      <c r="E266" s="156">
        <f t="shared" si="333"/>
        <v>0</v>
      </c>
      <c r="F266" s="156">
        <f t="shared" si="333"/>
        <v>3.0074086340131909E-3</v>
      </c>
      <c r="G266" s="156">
        <f t="shared" si="333"/>
        <v>3.7344626523935992E-3</v>
      </c>
      <c r="H266" s="156">
        <f t="shared" si="333"/>
        <v>5.3911018704196566E-4</v>
      </c>
      <c r="I266" s="156">
        <f t="shared" si="333"/>
        <v>7.4179714742968741E-3</v>
      </c>
      <c r="J266" s="156">
        <f t="shared" si="333"/>
        <v>0</v>
      </c>
      <c r="K266" s="156">
        <f t="shared" si="333"/>
        <v>4.2486041326662864E-3</v>
      </c>
      <c r="L266" s="156">
        <f t="shared" si="333"/>
        <v>7.6885781602595304E-4</v>
      </c>
      <c r="M266" s="156">
        <f t="shared" si="333"/>
        <v>1.2110101732190496E-3</v>
      </c>
      <c r="N266" s="156">
        <f t="shared" si="333"/>
        <v>2.8693184881750807E-3</v>
      </c>
      <c r="O266" s="156">
        <f t="shared" si="333"/>
        <v>7.9095809265121019E-4</v>
      </c>
      <c r="P266" s="156">
        <f t="shared" si="333"/>
        <v>1.9408334175806097E-3</v>
      </c>
      <c r="Q266" s="156">
        <f t="shared" si="333"/>
        <v>8.0009316184833637E-4</v>
      </c>
      <c r="R266" s="156">
        <f t="shared" si="333"/>
        <v>1.6631005675638714E-3</v>
      </c>
      <c r="S266" s="156">
        <f t="shared" si="333"/>
        <v>4.3410483975970908E-4</v>
      </c>
      <c r="T266" s="156">
        <f t="shared" si="333"/>
        <v>4.8571751405707348E-3</v>
      </c>
      <c r="U266" s="156">
        <f t="shared" si="333"/>
        <v>4.5391132075008316E-3</v>
      </c>
      <c r="V266" s="156">
        <f t="shared" si="333"/>
        <v>0.18689366909682223</v>
      </c>
      <c r="W266" s="156">
        <f t="shared" si="333"/>
        <v>0.11595301742167746</v>
      </c>
      <c r="X266" s="156">
        <f t="shared" si="333"/>
        <v>2.3481140063097664E-2</v>
      </c>
      <c r="Y266" s="156">
        <f t="shared" si="333"/>
        <v>5.7327361713000659E-2</v>
      </c>
      <c r="Z266" s="156">
        <f t="shared" si="333"/>
        <v>4.803151185430906E-2</v>
      </c>
      <c r="AA266" s="156">
        <f t="shared" si="333"/>
        <v>3.0437778181256814E-2</v>
      </c>
      <c r="AB266" s="156">
        <f t="shared" si="333"/>
        <v>3.5708101271938873E-2</v>
      </c>
      <c r="AC266" s="156">
        <f t="shared" si="333"/>
        <v>7.0665088937700094E-3</v>
      </c>
      <c r="AD266" s="156">
        <f t="shared" si="333"/>
        <v>2.6707182926445885E-2</v>
      </c>
      <c r="AE266" s="156">
        <f t="shared" si="333"/>
        <v>1.5926037217923027E-2</v>
      </c>
      <c r="AF266" s="156">
        <f t="shared" si="333"/>
        <v>7.1452881853857045E-4</v>
      </c>
      <c r="AG266" s="156">
        <f t="shared" si="333"/>
        <v>9.5914279366862937E-4</v>
      </c>
      <c r="AH266" s="156">
        <f t="shared" si="333"/>
        <v>7.8299713246845579E-2</v>
      </c>
      <c r="AI266" s="156">
        <f t="shared" ref="AI266:BN266" si="334">AI107/AI$84</f>
        <v>6.913339665488488E-4</v>
      </c>
      <c r="AJ266" s="156">
        <f t="shared" si="334"/>
        <v>5.0223738077981618E-3</v>
      </c>
      <c r="AK266" s="156">
        <f t="shared" si="334"/>
        <v>1.5392291824953739E-3</v>
      </c>
      <c r="AL266" s="156">
        <f t="shared" si="334"/>
        <v>3.2723930190216208E-3</v>
      </c>
      <c r="AM266" s="156">
        <f t="shared" si="334"/>
        <v>6.9150751753698251E-4</v>
      </c>
      <c r="AN266" s="156">
        <f t="shared" si="334"/>
        <v>1.5062922063940121E-3</v>
      </c>
      <c r="AO266" s="156">
        <f t="shared" si="334"/>
        <v>7.198817096318972E-4</v>
      </c>
      <c r="AP266" s="156">
        <f t="shared" si="334"/>
        <v>1.6198049748775294E-4</v>
      </c>
      <c r="AQ266" s="156">
        <f t="shared" si="334"/>
        <v>0</v>
      </c>
      <c r="AR266" s="156">
        <f t="shared" si="334"/>
        <v>0</v>
      </c>
      <c r="AS266" s="156">
        <f t="shared" si="334"/>
        <v>3.0869174951493784E-4</v>
      </c>
      <c r="AT266" s="156">
        <f t="shared" si="334"/>
        <v>0</v>
      </c>
      <c r="AU266" s="156">
        <f t="shared" si="334"/>
        <v>0</v>
      </c>
      <c r="AV266" s="156">
        <f t="shared" si="334"/>
        <v>5.3695464741519727E-4</v>
      </c>
      <c r="AW266" s="156">
        <f t="shared" si="334"/>
        <v>1.8705631502667614E-4</v>
      </c>
      <c r="AX266" s="156">
        <f t="shared" si="334"/>
        <v>0</v>
      </c>
      <c r="AY266" s="156">
        <f t="shared" si="334"/>
        <v>9.0519462570400798E-5</v>
      </c>
      <c r="AZ266" s="156">
        <f t="shared" si="334"/>
        <v>0</v>
      </c>
      <c r="BA266" s="156">
        <f t="shared" si="334"/>
        <v>0</v>
      </c>
      <c r="BB266" s="156">
        <f t="shared" si="334"/>
        <v>5.0736609539425996E-4</v>
      </c>
      <c r="BC266" s="156">
        <f t="shared" si="334"/>
        <v>0</v>
      </c>
      <c r="BD266" s="156">
        <f t="shared" si="334"/>
        <v>0</v>
      </c>
      <c r="BE266" s="156">
        <f t="shared" si="334"/>
        <v>1.9927554847196539E-3</v>
      </c>
      <c r="BF266" s="156">
        <f t="shared" si="334"/>
        <v>4.0452056006637449E-3</v>
      </c>
      <c r="BG266" s="156">
        <f t="shared" si="334"/>
        <v>9.1776037791764975E-4</v>
      </c>
      <c r="BH266" s="156">
        <f t="shared" si="334"/>
        <v>3.0979456427374178E-4</v>
      </c>
      <c r="BI266" s="156">
        <f t="shared" si="334"/>
        <v>0</v>
      </c>
      <c r="BJ266" s="156">
        <f t="shared" si="334"/>
        <v>2.8522034235722339E-3</v>
      </c>
      <c r="BK266" s="156">
        <f t="shared" si="334"/>
        <v>0</v>
      </c>
      <c r="BL266" s="156">
        <f t="shared" si="334"/>
        <v>0</v>
      </c>
      <c r="BM266" s="156">
        <f t="shared" si="334"/>
        <v>0</v>
      </c>
      <c r="BN266" s="156">
        <f t="shared" si="334"/>
        <v>1.9076482040210857E-3</v>
      </c>
      <c r="BO266" s="156">
        <f t="shared" ref="BO266:BZ266" si="335">BO107/BO$84</f>
        <v>6.1380590644731731E-4</v>
      </c>
      <c r="BP266" s="156">
        <f t="shared" si="335"/>
        <v>5.3641783614709847E-4</v>
      </c>
      <c r="BQ266" s="156">
        <f t="shared" si="335"/>
        <v>1.0235416611849339E-4</v>
      </c>
      <c r="BR266" s="156">
        <f t="shared" si="335"/>
        <v>2.4554106023498099E-5</v>
      </c>
      <c r="BS266" s="156">
        <f t="shared" si="335"/>
        <v>0</v>
      </c>
      <c r="BT266" s="156">
        <f t="shared" si="335"/>
        <v>0</v>
      </c>
      <c r="BU266" s="156">
        <f t="shared" si="335"/>
        <v>0</v>
      </c>
      <c r="BV266" s="156">
        <f t="shared" si="335"/>
        <v>0</v>
      </c>
      <c r="BW266" s="156">
        <f t="shared" si="335"/>
        <v>0</v>
      </c>
      <c r="BX266" s="156">
        <f t="shared" si="335"/>
        <v>6.1325244277893754E-3</v>
      </c>
      <c r="BY266" s="156">
        <f t="shared" si="335"/>
        <v>7.751214475829601E-4</v>
      </c>
      <c r="BZ266" s="156">
        <f t="shared" si="335"/>
        <v>1.5879812870624793E-3</v>
      </c>
      <c r="CA266" s="129">
        <f t="shared" si="279"/>
        <v>0</v>
      </c>
      <c r="CB266" s="18"/>
      <c r="CC266" s="250"/>
      <c r="CD266" s="130">
        <f t="shared" ref="CD266:CG266" si="336">CD107/(CD$79+CD$80)</f>
        <v>2.6438956169079237E-4</v>
      </c>
      <c r="CE266" s="130">
        <f t="shared" si="336"/>
        <v>0</v>
      </c>
      <c r="CF266" s="130">
        <f t="shared" si="336"/>
        <v>1.6014805325602606E-3</v>
      </c>
      <c r="CG266" s="131">
        <f t="shared" si="336"/>
        <v>4.1061285962860359E-3</v>
      </c>
      <c r="CH266" s="18"/>
      <c r="CI266" s="18"/>
      <c r="CJ266" s="18"/>
    </row>
    <row r="267" spans="1:88" ht="13.95" customHeight="1" x14ac:dyDescent="0.25">
      <c r="A267" s="153" t="s">
        <v>20</v>
      </c>
      <c r="B267" s="253"/>
      <c r="C267" s="128">
        <f t="shared" ref="C267:AH267" si="337">C108/C$84</f>
        <v>2.6040694144531646E-3</v>
      </c>
      <c r="D267" s="156">
        <f t="shared" si="337"/>
        <v>3.8264921568683672E-3</v>
      </c>
      <c r="E267" s="156">
        <f t="shared" si="337"/>
        <v>0</v>
      </c>
      <c r="F267" s="156">
        <f t="shared" si="337"/>
        <v>1.0676597086842578E-2</v>
      </c>
      <c r="G267" s="156">
        <f t="shared" si="337"/>
        <v>4.5746524109369054E-3</v>
      </c>
      <c r="H267" s="156">
        <f t="shared" si="337"/>
        <v>1.3734839432611211E-3</v>
      </c>
      <c r="I267" s="156">
        <f t="shared" si="337"/>
        <v>2.6586448997816082E-2</v>
      </c>
      <c r="J267" s="156">
        <f t="shared" si="337"/>
        <v>4.7368495558432216E-4</v>
      </c>
      <c r="K267" s="156">
        <f t="shared" si="337"/>
        <v>1.5142385058296746E-3</v>
      </c>
      <c r="L267" s="156">
        <f t="shared" si="337"/>
        <v>5.70267812486129E-4</v>
      </c>
      <c r="M267" s="156">
        <f t="shared" si="337"/>
        <v>2.443835131959182E-3</v>
      </c>
      <c r="N267" s="156">
        <f t="shared" si="337"/>
        <v>1.5042354537247274E-2</v>
      </c>
      <c r="O267" s="156">
        <f t="shared" si="337"/>
        <v>1.6208128557778357E-3</v>
      </c>
      <c r="P267" s="156">
        <f t="shared" si="337"/>
        <v>8.2593418416243222E-4</v>
      </c>
      <c r="Q267" s="156">
        <f t="shared" si="337"/>
        <v>3.4795602787712619E-4</v>
      </c>
      <c r="R267" s="156">
        <f t="shared" si="337"/>
        <v>2.1848094945224801E-3</v>
      </c>
      <c r="S267" s="156">
        <f t="shared" si="337"/>
        <v>5.4841177362795201E-4</v>
      </c>
      <c r="T267" s="156">
        <f t="shared" si="337"/>
        <v>1.0023854053773982E-2</v>
      </c>
      <c r="U267" s="156">
        <f t="shared" si="337"/>
        <v>4.2513529096725178E-3</v>
      </c>
      <c r="V267" s="156">
        <f t="shared" si="337"/>
        <v>4.1899406248308811E-3</v>
      </c>
      <c r="W267" s="156">
        <f t="shared" si="337"/>
        <v>2.3768921877374415E-2</v>
      </c>
      <c r="X267" s="156">
        <f t="shared" si="337"/>
        <v>3.7752957552132107E-3</v>
      </c>
      <c r="Y267" s="156">
        <f t="shared" si="337"/>
        <v>2.1463504194808247E-2</v>
      </c>
      <c r="Z267" s="156">
        <f t="shared" si="337"/>
        <v>2.6671072166818986E-2</v>
      </c>
      <c r="AA267" s="156">
        <f t="shared" si="337"/>
        <v>3.2879555642256288E-2</v>
      </c>
      <c r="AB267" s="156">
        <f t="shared" si="337"/>
        <v>2.3572065357814215E-2</v>
      </c>
      <c r="AC267" s="156">
        <f t="shared" si="337"/>
        <v>1.8484679930856892E-2</v>
      </c>
      <c r="AD267" s="156">
        <f t="shared" si="337"/>
        <v>8.8840876945973334E-3</v>
      </c>
      <c r="AE267" s="156">
        <f t="shared" si="337"/>
        <v>2.5223756496000917E-2</v>
      </c>
      <c r="AF267" s="156">
        <f t="shared" si="337"/>
        <v>1.9434815088907613E-3</v>
      </c>
      <c r="AG267" s="156">
        <f t="shared" si="337"/>
        <v>1.2651480239100246E-3</v>
      </c>
      <c r="AH267" s="156">
        <f t="shared" si="337"/>
        <v>4.3662807566937391E-3</v>
      </c>
      <c r="AI267" s="156">
        <f t="shared" ref="AI267:BN267" si="338">AI108/AI$84</f>
        <v>1.6025428442618735E-3</v>
      </c>
      <c r="AJ267" s="156">
        <f t="shared" si="338"/>
        <v>1.3031907340721358E-2</v>
      </c>
      <c r="AK267" s="156">
        <f t="shared" si="338"/>
        <v>3.1572850649583721E-3</v>
      </c>
      <c r="AL267" s="156">
        <f t="shared" si="338"/>
        <v>3.9878258695805399E-3</v>
      </c>
      <c r="AM267" s="156">
        <f t="shared" si="338"/>
        <v>1.2994882981299304E-3</v>
      </c>
      <c r="AN267" s="156">
        <f t="shared" si="338"/>
        <v>7.3750682959045175E-4</v>
      </c>
      <c r="AO267" s="156">
        <f t="shared" si="338"/>
        <v>1.4108043032484317E-4</v>
      </c>
      <c r="AP267" s="156">
        <f t="shared" si="338"/>
        <v>2.6554959970031346E-4</v>
      </c>
      <c r="AQ267" s="156">
        <f t="shared" si="338"/>
        <v>7.7406968046461961E-4</v>
      </c>
      <c r="AR267" s="156">
        <f t="shared" si="338"/>
        <v>3.2244356305728683E-4</v>
      </c>
      <c r="AS267" s="156">
        <f t="shared" si="338"/>
        <v>5.4815796261898384E-4</v>
      </c>
      <c r="AT267" s="156">
        <f t="shared" si="338"/>
        <v>0</v>
      </c>
      <c r="AU267" s="156">
        <f t="shared" si="338"/>
        <v>0</v>
      </c>
      <c r="AV267" s="156">
        <f t="shared" si="338"/>
        <v>1.197574660420872E-4</v>
      </c>
      <c r="AW267" s="156">
        <f t="shared" si="338"/>
        <v>4.3732492159209474E-4</v>
      </c>
      <c r="AX267" s="156">
        <f t="shared" si="338"/>
        <v>0</v>
      </c>
      <c r="AY267" s="156">
        <f t="shared" si="338"/>
        <v>2.370980590647589E-4</v>
      </c>
      <c r="AZ267" s="156">
        <f t="shared" si="338"/>
        <v>0</v>
      </c>
      <c r="BA267" s="156">
        <f t="shared" si="338"/>
        <v>0</v>
      </c>
      <c r="BB267" s="156">
        <f t="shared" si="338"/>
        <v>1.3672359389251894E-3</v>
      </c>
      <c r="BC267" s="156">
        <f t="shared" si="338"/>
        <v>0</v>
      </c>
      <c r="BD267" s="156">
        <f t="shared" si="338"/>
        <v>1.1443315132881571E-4</v>
      </c>
      <c r="BE267" s="156">
        <f t="shared" si="338"/>
        <v>7.2958334512629704E-3</v>
      </c>
      <c r="BF267" s="156">
        <f t="shared" si="338"/>
        <v>2.002517921820397E-3</v>
      </c>
      <c r="BG267" s="156">
        <f t="shared" si="338"/>
        <v>2.5621218282972913E-4</v>
      </c>
      <c r="BH267" s="156">
        <f t="shared" si="338"/>
        <v>5.4794150264448943E-4</v>
      </c>
      <c r="BI267" s="156">
        <f t="shared" si="338"/>
        <v>0</v>
      </c>
      <c r="BJ267" s="156">
        <f t="shared" si="338"/>
        <v>2.4376743597952204E-3</v>
      </c>
      <c r="BK267" s="156">
        <f t="shared" si="338"/>
        <v>2.9230080155271678E-4</v>
      </c>
      <c r="BL267" s="156">
        <f t="shared" si="338"/>
        <v>0</v>
      </c>
      <c r="BM267" s="156">
        <f t="shared" si="338"/>
        <v>3.8103980882438654E-4</v>
      </c>
      <c r="BN267" s="156">
        <f t="shared" si="338"/>
        <v>1.9644935183175893E-3</v>
      </c>
      <c r="BO267" s="156">
        <f t="shared" ref="BO267:BZ267" si="339">BO108/BO$84</f>
        <v>0</v>
      </c>
      <c r="BP267" s="156">
        <f t="shared" si="339"/>
        <v>3.1609398177315684E-3</v>
      </c>
      <c r="BQ267" s="156">
        <f t="shared" si="339"/>
        <v>2.8647628834500773E-4</v>
      </c>
      <c r="BR267" s="156">
        <f t="shared" si="339"/>
        <v>3.6957466164997652E-4</v>
      </c>
      <c r="BS267" s="156">
        <f t="shared" si="339"/>
        <v>0</v>
      </c>
      <c r="BT267" s="156">
        <f t="shared" si="339"/>
        <v>2.903313154863256E-4</v>
      </c>
      <c r="BU267" s="156">
        <f t="shared" si="339"/>
        <v>0</v>
      </c>
      <c r="BV267" s="156">
        <f t="shared" si="339"/>
        <v>0</v>
      </c>
      <c r="BW267" s="156">
        <f t="shared" si="339"/>
        <v>3.4095630494530225E-4</v>
      </c>
      <c r="BX267" s="156">
        <f t="shared" si="339"/>
        <v>8.8877404529219897E-3</v>
      </c>
      <c r="BY267" s="156">
        <f t="shared" si="339"/>
        <v>0</v>
      </c>
      <c r="BZ267" s="156">
        <f t="shared" si="339"/>
        <v>2.400650763818438E-3</v>
      </c>
      <c r="CA267" s="129">
        <f t="shared" si="279"/>
        <v>0</v>
      </c>
      <c r="CB267" s="18"/>
      <c r="CC267" s="250"/>
      <c r="CD267" s="130">
        <f t="shared" ref="CD267:CG267" si="340">CD108/(CD$79+CD$80)</f>
        <v>1.4946313391206382E-3</v>
      </c>
      <c r="CE267" s="130">
        <f t="shared" si="340"/>
        <v>0</v>
      </c>
      <c r="CF267" s="130">
        <f t="shared" si="340"/>
        <v>9.001225601048277E-3</v>
      </c>
      <c r="CG267" s="131">
        <f t="shared" si="340"/>
        <v>1.9283359694030381E-3</v>
      </c>
      <c r="CH267" s="18"/>
      <c r="CI267" s="18"/>
      <c r="CJ267" s="18"/>
    </row>
    <row r="268" spans="1:88" ht="13.95" customHeight="1" x14ac:dyDescent="0.25">
      <c r="A268" s="153" t="s">
        <v>21</v>
      </c>
      <c r="B268" s="253"/>
      <c r="C268" s="128">
        <f t="shared" ref="C268:AH268" si="341">C109/C$84</f>
        <v>6.9158929630891165E-5</v>
      </c>
      <c r="D268" s="156">
        <f t="shared" si="341"/>
        <v>1.1771148643594069E-3</v>
      </c>
      <c r="E268" s="156">
        <f t="shared" si="341"/>
        <v>0</v>
      </c>
      <c r="F268" s="156">
        <f t="shared" si="341"/>
        <v>5.7663264886324752E-4</v>
      </c>
      <c r="G268" s="156">
        <f t="shared" si="341"/>
        <v>5.5242849108800174E-4</v>
      </c>
      <c r="H268" s="156">
        <f t="shared" si="341"/>
        <v>1.5000990876485053E-4</v>
      </c>
      <c r="I268" s="156">
        <f t="shared" si="341"/>
        <v>1.5981218211691699E-4</v>
      </c>
      <c r="J268" s="156">
        <f t="shared" si="341"/>
        <v>3.8076284935475399E-4</v>
      </c>
      <c r="K268" s="156">
        <f t="shared" si="341"/>
        <v>3.5883109777137752E-4</v>
      </c>
      <c r="L268" s="156">
        <f t="shared" si="341"/>
        <v>3.1041305308078076E-4</v>
      </c>
      <c r="M268" s="156">
        <f t="shared" si="341"/>
        <v>3.2490516842462305E-4</v>
      </c>
      <c r="N268" s="156">
        <f t="shared" si="341"/>
        <v>3.5369171651016077E-4</v>
      </c>
      <c r="O268" s="156">
        <f t="shared" si="341"/>
        <v>4.0427197443959145E-4</v>
      </c>
      <c r="P268" s="156">
        <f t="shared" si="341"/>
        <v>3.4753400450122937E-3</v>
      </c>
      <c r="Q268" s="156">
        <f t="shared" si="341"/>
        <v>3.7031728315961804E-4</v>
      </c>
      <c r="R268" s="156">
        <f t="shared" si="341"/>
        <v>5.0888964885826041E-4</v>
      </c>
      <c r="S268" s="156">
        <f t="shared" si="341"/>
        <v>7.9904744680564077E-4</v>
      </c>
      <c r="T268" s="156">
        <f t="shared" si="341"/>
        <v>6.7085994833489943E-4</v>
      </c>
      <c r="U268" s="156">
        <f t="shared" si="341"/>
        <v>6.045521993925686E-4</v>
      </c>
      <c r="V268" s="156">
        <f t="shared" si="341"/>
        <v>3.9523851861014686E-4</v>
      </c>
      <c r="W268" s="156">
        <f t="shared" si="341"/>
        <v>2.440122664627039E-3</v>
      </c>
      <c r="X268" s="156">
        <f t="shared" si="341"/>
        <v>0.28642465929064753</v>
      </c>
      <c r="Y268" s="156">
        <f t="shared" si="341"/>
        <v>1.9978902658015291E-2</v>
      </c>
      <c r="Z268" s="156">
        <f t="shared" si="341"/>
        <v>7.9718410508957116E-3</v>
      </c>
      <c r="AA268" s="156">
        <f t="shared" si="341"/>
        <v>4.9921189535518254E-3</v>
      </c>
      <c r="AB268" s="156">
        <f t="shared" si="341"/>
        <v>2.1257406578658613E-3</v>
      </c>
      <c r="AC268" s="156">
        <f t="shared" si="341"/>
        <v>9.4200516094337309E-4</v>
      </c>
      <c r="AD268" s="156">
        <f t="shared" si="341"/>
        <v>1.5277354001755753E-3</v>
      </c>
      <c r="AE268" s="156">
        <f t="shared" si="341"/>
        <v>1.3572323989071274E-2</v>
      </c>
      <c r="AF268" s="156">
        <f t="shared" si="341"/>
        <v>3.6098762185177223E-3</v>
      </c>
      <c r="AG268" s="156">
        <f t="shared" si="341"/>
        <v>1.1289144954065556E-3</v>
      </c>
      <c r="AH268" s="156">
        <f t="shared" si="341"/>
        <v>6.3357547463267099E-4</v>
      </c>
      <c r="AI268" s="156">
        <f t="shared" ref="AI268:BN268" si="342">AI109/AI$84</f>
        <v>5.8221422757852846E-4</v>
      </c>
      <c r="AJ268" s="156">
        <f t="shared" si="342"/>
        <v>1.8718011493047495E-3</v>
      </c>
      <c r="AK268" s="156">
        <f t="shared" si="342"/>
        <v>1.2460762917661057E-3</v>
      </c>
      <c r="AL268" s="156">
        <f t="shared" si="342"/>
        <v>1.7433264982295396E-3</v>
      </c>
      <c r="AM268" s="156">
        <f t="shared" si="342"/>
        <v>1.2189510051561115E-3</v>
      </c>
      <c r="AN268" s="156">
        <f t="shared" si="342"/>
        <v>1.104223249719027E-3</v>
      </c>
      <c r="AO268" s="156">
        <f t="shared" si="342"/>
        <v>1.8602421629868584E-3</v>
      </c>
      <c r="AP268" s="156">
        <f t="shared" si="342"/>
        <v>7.2538991434241038E-4</v>
      </c>
      <c r="AQ268" s="156">
        <f t="shared" si="342"/>
        <v>3.2193764278770143E-4</v>
      </c>
      <c r="AR268" s="156">
        <f t="shared" si="342"/>
        <v>1.9795896265579704E-4</v>
      </c>
      <c r="AS268" s="156">
        <f t="shared" si="342"/>
        <v>3.2911134908194948E-4</v>
      </c>
      <c r="AT268" s="156">
        <f t="shared" si="342"/>
        <v>2.6068396269732326E-3</v>
      </c>
      <c r="AU268" s="156">
        <f t="shared" si="342"/>
        <v>1.1675499627211321E-3</v>
      </c>
      <c r="AV268" s="156">
        <f t="shared" si="342"/>
        <v>9.1548836558182911E-2</v>
      </c>
      <c r="AW268" s="156">
        <f t="shared" si="342"/>
        <v>2.2472586235907175E-2</v>
      </c>
      <c r="AX268" s="156">
        <f t="shared" si="342"/>
        <v>9.3256129616476596E-3</v>
      </c>
      <c r="AY268" s="156">
        <f t="shared" si="342"/>
        <v>7.8788286860973227E-4</v>
      </c>
      <c r="AZ268" s="156">
        <f t="shared" si="342"/>
        <v>5.0855755051805599E-3</v>
      </c>
      <c r="BA268" s="156">
        <f t="shared" si="342"/>
        <v>1.0684932853990614E-3</v>
      </c>
      <c r="BB268" s="156">
        <f t="shared" si="342"/>
        <v>3.9282203145421795E-4</v>
      </c>
      <c r="BC268" s="156">
        <f t="shared" si="342"/>
        <v>2.0334908472377923E-3</v>
      </c>
      <c r="BD268" s="156">
        <f t="shared" si="342"/>
        <v>1.1068775255983336E-3</v>
      </c>
      <c r="BE268" s="156">
        <f t="shared" si="342"/>
        <v>4.8669636510511004E-3</v>
      </c>
      <c r="BF268" s="156">
        <f t="shared" si="342"/>
        <v>8.605444871728896E-3</v>
      </c>
      <c r="BG268" s="156">
        <f t="shared" si="342"/>
        <v>6.5761268746391697E-4</v>
      </c>
      <c r="BH268" s="156">
        <f t="shared" si="342"/>
        <v>2.0547399260384814E-3</v>
      </c>
      <c r="BI268" s="156">
        <f t="shared" si="342"/>
        <v>0</v>
      </c>
      <c r="BJ268" s="156">
        <f t="shared" si="342"/>
        <v>1.3588294320679441E-3</v>
      </c>
      <c r="BK268" s="156">
        <f t="shared" si="342"/>
        <v>5.4471059187996302E-4</v>
      </c>
      <c r="BL268" s="156">
        <f t="shared" si="342"/>
        <v>2.3388326572577683E-4</v>
      </c>
      <c r="BM268" s="156">
        <f t="shared" si="342"/>
        <v>1.2216692062381868E-2</v>
      </c>
      <c r="BN268" s="156">
        <f t="shared" si="342"/>
        <v>2.360552016018297E-4</v>
      </c>
      <c r="BO268" s="156">
        <f t="shared" ref="BO268:BZ268" si="343">BO109/BO$84</f>
        <v>1.9532822518672895E-4</v>
      </c>
      <c r="BP268" s="156">
        <f t="shared" si="343"/>
        <v>2.9324731247530765E-3</v>
      </c>
      <c r="BQ268" s="156">
        <f t="shared" si="343"/>
        <v>1.3443745927025827E-3</v>
      </c>
      <c r="BR268" s="156">
        <f t="shared" si="343"/>
        <v>4.1182490178003931E-3</v>
      </c>
      <c r="BS268" s="156">
        <f t="shared" si="343"/>
        <v>1.125327608643761E-4</v>
      </c>
      <c r="BT268" s="156">
        <f t="shared" si="343"/>
        <v>3.2169590938505386E-3</v>
      </c>
      <c r="BU268" s="156">
        <f t="shared" si="343"/>
        <v>6.9791224396085962E-4</v>
      </c>
      <c r="BV268" s="156">
        <f t="shared" si="343"/>
        <v>4.4273336840132292E-3</v>
      </c>
      <c r="BW268" s="156">
        <f t="shared" si="343"/>
        <v>9.1666193749331934E-4</v>
      </c>
      <c r="BX268" s="156">
        <f t="shared" si="343"/>
        <v>1.2606900877543825E-2</v>
      </c>
      <c r="BY268" s="156">
        <f t="shared" si="343"/>
        <v>2.8545067839288962E-2</v>
      </c>
      <c r="BZ268" s="156">
        <f t="shared" si="343"/>
        <v>8.7347384677276317E-4</v>
      </c>
      <c r="CA268" s="129">
        <f t="shared" si="279"/>
        <v>0</v>
      </c>
      <c r="CB268" s="18"/>
      <c r="CC268" s="250"/>
      <c r="CD268" s="130">
        <f t="shared" ref="CD268:CG268" si="344">CD109/(CD$79+CD$80)</f>
        <v>1.3793114853536653E-2</v>
      </c>
      <c r="CE268" s="130">
        <f t="shared" si="344"/>
        <v>5.6606999404636962E-4</v>
      </c>
      <c r="CF268" s="130">
        <f t="shared" si="344"/>
        <v>4.3907181537821957E-2</v>
      </c>
      <c r="CG268" s="131">
        <f t="shared" si="344"/>
        <v>3.6611512975179318E-2</v>
      </c>
      <c r="CH268" s="18"/>
      <c r="CI268" s="18"/>
      <c r="CJ268" s="18"/>
    </row>
    <row r="269" spans="1:88" ht="13.95" customHeight="1" x14ac:dyDescent="0.25">
      <c r="A269" s="153" t="s">
        <v>22</v>
      </c>
      <c r="B269" s="253"/>
      <c r="C269" s="128">
        <f t="shared" ref="C269:AH269" si="345">C110/C$84</f>
        <v>1.1985052961937471E-3</v>
      </c>
      <c r="D269" s="156">
        <f t="shared" si="345"/>
        <v>3.120032091758658E-4</v>
      </c>
      <c r="E269" s="156">
        <f t="shared" si="345"/>
        <v>1.2261274625182687E-3</v>
      </c>
      <c r="F269" s="156">
        <f t="shared" si="345"/>
        <v>5.0549829670397091E-3</v>
      </c>
      <c r="G269" s="156">
        <f t="shared" si="345"/>
        <v>1.4816759259560256E-3</v>
      </c>
      <c r="H269" s="156">
        <f t="shared" si="345"/>
        <v>2.6958601171179006E-4</v>
      </c>
      <c r="I269" s="156">
        <f t="shared" si="345"/>
        <v>4.7498975650195547E-4</v>
      </c>
      <c r="J269" s="156">
        <f t="shared" si="345"/>
        <v>5.2038799335074571E-4</v>
      </c>
      <c r="K269" s="156">
        <f t="shared" si="345"/>
        <v>9.0937111026921039E-4</v>
      </c>
      <c r="L269" s="156">
        <f t="shared" si="345"/>
        <v>6.8551098189336497E-4</v>
      </c>
      <c r="M269" s="156">
        <f t="shared" si="345"/>
        <v>8.6679988486426478E-4</v>
      </c>
      <c r="N269" s="156">
        <f t="shared" si="345"/>
        <v>8.3869930231148383E-4</v>
      </c>
      <c r="O269" s="156">
        <f t="shared" si="345"/>
        <v>7.0670308982987134E-4</v>
      </c>
      <c r="P269" s="156">
        <f t="shared" si="345"/>
        <v>4.3482786136392549E-4</v>
      </c>
      <c r="Q269" s="156">
        <f t="shared" si="345"/>
        <v>6.4737696003008079E-4</v>
      </c>
      <c r="R269" s="156">
        <f t="shared" si="345"/>
        <v>6.4402744479545939E-4</v>
      </c>
      <c r="S269" s="156">
        <f t="shared" si="345"/>
        <v>5.5460540640829038E-4</v>
      </c>
      <c r="T269" s="156">
        <f t="shared" si="345"/>
        <v>1.7637870272691294E-3</v>
      </c>
      <c r="U269" s="156">
        <f t="shared" si="345"/>
        <v>2.3737628897874665E-3</v>
      </c>
      <c r="V269" s="156">
        <f t="shared" si="345"/>
        <v>9.7918776624119613E-3</v>
      </c>
      <c r="W269" s="156">
        <f t="shared" si="345"/>
        <v>2.8924590835494239E-3</v>
      </c>
      <c r="X269" s="156">
        <f t="shared" si="345"/>
        <v>8.0906971767920208E-2</v>
      </c>
      <c r="Y269" s="156">
        <f t="shared" si="345"/>
        <v>0.12196525318252849</v>
      </c>
      <c r="Z269" s="156">
        <f t="shared" si="345"/>
        <v>2.6549037764312909E-2</v>
      </c>
      <c r="AA269" s="156">
        <f t="shared" si="345"/>
        <v>1.3946487281778332E-2</v>
      </c>
      <c r="AB269" s="156">
        <f t="shared" si="345"/>
        <v>9.7214063786326306E-3</v>
      </c>
      <c r="AC269" s="156">
        <f t="shared" si="345"/>
        <v>1.3422578340142031E-3</v>
      </c>
      <c r="AD269" s="156">
        <f t="shared" si="345"/>
        <v>3.3204322696451068E-4</v>
      </c>
      <c r="AE269" s="156">
        <f t="shared" si="345"/>
        <v>1.3231593365667501E-2</v>
      </c>
      <c r="AF269" s="156">
        <f t="shared" si="345"/>
        <v>1.0979053587196978E-2</v>
      </c>
      <c r="AG269" s="156">
        <f t="shared" si="345"/>
        <v>1.598816126965242E-3</v>
      </c>
      <c r="AH269" s="156">
        <f t="shared" si="345"/>
        <v>2.9799325071426892E-3</v>
      </c>
      <c r="AI269" s="156">
        <f t="shared" ref="AI269:BN269" si="346">AI110/AI$84</f>
        <v>6.890625315161611E-4</v>
      </c>
      <c r="AJ269" s="156">
        <f t="shared" si="346"/>
        <v>1.1254930184457414E-2</v>
      </c>
      <c r="AK269" s="156">
        <f t="shared" si="346"/>
        <v>1.3145416027038532E-3</v>
      </c>
      <c r="AL269" s="156">
        <f t="shared" si="346"/>
        <v>3.0830568459128882E-3</v>
      </c>
      <c r="AM269" s="156">
        <f t="shared" si="346"/>
        <v>1.6954694192686283E-3</v>
      </c>
      <c r="AN269" s="156">
        <f t="shared" si="346"/>
        <v>5.5658344977090246E-3</v>
      </c>
      <c r="AO269" s="156">
        <f t="shared" si="346"/>
        <v>2.244903052690921E-3</v>
      </c>
      <c r="AP269" s="156">
        <f t="shared" si="346"/>
        <v>4.8143848801923445E-4</v>
      </c>
      <c r="AQ269" s="156">
        <f t="shared" si="346"/>
        <v>9.4538507628675239E-4</v>
      </c>
      <c r="AR269" s="156">
        <f t="shared" si="346"/>
        <v>3.1551140248856714E-4</v>
      </c>
      <c r="AS269" s="156">
        <f t="shared" si="346"/>
        <v>2.5075887044034791E-4</v>
      </c>
      <c r="AT269" s="156">
        <f t="shared" si="346"/>
        <v>1.4000697927264418E-5</v>
      </c>
      <c r="AU269" s="156">
        <f t="shared" si="346"/>
        <v>7.9182244812204446E-5</v>
      </c>
      <c r="AV269" s="156">
        <f t="shared" si="346"/>
        <v>5.2948570330791905E-3</v>
      </c>
      <c r="AW269" s="156">
        <f t="shared" si="346"/>
        <v>2.1876979380552426E-3</v>
      </c>
      <c r="AX269" s="156">
        <f t="shared" si="346"/>
        <v>0</v>
      </c>
      <c r="AY269" s="156">
        <f t="shared" si="346"/>
        <v>6.0942541312373956E-4</v>
      </c>
      <c r="AZ269" s="156">
        <f t="shared" si="346"/>
        <v>7.3234674493831767E-4</v>
      </c>
      <c r="BA269" s="156">
        <f t="shared" si="346"/>
        <v>3.5909480097779082E-5</v>
      </c>
      <c r="BB269" s="156">
        <f t="shared" si="346"/>
        <v>1.4962186525187416E-3</v>
      </c>
      <c r="BC269" s="156">
        <f t="shared" si="346"/>
        <v>8.6422461710397935E-5</v>
      </c>
      <c r="BD269" s="156">
        <f t="shared" si="346"/>
        <v>1.2056732055690939E-3</v>
      </c>
      <c r="BE269" s="156">
        <f t="shared" si="346"/>
        <v>2.4256849488551932E-3</v>
      </c>
      <c r="BF269" s="156">
        <f t="shared" si="346"/>
        <v>4.9813738204993116E-3</v>
      </c>
      <c r="BG269" s="156">
        <f t="shared" si="346"/>
        <v>9.8004776344782628E-5</v>
      </c>
      <c r="BH269" s="156">
        <f t="shared" si="346"/>
        <v>1.5575216858230436E-4</v>
      </c>
      <c r="BI269" s="156">
        <f t="shared" si="346"/>
        <v>0</v>
      </c>
      <c r="BJ269" s="156">
        <f t="shared" si="346"/>
        <v>4.1614655773074679E-3</v>
      </c>
      <c r="BK269" s="156">
        <f t="shared" si="346"/>
        <v>0</v>
      </c>
      <c r="BL269" s="156">
        <f t="shared" si="346"/>
        <v>0</v>
      </c>
      <c r="BM269" s="156">
        <f t="shared" si="346"/>
        <v>1.6982864137086904E-3</v>
      </c>
      <c r="BN269" s="156">
        <f t="shared" si="346"/>
        <v>2.5557157653741407E-4</v>
      </c>
      <c r="BO269" s="156">
        <f t="shared" ref="BO269:BZ269" si="347">BO110/BO$84</f>
        <v>3.8586150338344103E-4</v>
      </c>
      <c r="BP269" s="156">
        <f t="shared" si="347"/>
        <v>3.1961142107200771E-3</v>
      </c>
      <c r="BQ269" s="156">
        <f t="shared" si="347"/>
        <v>1.9392914910228687E-3</v>
      </c>
      <c r="BR269" s="156">
        <f t="shared" si="347"/>
        <v>2.7496455872462054E-3</v>
      </c>
      <c r="BS269" s="156">
        <f t="shared" si="347"/>
        <v>5.4333114069071969E-4</v>
      </c>
      <c r="BT269" s="156">
        <f t="shared" si="347"/>
        <v>6.7089205971848046E-4</v>
      </c>
      <c r="BU269" s="156">
        <f t="shared" si="347"/>
        <v>1.1185378244216893E-3</v>
      </c>
      <c r="BV269" s="156">
        <f t="shared" si="347"/>
        <v>2.8769859264499305E-4</v>
      </c>
      <c r="BW269" s="156">
        <f t="shared" si="347"/>
        <v>1.0432670360208029E-3</v>
      </c>
      <c r="BX269" s="156">
        <f t="shared" si="347"/>
        <v>7.415654349896981E-3</v>
      </c>
      <c r="BY269" s="156">
        <f t="shared" si="347"/>
        <v>4.1096670150787169E-2</v>
      </c>
      <c r="BZ269" s="156">
        <f t="shared" si="347"/>
        <v>2.0027860068726889E-3</v>
      </c>
      <c r="CA269" s="129">
        <f t="shared" si="279"/>
        <v>0</v>
      </c>
      <c r="CB269" s="18"/>
      <c r="CC269" s="250"/>
      <c r="CD269" s="130">
        <f t="shared" ref="CD269:CG269" si="348">CD110/(CD$79+CD$80)</f>
        <v>6.5689186813455086E-3</v>
      </c>
      <c r="CE269" s="130">
        <f t="shared" si="348"/>
        <v>3.0016311310531948E-4</v>
      </c>
      <c r="CF269" s="130">
        <f t="shared" si="348"/>
        <v>1.8141843900533763E-2</v>
      </c>
      <c r="CG269" s="131">
        <f t="shared" si="348"/>
        <v>6.7197228566160611E-3</v>
      </c>
      <c r="CH269" s="18"/>
      <c r="CI269" s="18"/>
      <c r="CJ269" s="18"/>
    </row>
    <row r="270" spans="1:88" ht="13.95" customHeight="1" x14ac:dyDescent="0.25">
      <c r="A270" s="153" t="s">
        <v>23</v>
      </c>
      <c r="B270" s="253"/>
      <c r="C270" s="128">
        <f t="shared" ref="C270:AH270" si="349">C111/C$84</f>
        <v>1.1450308147501233E-2</v>
      </c>
      <c r="D270" s="156">
        <f t="shared" si="349"/>
        <v>1.9633351483561794E-3</v>
      </c>
      <c r="E270" s="156">
        <f t="shared" si="349"/>
        <v>0</v>
      </c>
      <c r="F270" s="156">
        <f t="shared" si="349"/>
        <v>1.8263917623141359E-2</v>
      </c>
      <c r="G270" s="156">
        <f t="shared" si="349"/>
        <v>1.4563605195604519E-2</v>
      </c>
      <c r="H270" s="156">
        <f t="shared" si="349"/>
        <v>1.6741839609885811E-3</v>
      </c>
      <c r="I270" s="156">
        <f t="shared" si="349"/>
        <v>4.939022259813226E-3</v>
      </c>
      <c r="J270" s="156">
        <f t="shared" si="349"/>
        <v>2.5701189850631345E-3</v>
      </c>
      <c r="K270" s="156">
        <f t="shared" si="349"/>
        <v>1.7408504406854815E-2</v>
      </c>
      <c r="L270" s="156">
        <f t="shared" si="349"/>
        <v>7.4938543791772394E-3</v>
      </c>
      <c r="M270" s="156">
        <f t="shared" si="349"/>
        <v>3.3139168872115743E-3</v>
      </c>
      <c r="N270" s="156">
        <f t="shared" si="349"/>
        <v>3.8569227098402465E-3</v>
      </c>
      <c r="O270" s="156">
        <f t="shared" si="349"/>
        <v>7.3475430430302085E-3</v>
      </c>
      <c r="P270" s="156">
        <f t="shared" si="349"/>
        <v>3.982166685754426E-3</v>
      </c>
      <c r="Q270" s="156">
        <f t="shared" si="349"/>
        <v>5.3363247172041554E-3</v>
      </c>
      <c r="R270" s="156">
        <f t="shared" si="349"/>
        <v>4.4298190328387072E-3</v>
      </c>
      <c r="S270" s="156">
        <f t="shared" si="349"/>
        <v>2.1243472255140232E-3</v>
      </c>
      <c r="T270" s="156">
        <f t="shared" si="349"/>
        <v>1.5282041028006103E-3</v>
      </c>
      <c r="U270" s="156">
        <f t="shared" si="349"/>
        <v>2.5860689713034578E-3</v>
      </c>
      <c r="V270" s="156">
        <f t="shared" si="349"/>
        <v>3.8943533028726347E-3</v>
      </c>
      <c r="W270" s="156">
        <f t="shared" si="349"/>
        <v>1.2411323083354363E-2</v>
      </c>
      <c r="X270" s="156">
        <f t="shared" si="349"/>
        <v>6.6668152832146266E-3</v>
      </c>
      <c r="Y270" s="156">
        <f t="shared" si="349"/>
        <v>2.1476080439805107E-2</v>
      </c>
      <c r="Z270" s="156">
        <f t="shared" si="349"/>
        <v>7.2786355598400285E-2</v>
      </c>
      <c r="AA270" s="156">
        <f t="shared" si="349"/>
        <v>3.2665813689376433E-2</v>
      </c>
      <c r="AB270" s="156">
        <f t="shared" si="349"/>
        <v>3.9224901004877154E-2</v>
      </c>
      <c r="AC270" s="156">
        <f t="shared" si="349"/>
        <v>2.5738445373019387E-3</v>
      </c>
      <c r="AD270" s="156">
        <f t="shared" si="349"/>
        <v>1.3566501466046189E-2</v>
      </c>
      <c r="AE270" s="156">
        <f t="shared" si="349"/>
        <v>7.6101260341823351E-2</v>
      </c>
      <c r="AF270" s="156">
        <f t="shared" si="349"/>
        <v>6.3189388822864415E-3</v>
      </c>
      <c r="AG270" s="156">
        <f t="shared" si="349"/>
        <v>6.2966084216311427E-3</v>
      </c>
      <c r="AH270" s="156">
        <f t="shared" si="349"/>
        <v>5.5893600725639703E-3</v>
      </c>
      <c r="AI270" s="156">
        <f t="shared" ref="AI270:BN270" si="350">AI111/AI$84</f>
        <v>9.2230256641267182E-3</v>
      </c>
      <c r="AJ270" s="156">
        <f t="shared" si="350"/>
        <v>5.5659881683412585E-3</v>
      </c>
      <c r="AK270" s="156">
        <f t="shared" si="350"/>
        <v>5.184491782741097E-3</v>
      </c>
      <c r="AL270" s="156">
        <f t="shared" si="350"/>
        <v>3.1919417498686392E-3</v>
      </c>
      <c r="AM270" s="156">
        <f t="shared" si="350"/>
        <v>2.9928828760416083E-3</v>
      </c>
      <c r="AN270" s="156">
        <f t="shared" si="350"/>
        <v>1.6714386002915152E-3</v>
      </c>
      <c r="AO270" s="156">
        <f t="shared" si="350"/>
        <v>4.7954009875439602E-4</v>
      </c>
      <c r="AP270" s="156">
        <f t="shared" si="350"/>
        <v>1.288544006202819E-3</v>
      </c>
      <c r="AQ270" s="156">
        <f t="shared" si="350"/>
        <v>8.6287777764070775E-4</v>
      </c>
      <c r="AR270" s="156">
        <f t="shared" si="350"/>
        <v>1.743667275127251E-3</v>
      </c>
      <c r="AS270" s="156">
        <f t="shared" si="350"/>
        <v>3.0661885077101392E-3</v>
      </c>
      <c r="AT270" s="156">
        <f t="shared" si="350"/>
        <v>3.9855320099612705E-3</v>
      </c>
      <c r="AU270" s="156">
        <f t="shared" si="350"/>
        <v>3.1861427079196551E-4</v>
      </c>
      <c r="AV270" s="156">
        <f t="shared" si="350"/>
        <v>1.292705422208311E-3</v>
      </c>
      <c r="AW270" s="156">
        <f t="shared" si="350"/>
        <v>1.9630293960905937E-3</v>
      </c>
      <c r="AX270" s="156">
        <f t="shared" si="350"/>
        <v>6.0726613457492333E-4</v>
      </c>
      <c r="AY270" s="156">
        <f t="shared" si="350"/>
        <v>8.2814768523740295E-4</v>
      </c>
      <c r="AZ270" s="156">
        <f t="shared" si="350"/>
        <v>3.1288542768251361E-3</v>
      </c>
      <c r="BA270" s="156">
        <f t="shared" si="350"/>
        <v>1.5794211163338515E-5</v>
      </c>
      <c r="BB270" s="156">
        <f t="shared" si="350"/>
        <v>1.8741418383145566E-3</v>
      </c>
      <c r="BC270" s="156">
        <f t="shared" si="350"/>
        <v>2.8696573914451597E-4</v>
      </c>
      <c r="BD270" s="156">
        <f t="shared" si="350"/>
        <v>1.69771849638084E-3</v>
      </c>
      <c r="BE270" s="156">
        <f t="shared" si="350"/>
        <v>2.4044726369890201E-3</v>
      </c>
      <c r="BF270" s="156">
        <f t="shared" si="350"/>
        <v>8.9206016059757785E-3</v>
      </c>
      <c r="BG270" s="156">
        <f t="shared" si="350"/>
        <v>2.9224866885709221E-4</v>
      </c>
      <c r="BH270" s="156">
        <f t="shared" si="350"/>
        <v>4.1128993978586971E-3</v>
      </c>
      <c r="BI270" s="156">
        <f t="shared" si="350"/>
        <v>0</v>
      </c>
      <c r="BJ270" s="156">
        <f t="shared" si="350"/>
        <v>1.3585234196983188E-2</v>
      </c>
      <c r="BK270" s="156">
        <f t="shared" si="350"/>
        <v>6.5046453976815E-4</v>
      </c>
      <c r="BL270" s="156">
        <f t="shared" si="350"/>
        <v>2.5790230816085844E-4</v>
      </c>
      <c r="BM270" s="156">
        <f t="shared" si="350"/>
        <v>1.9381926577240443E-3</v>
      </c>
      <c r="BN270" s="156">
        <f t="shared" si="350"/>
        <v>4.4574780785416376E-3</v>
      </c>
      <c r="BO270" s="156">
        <f t="shared" ref="BO270:BZ270" si="351">BO111/BO$84</f>
        <v>8.9138591461664237E-4</v>
      </c>
      <c r="BP270" s="156">
        <f t="shared" si="351"/>
        <v>7.8439897533055293E-4</v>
      </c>
      <c r="BQ270" s="156">
        <f t="shared" si="351"/>
        <v>5.0236975907756514E-4</v>
      </c>
      <c r="BR270" s="156">
        <f t="shared" si="351"/>
        <v>5.2275994861138847E-4</v>
      </c>
      <c r="BS270" s="156">
        <f t="shared" si="351"/>
        <v>1.4475386691631083E-4</v>
      </c>
      <c r="BT270" s="156">
        <f t="shared" si="351"/>
        <v>4.4261068709296935E-4</v>
      </c>
      <c r="BU270" s="156">
        <f t="shared" si="351"/>
        <v>5.822525661373177E-4</v>
      </c>
      <c r="BV270" s="156">
        <f t="shared" si="351"/>
        <v>6.6422601520822119E-3</v>
      </c>
      <c r="BW270" s="156">
        <f t="shared" si="351"/>
        <v>1.0750607556330152E-3</v>
      </c>
      <c r="BX270" s="156">
        <f t="shared" si="351"/>
        <v>4.2013386834514159E-3</v>
      </c>
      <c r="BY270" s="156">
        <f t="shared" si="351"/>
        <v>2.2121911125054858E-4</v>
      </c>
      <c r="BZ270" s="156">
        <f t="shared" si="351"/>
        <v>1.1194959564533012E-3</v>
      </c>
      <c r="CA270" s="129">
        <f t="shared" si="279"/>
        <v>0</v>
      </c>
      <c r="CB270" s="18"/>
      <c r="CC270" s="250"/>
      <c r="CD270" s="130">
        <f t="shared" ref="CD270:CG270" si="352">CD111/(CD$79+CD$80)</f>
        <v>1.593196032149308E-3</v>
      </c>
      <c r="CE270" s="130">
        <f t="shared" si="352"/>
        <v>5.2582573286857025E-5</v>
      </c>
      <c r="CF270" s="130">
        <f t="shared" si="352"/>
        <v>9.0797296433315161E-2</v>
      </c>
      <c r="CG270" s="131">
        <f t="shared" si="352"/>
        <v>1.1316251394120905E-2</v>
      </c>
      <c r="CH270" s="18"/>
      <c r="CI270" s="18"/>
      <c r="CJ270" s="18"/>
    </row>
    <row r="271" spans="1:88" ht="13.95" customHeight="1" x14ac:dyDescent="0.25">
      <c r="A271" s="153" t="s">
        <v>24</v>
      </c>
      <c r="B271" s="253"/>
      <c r="C271" s="128">
        <f t="shared" ref="C271:AH271" si="353">C112/C$84</f>
        <v>5.2522877900283964E-4</v>
      </c>
      <c r="D271" s="156">
        <f t="shared" si="353"/>
        <v>6.0828896345339854E-3</v>
      </c>
      <c r="E271" s="156">
        <f t="shared" si="353"/>
        <v>0</v>
      </c>
      <c r="F271" s="156">
        <f t="shared" si="353"/>
        <v>2.1539304487712543E-4</v>
      </c>
      <c r="G271" s="156">
        <f t="shared" si="353"/>
        <v>1.4230265360722191E-3</v>
      </c>
      <c r="H271" s="156">
        <f t="shared" si="353"/>
        <v>7.0848003628393977E-4</v>
      </c>
      <c r="I271" s="156">
        <f t="shared" si="353"/>
        <v>5.4396037456490656E-4</v>
      </c>
      <c r="J271" s="156">
        <f t="shared" si="353"/>
        <v>0</v>
      </c>
      <c r="K271" s="156">
        <f t="shared" si="353"/>
        <v>2.7501653478828207E-4</v>
      </c>
      <c r="L271" s="156">
        <f t="shared" si="353"/>
        <v>3.7361092017507147E-4</v>
      </c>
      <c r="M271" s="156">
        <f t="shared" si="353"/>
        <v>3.3243416519738615E-4</v>
      </c>
      <c r="N271" s="156">
        <f t="shared" si="353"/>
        <v>1.1055189099563132E-3</v>
      </c>
      <c r="O271" s="156">
        <f t="shared" si="353"/>
        <v>2.4250236902262069E-4</v>
      </c>
      <c r="P271" s="156">
        <f t="shared" si="353"/>
        <v>4.4042362141922652E-4</v>
      </c>
      <c r="Q271" s="156">
        <f t="shared" si="353"/>
        <v>7.0506226013630289E-5</v>
      </c>
      <c r="R271" s="156">
        <f t="shared" si="353"/>
        <v>1.9493630781829033E-4</v>
      </c>
      <c r="S271" s="156">
        <f t="shared" si="353"/>
        <v>3.2895071877796597E-4</v>
      </c>
      <c r="T271" s="156">
        <f t="shared" si="353"/>
        <v>2.0147879884220028E-3</v>
      </c>
      <c r="U271" s="156">
        <f t="shared" si="353"/>
        <v>1.0550811586069789E-3</v>
      </c>
      <c r="V271" s="156">
        <f t="shared" si="353"/>
        <v>7.4251174489293651E-5</v>
      </c>
      <c r="W271" s="156">
        <f t="shared" si="353"/>
        <v>1.7912290957765153E-3</v>
      </c>
      <c r="X271" s="156">
        <f t="shared" si="353"/>
        <v>3.78546226301636E-5</v>
      </c>
      <c r="Y271" s="156">
        <f t="shared" si="353"/>
        <v>9.3779400535661667E-4</v>
      </c>
      <c r="Z271" s="156">
        <f t="shared" si="353"/>
        <v>5.2233838790891806E-3</v>
      </c>
      <c r="AA271" s="156">
        <f t="shared" si="353"/>
        <v>0.16297252605240681</v>
      </c>
      <c r="AB271" s="156">
        <f t="shared" si="353"/>
        <v>5.2214130517967625E-3</v>
      </c>
      <c r="AC271" s="156">
        <f t="shared" si="353"/>
        <v>2.3541534085984479E-3</v>
      </c>
      <c r="AD271" s="156">
        <f t="shared" si="353"/>
        <v>2.276343338968864E-4</v>
      </c>
      <c r="AE271" s="156">
        <f t="shared" si="353"/>
        <v>3.0502239377820265E-2</v>
      </c>
      <c r="AF271" s="156">
        <f t="shared" si="353"/>
        <v>1.6811191289115108E-4</v>
      </c>
      <c r="AG271" s="156">
        <f t="shared" si="353"/>
        <v>1.7037147198919924E-3</v>
      </c>
      <c r="AH271" s="156">
        <f t="shared" si="353"/>
        <v>3.4329345277460468E-3</v>
      </c>
      <c r="AI271" s="156">
        <f t="shared" ref="AI271:BN271" si="354">AI112/AI$84</f>
        <v>2.5835302061790666E-3</v>
      </c>
      <c r="AJ271" s="156">
        <f t="shared" si="354"/>
        <v>6.2525863143576127E-4</v>
      </c>
      <c r="AK271" s="156">
        <f t="shared" si="354"/>
        <v>8.0688315278406222E-3</v>
      </c>
      <c r="AL271" s="156">
        <f t="shared" si="354"/>
        <v>6.0841451223863003E-4</v>
      </c>
      <c r="AM271" s="156">
        <f t="shared" si="354"/>
        <v>2.3005652819043052E-4</v>
      </c>
      <c r="AN271" s="156">
        <f t="shared" si="354"/>
        <v>2.3028680559752362E-2</v>
      </c>
      <c r="AO271" s="156">
        <f t="shared" si="354"/>
        <v>0</v>
      </c>
      <c r="AP271" s="156">
        <f t="shared" si="354"/>
        <v>1.5864038233571629E-3</v>
      </c>
      <c r="AQ271" s="156">
        <f t="shared" si="354"/>
        <v>6.9952128522494581E-4</v>
      </c>
      <c r="AR271" s="156">
        <f t="shared" si="354"/>
        <v>4.0043036945538329E-4</v>
      </c>
      <c r="AS271" s="156">
        <f t="shared" si="354"/>
        <v>4.978050864139664E-4</v>
      </c>
      <c r="AT271" s="156">
        <f t="shared" si="354"/>
        <v>5.264563510929426E-4</v>
      </c>
      <c r="AU271" s="156">
        <f t="shared" si="354"/>
        <v>0</v>
      </c>
      <c r="AV271" s="156">
        <f t="shared" si="354"/>
        <v>6.7928081144088691E-4</v>
      </c>
      <c r="AW271" s="156">
        <f t="shared" si="354"/>
        <v>4.8964405450945708E-4</v>
      </c>
      <c r="AX271" s="156">
        <f t="shared" si="354"/>
        <v>3.0267583819765248E-4</v>
      </c>
      <c r="AY271" s="156">
        <f t="shared" si="354"/>
        <v>2.6789850528935494E-3</v>
      </c>
      <c r="AZ271" s="156">
        <f t="shared" si="354"/>
        <v>0</v>
      </c>
      <c r="BA271" s="156">
        <f t="shared" si="354"/>
        <v>1.3117142038483341E-4</v>
      </c>
      <c r="BB271" s="156">
        <f t="shared" si="354"/>
        <v>1.5706745311436815E-4</v>
      </c>
      <c r="BC271" s="156">
        <f t="shared" si="354"/>
        <v>2.3708472066165013E-4</v>
      </c>
      <c r="BD271" s="156">
        <f t="shared" si="354"/>
        <v>4.7985979988593273E-4</v>
      </c>
      <c r="BE271" s="156">
        <f t="shared" si="354"/>
        <v>6.6301995177173579E-4</v>
      </c>
      <c r="BF271" s="156">
        <f t="shared" si="354"/>
        <v>3.6421196747767618E-4</v>
      </c>
      <c r="BG271" s="156">
        <f t="shared" si="354"/>
        <v>2.2389847428453161E-4</v>
      </c>
      <c r="BH271" s="156">
        <f t="shared" si="354"/>
        <v>7.9764976246776568E-4</v>
      </c>
      <c r="BI271" s="156">
        <f t="shared" si="354"/>
        <v>8.5570865926026525E-4</v>
      </c>
      <c r="BJ271" s="156">
        <f t="shared" si="354"/>
        <v>2.1183790356642286E-3</v>
      </c>
      <c r="BK271" s="156">
        <f t="shared" si="354"/>
        <v>6.6780507681158069E-4</v>
      </c>
      <c r="BL271" s="156">
        <f t="shared" si="354"/>
        <v>1.4420065404370948E-3</v>
      </c>
      <c r="BM271" s="156">
        <f t="shared" si="354"/>
        <v>1.8368179585175563E-3</v>
      </c>
      <c r="BN271" s="156">
        <f t="shared" si="354"/>
        <v>2.6462500602142123E-3</v>
      </c>
      <c r="BO271" s="156">
        <f t="shared" ref="BO271:BZ271" si="355">BO112/BO$84</f>
        <v>1.7994224143854311E-4</v>
      </c>
      <c r="BP271" s="156">
        <f t="shared" si="355"/>
        <v>9.663697261541685E-4</v>
      </c>
      <c r="BQ271" s="156">
        <f t="shared" si="355"/>
        <v>2.7690428825710771E-4</v>
      </c>
      <c r="BR271" s="156">
        <f t="shared" si="355"/>
        <v>1.1206979008502773E-4</v>
      </c>
      <c r="BS271" s="156">
        <f t="shared" si="355"/>
        <v>2.013490341449472E-4</v>
      </c>
      <c r="BT271" s="156">
        <f t="shared" si="355"/>
        <v>1.3777657431077292E-4</v>
      </c>
      <c r="BU271" s="156">
        <f t="shared" si="355"/>
        <v>0</v>
      </c>
      <c r="BV271" s="156">
        <f t="shared" si="355"/>
        <v>5.486931127677713E-4</v>
      </c>
      <c r="BW271" s="156">
        <f t="shared" si="355"/>
        <v>4.6721953551996632E-4</v>
      </c>
      <c r="BX271" s="156">
        <f t="shared" si="355"/>
        <v>4.151060266718758E-3</v>
      </c>
      <c r="BY271" s="156">
        <f t="shared" si="355"/>
        <v>0</v>
      </c>
      <c r="BZ271" s="156">
        <f t="shared" si="355"/>
        <v>7.9976818053468135E-4</v>
      </c>
      <c r="CA271" s="129">
        <f t="shared" si="279"/>
        <v>0</v>
      </c>
      <c r="CB271" s="18"/>
      <c r="CC271" s="250"/>
      <c r="CD271" s="130">
        <f t="shared" ref="CD271:CG271" si="356">CD112/(CD$79+CD$80)</f>
        <v>3.0857710604786887E-2</v>
      </c>
      <c r="CE271" s="130">
        <f t="shared" si="356"/>
        <v>1.2198054759361162E-4</v>
      </c>
      <c r="CF271" s="130">
        <f t="shared" si="356"/>
        <v>5.2850290896542487E-2</v>
      </c>
      <c r="CG271" s="131">
        <f t="shared" si="356"/>
        <v>3.1450241405740027E-3</v>
      </c>
      <c r="CH271" s="18"/>
      <c r="CI271" s="18"/>
      <c r="CJ271" s="18"/>
    </row>
    <row r="272" spans="1:88" ht="13.95" customHeight="1" x14ac:dyDescent="0.25">
      <c r="A272" s="153" t="s">
        <v>25</v>
      </c>
      <c r="B272" s="253"/>
      <c r="C272" s="128">
        <f t="shared" ref="C272:AH272" si="357">C113/C$84</f>
        <v>1.8806563183393989E-4</v>
      </c>
      <c r="D272" s="156">
        <f t="shared" si="357"/>
        <v>1.017941965665398E-3</v>
      </c>
      <c r="E272" s="156">
        <f t="shared" si="357"/>
        <v>1.7315401219194003E-3</v>
      </c>
      <c r="F272" s="156">
        <f t="shared" si="357"/>
        <v>2.1558379506047762E-3</v>
      </c>
      <c r="G272" s="156">
        <f t="shared" si="357"/>
        <v>1.5156058847687129E-3</v>
      </c>
      <c r="H272" s="156">
        <f t="shared" si="357"/>
        <v>5.0602772287823582E-6</v>
      </c>
      <c r="I272" s="156">
        <f t="shared" si="357"/>
        <v>1.3612621986108772E-5</v>
      </c>
      <c r="J272" s="156">
        <f t="shared" si="357"/>
        <v>0</v>
      </c>
      <c r="K272" s="156">
        <f t="shared" si="357"/>
        <v>0</v>
      </c>
      <c r="L272" s="156">
        <f t="shared" si="357"/>
        <v>0</v>
      </c>
      <c r="M272" s="156">
        <f t="shared" si="357"/>
        <v>0</v>
      </c>
      <c r="N272" s="156">
        <f t="shared" si="357"/>
        <v>6.1509326855537467E-6</v>
      </c>
      <c r="O272" s="156">
        <f t="shared" si="357"/>
        <v>8.2861311045346873E-6</v>
      </c>
      <c r="P272" s="156">
        <f t="shared" si="357"/>
        <v>9.2516566247643711E-6</v>
      </c>
      <c r="Q272" s="156">
        <f t="shared" si="357"/>
        <v>7.8202328148920916E-6</v>
      </c>
      <c r="R272" s="156">
        <f t="shared" si="357"/>
        <v>3.0784113303620764E-6</v>
      </c>
      <c r="S272" s="156">
        <f t="shared" si="357"/>
        <v>2.0851897027138849E-5</v>
      </c>
      <c r="T272" s="156">
        <f t="shared" si="357"/>
        <v>1.2073348861084438E-4</v>
      </c>
      <c r="U272" s="156">
        <f t="shared" si="357"/>
        <v>5.0515789169139259E-6</v>
      </c>
      <c r="V272" s="156">
        <f t="shared" si="357"/>
        <v>5.1476519233792308E-5</v>
      </c>
      <c r="W272" s="156">
        <f t="shared" si="357"/>
        <v>1.3958540944951931E-4</v>
      </c>
      <c r="X272" s="156">
        <f t="shared" si="357"/>
        <v>6.4236426398672216E-5</v>
      </c>
      <c r="Y272" s="156">
        <f t="shared" si="357"/>
        <v>9.036584832222786E-5</v>
      </c>
      <c r="Z272" s="156">
        <f t="shared" si="357"/>
        <v>7.5800641115172641E-5</v>
      </c>
      <c r="AA272" s="156">
        <f t="shared" si="357"/>
        <v>3.7200507516205579E-4</v>
      </c>
      <c r="AB272" s="156">
        <f t="shared" si="357"/>
        <v>9.4855564852934449E-2</v>
      </c>
      <c r="AC272" s="156">
        <f t="shared" si="357"/>
        <v>1.6986310888121236E-5</v>
      </c>
      <c r="AD272" s="156">
        <f t="shared" si="357"/>
        <v>1.9122507887843277E-5</v>
      </c>
      <c r="AE272" s="156">
        <f t="shared" si="357"/>
        <v>7.4826596378064179E-3</v>
      </c>
      <c r="AF272" s="156">
        <f t="shared" si="357"/>
        <v>5.2568215747971201E-5</v>
      </c>
      <c r="AG272" s="156">
        <f t="shared" si="357"/>
        <v>6.3649087890210219E-6</v>
      </c>
      <c r="AH272" s="156">
        <f t="shared" si="357"/>
        <v>8.8770621002250632E-5</v>
      </c>
      <c r="AI272" s="156">
        <f t="shared" ref="AI272:BN272" si="358">AI113/AI$84</f>
        <v>8.2934635913495757E-4</v>
      </c>
      <c r="AJ272" s="156">
        <f t="shared" si="358"/>
        <v>3.0834648458523738E-5</v>
      </c>
      <c r="AK272" s="156">
        <f t="shared" si="358"/>
        <v>3.8392476479026747E-5</v>
      </c>
      <c r="AL272" s="156">
        <f t="shared" si="358"/>
        <v>2.2272823073453765E-6</v>
      </c>
      <c r="AM272" s="156">
        <f t="shared" si="358"/>
        <v>2.6826601222233122E-5</v>
      </c>
      <c r="AN272" s="156">
        <f t="shared" si="358"/>
        <v>4.869736996318561E-3</v>
      </c>
      <c r="AO272" s="156">
        <f t="shared" si="358"/>
        <v>1.5785385515374149E-2</v>
      </c>
      <c r="AP272" s="156">
        <f t="shared" si="358"/>
        <v>3.0716757376286861E-4</v>
      </c>
      <c r="AQ272" s="156">
        <f t="shared" si="358"/>
        <v>7.1835735662002353E-4</v>
      </c>
      <c r="AR272" s="156">
        <f t="shared" si="358"/>
        <v>0</v>
      </c>
      <c r="AS272" s="156">
        <f t="shared" si="358"/>
        <v>0</v>
      </c>
      <c r="AT272" s="156">
        <f t="shared" si="358"/>
        <v>4.6217357673872861E-5</v>
      </c>
      <c r="AU272" s="156">
        <f t="shared" si="358"/>
        <v>0</v>
      </c>
      <c r="AV272" s="156">
        <f t="shared" si="358"/>
        <v>1.1168730661967198E-5</v>
      </c>
      <c r="AW272" s="156">
        <f t="shared" si="358"/>
        <v>3.2496781379924321E-5</v>
      </c>
      <c r="AX272" s="156">
        <f t="shared" si="358"/>
        <v>0</v>
      </c>
      <c r="AY272" s="156">
        <f t="shared" si="358"/>
        <v>0</v>
      </c>
      <c r="AZ272" s="156">
        <f t="shared" si="358"/>
        <v>0</v>
      </c>
      <c r="BA272" s="156">
        <f t="shared" si="358"/>
        <v>0</v>
      </c>
      <c r="BB272" s="156">
        <f t="shared" si="358"/>
        <v>1.4317209041107864E-6</v>
      </c>
      <c r="BC272" s="156">
        <f t="shared" si="358"/>
        <v>0</v>
      </c>
      <c r="BD272" s="156">
        <f t="shared" si="358"/>
        <v>1.5119674293219089E-5</v>
      </c>
      <c r="BE272" s="156">
        <f t="shared" si="358"/>
        <v>1.1988261238814638E-5</v>
      </c>
      <c r="BF272" s="156">
        <f t="shared" si="358"/>
        <v>0</v>
      </c>
      <c r="BG272" s="156">
        <f t="shared" si="358"/>
        <v>0</v>
      </c>
      <c r="BH272" s="156">
        <f t="shared" si="358"/>
        <v>0</v>
      </c>
      <c r="BI272" s="156">
        <f t="shared" si="358"/>
        <v>0</v>
      </c>
      <c r="BJ272" s="156">
        <f t="shared" si="358"/>
        <v>8.8138287998665649E-5</v>
      </c>
      <c r="BK272" s="156">
        <f t="shared" si="358"/>
        <v>0</v>
      </c>
      <c r="BL272" s="156">
        <f t="shared" si="358"/>
        <v>6.7909954510698403E-5</v>
      </c>
      <c r="BM272" s="156">
        <f t="shared" si="358"/>
        <v>0</v>
      </c>
      <c r="BN272" s="156">
        <f t="shared" si="358"/>
        <v>0</v>
      </c>
      <c r="BO272" s="156">
        <f t="shared" ref="BO272:BZ272" si="359">BO113/BO$84</f>
        <v>0</v>
      </c>
      <c r="BP272" s="156">
        <f t="shared" si="359"/>
        <v>1.8119567940316197E-3</v>
      </c>
      <c r="BQ272" s="156">
        <f t="shared" si="359"/>
        <v>1.7156955514695791E-5</v>
      </c>
      <c r="BR272" s="156">
        <f t="shared" si="359"/>
        <v>9.8014332686391582E-6</v>
      </c>
      <c r="BS272" s="156">
        <f t="shared" si="359"/>
        <v>0</v>
      </c>
      <c r="BT272" s="156">
        <f t="shared" si="359"/>
        <v>1.1749101606781435E-5</v>
      </c>
      <c r="BU272" s="156">
        <f t="shared" si="359"/>
        <v>0</v>
      </c>
      <c r="BV272" s="156">
        <f t="shared" si="359"/>
        <v>0</v>
      </c>
      <c r="BW272" s="156">
        <f t="shared" si="359"/>
        <v>1.0689071324822645E-4</v>
      </c>
      <c r="BX272" s="156">
        <f t="shared" si="359"/>
        <v>0</v>
      </c>
      <c r="BY272" s="156">
        <f t="shared" si="359"/>
        <v>0</v>
      </c>
      <c r="BZ272" s="156">
        <f t="shared" si="359"/>
        <v>0</v>
      </c>
      <c r="CA272" s="129">
        <f t="shared" si="279"/>
        <v>0</v>
      </c>
      <c r="CB272" s="18"/>
      <c r="CC272" s="250"/>
      <c r="CD272" s="130">
        <f t="shared" ref="CD272:CG272" si="360">CD113/(CD$79+CD$80)</f>
        <v>7.620863149209316E-4</v>
      </c>
      <c r="CE272" s="130">
        <f t="shared" si="360"/>
        <v>6.7032486113198758E-5</v>
      </c>
      <c r="CF272" s="130">
        <f t="shared" si="360"/>
        <v>8.7649999352592562E-3</v>
      </c>
      <c r="CG272" s="131">
        <f t="shared" si="360"/>
        <v>7.3001290270257875E-4</v>
      </c>
      <c r="CH272" s="18"/>
      <c r="CI272" s="18"/>
      <c r="CJ272" s="18"/>
    </row>
    <row r="273" spans="1:88" ht="13.95" customHeight="1" x14ac:dyDescent="0.25">
      <c r="A273" s="153" t="s">
        <v>26</v>
      </c>
      <c r="B273" s="253"/>
      <c r="C273" s="128">
        <f t="shared" ref="C273:AH273" si="361">C114/C$84</f>
        <v>1.0186726388358951E-5</v>
      </c>
      <c r="D273" s="156">
        <f t="shared" si="361"/>
        <v>1.1025677316741122E-4</v>
      </c>
      <c r="E273" s="156">
        <f t="shared" si="361"/>
        <v>0</v>
      </c>
      <c r="F273" s="156">
        <f t="shared" si="361"/>
        <v>4.7996870459694537E-5</v>
      </c>
      <c r="G273" s="156">
        <f t="shared" si="361"/>
        <v>5.4924544105966579E-5</v>
      </c>
      <c r="H273" s="156">
        <f t="shared" si="361"/>
        <v>2.6115565168502028E-5</v>
      </c>
      <c r="I273" s="156">
        <f t="shared" si="361"/>
        <v>9.6195862035168657E-6</v>
      </c>
      <c r="J273" s="156">
        <f t="shared" si="361"/>
        <v>9.1349205993911418E-5</v>
      </c>
      <c r="K273" s="156">
        <f t="shared" si="361"/>
        <v>8.3307620061826761E-5</v>
      </c>
      <c r="L273" s="156">
        <f t="shared" si="361"/>
        <v>8.8551364363882612E-5</v>
      </c>
      <c r="M273" s="156">
        <f t="shared" si="361"/>
        <v>1.4015517069297466E-4</v>
      </c>
      <c r="N273" s="156">
        <f t="shared" si="361"/>
        <v>5.4868936973303487E-4</v>
      </c>
      <c r="O273" s="156">
        <f t="shared" si="361"/>
        <v>7.3156148314347541E-5</v>
      </c>
      <c r="P273" s="156">
        <f t="shared" si="361"/>
        <v>4.7526655403023423E-5</v>
      </c>
      <c r="Q273" s="156">
        <f t="shared" si="361"/>
        <v>3.8143584546106327E-5</v>
      </c>
      <c r="R273" s="156">
        <f t="shared" si="361"/>
        <v>6.362050082748291E-5</v>
      </c>
      <c r="S273" s="156">
        <f t="shared" si="361"/>
        <v>1.6399363239495669E-4</v>
      </c>
      <c r="T273" s="156">
        <f t="shared" si="361"/>
        <v>3.8156718251018446E-4</v>
      </c>
      <c r="U273" s="156">
        <f t="shared" si="361"/>
        <v>2.3620623947467092E-4</v>
      </c>
      <c r="V273" s="156">
        <f t="shared" si="361"/>
        <v>3.7850381789553163E-5</v>
      </c>
      <c r="W273" s="156">
        <f t="shared" si="361"/>
        <v>3.2888560457489167E-4</v>
      </c>
      <c r="X273" s="156">
        <f t="shared" si="361"/>
        <v>8.6046141462412384E-6</v>
      </c>
      <c r="Y273" s="156">
        <f t="shared" si="361"/>
        <v>4.4243160798711098E-4</v>
      </c>
      <c r="Z273" s="156">
        <f t="shared" si="361"/>
        <v>3.7142735027284756E-5</v>
      </c>
      <c r="AA273" s="156">
        <f t="shared" si="361"/>
        <v>3.2910322540343292E-5</v>
      </c>
      <c r="AB273" s="156">
        <f t="shared" si="361"/>
        <v>4.1677711175657785E-4</v>
      </c>
      <c r="AC273" s="156">
        <f t="shared" si="361"/>
        <v>1.6704170752277793E-2</v>
      </c>
      <c r="AD273" s="156">
        <f t="shared" si="361"/>
        <v>1.1771815855756322E-4</v>
      </c>
      <c r="AE273" s="156">
        <f t="shared" si="361"/>
        <v>4.6644404379809398E-5</v>
      </c>
      <c r="AF273" s="156">
        <f t="shared" si="361"/>
        <v>9.7450656950665671E-5</v>
      </c>
      <c r="AG273" s="156">
        <f t="shared" si="361"/>
        <v>6.4873108811175795E-5</v>
      </c>
      <c r="AH273" s="156">
        <f t="shared" si="361"/>
        <v>1.0748668832781348E-4</v>
      </c>
      <c r="AI273" s="156">
        <f t="shared" ref="AI273:BN273" si="362">AI114/AI$84</f>
        <v>1.215672029494493E-4</v>
      </c>
      <c r="AJ273" s="156">
        <f t="shared" si="362"/>
        <v>1.0241477243429175E-4</v>
      </c>
      <c r="AK273" s="156">
        <f t="shared" si="362"/>
        <v>1.0172479727121848E-4</v>
      </c>
      <c r="AL273" s="156">
        <f t="shared" si="362"/>
        <v>4.0949930750987489E-5</v>
      </c>
      <c r="AM273" s="156">
        <f t="shared" si="362"/>
        <v>6.8454085877422448E-5</v>
      </c>
      <c r="AN273" s="156">
        <f t="shared" si="362"/>
        <v>8.8620425247086976E-5</v>
      </c>
      <c r="AO273" s="156">
        <f t="shared" si="362"/>
        <v>3.2769526017384236E-5</v>
      </c>
      <c r="AP273" s="156">
        <f t="shared" si="362"/>
        <v>8.3862654929175512E-5</v>
      </c>
      <c r="AQ273" s="156">
        <f t="shared" si="362"/>
        <v>3.5224779992696378E-4</v>
      </c>
      <c r="AR273" s="156">
        <f t="shared" si="362"/>
        <v>2.6937329606185266E-4</v>
      </c>
      <c r="AS273" s="156">
        <f t="shared" si="362"/>
        <v>6.7214515241413429E-5</v>
      </c>
      <c r="AT273" s="156">
        <f t="shared" si="362"/>
        <v>9.198307993073719E-5</v>
      </c>
      <c r="AU273" s="156">
        <f t="shared" si="362"/>
        <v>3.8814825888335515E-6</v>
      </c>
      <c r="AV273" s="156">
        <f t="shared" si="362"/>
        <v>2.6291608204258186E-5</v>
      </c>
      <c r="AW273" s="156">
        <f t="shared" si="362"/>
        <v>6.5495972591442695E-5</v>
      </c>
      <c r="AX273" s="156">
        <f t="shared" si="362"/>
        <v>6.2698505382499171E-5</v>
      </c>
      <c r="AY273" s="156">
        <f t="shared" si="362"/>
        <v>3.0809611205619038E-5</v>
      </c>
      <c r="AZ273" s="156">
        <f t="shared" si="362"/>
        <v>5.4313440372096868E-4</v>
      </c>
      <c r="BA273" s="156">
        <f t="shared" si="362"/>
        <v>2.534523885739511E-4</v>
      </c>
      <c r="BB273" s="156">
        <f t="shared" si="362"/>
        <v>1.7776988172336295E-4</v>
      </c>
      <c r="BC273" s="156">
        <f t="shared" si="362"/>
        <v>3.9449170867458787E-5</v>
      </c>
      <c r="BD273" s="156">
        <f t="shared" si="362"/>
        <v>8.333080763431708E-5</v>
      </c>
      <c r="BE273" s="156">
        <f t="shared" si="362"/>
        <v>3.7947804372488438E-5</v>
      </c>
      <c r="BF273" s="156">
        <f t="shared" si="362"/>
        <v>1.0361761056957013E-4</v>
      </c>
      <c r="BG273" s="156">
        <f t="shared" si="362"/>
        <v>6.3117033083344928E-5</v>
      </c>
      <c r="BH273" s="156">
        <f t="shared" si="362"/>
        <v>9.8849298419119566E-4</v>
      </c>
      <c r="BI273" s="156">
        <f t="shared" si="362"/>
        <v>2.9885052127832313E-5</v>
      </c>
      <c r="BJ273" s="156">
        <f t="shared" si="362"/>
        <v>4.0824067771987831E-5</v>
      </c>
      <c r="BK273" s="156">
        <f t="shared" si="362"/>
        <v>3.6236279202864065E-5</v>
      </c>
      <c r="BL273" s="156">
        <f t="shared" si="362"/>
        <v>1.5638297412768971E-5</v>
      </c>
      <c r="BM273" s="156">
        <f t="shared" si="362"/>
        <v>1.8463933921181693E-4</v>
      </c>
      <c r="BN273" s="156">
        <f t="shared" si="362"/>
        <v>9.4948712980263519E-5</v>
      </c>
      <c r="BO273" s="156">
        <f t="shared" ref="BO273:BZ273" si="363">BO114/BO$84</f>
        <v>1.833672035742694E-5</v>
      </c>
      <c r="BP273" s="156">
        <f t="shared" si="363"/>
        <v>5.2961823218940522E-5</v>
      </c>
      <c r="BQ273" s="156">
        <f t="shared" si="363"/>
        <v>1.1354998764987645E-4</v>
      </c>
      <c r="BR273" s="156">
        <f t="shared" si="363"/>
        <v>6.8536269516699809E-4</v>
      </c>
      <c r="BS273" s="156">
        <f t="shared" si="363"/>
        <v>4.9545978312784519E-4</v>
      </c>
      <c r="BT273" s="156">
        <f t="shared" si="363"/>
        <v>5.9773554424500546E-4</v>
      </c>
      <c r="BU273" s="156">
        <f t="shared" si="363"/>
        <v>4.7400697022554131E-4</v>
      </c>
      <c r="BV273" s="156">
        <f t="shared" si="363"/>
        <v>7.3562162042327471E-5</v>
      </c>
      <c r="BW273" s="156">
        <f t="shared" si="363"/>
        <v>2.5947777618999106E-4</v>
      </c>
      <c r="BX273" s="156">
        <f t="shared" si="363"/>
        <v>3.0908862745485914E-6</v>
      </c>
      <c r="BY273" s="156">
        <f t="shared" si="363"/>
        <v>1.0930171002298686E-3</v>
      </c>
      <c r="BZ273" s="156">
        <f t="shared" si="363"/>
        <v>1.6395864719475898E-4</v>
      </c>
      <c r="CA273" s="129">
        <f t="shared" si="279"/>
        <v>0</v>
      </c>
      <c r="CB273" s="18"/>
      <c r="CC273" s="250"/>
      <c r="CD273" s="130">
        <f t="shared" ref="CD273:CG273" si="364">CD114/(CD$79+CD$80)</f>
        <v>2.2299526672799413E-3</v>
      </c>
      <c r="CE273" s="130">
        <f t="shared" si="364"/>
        <v>1.7369618803466284E-6</v>
      </c>
      <c r="CF273" s="130">
        <f t="shared" si="364"/>
        <v>2.3581553700330344E-3</v>
      </c>
      <c r="CG273" s="131">
        <f t="shared" si="364"/>
        <v>2.5825928161647832E-3</v>
      </c>
      <c r="CH273" s="18"/>
      <c r="CI273" s="18"/>
      <c r="CJ273" s="18"/>
    </row>
    <row r="274" spans="1:88" ht="13.95" customHeight="1" x14ac:dyDescent="0.25">
      <c r="A274" s="153" t="s">
        <v>27</v>
      </c>
      <c r="B274" s="253"/>
      <c r="C274" s="128">
        <f t="shared" ref="C274:AH274" si="365">C115/C$84</f>
        <v>3.8900075387607368E-5</v>
      </c>
      <c r="D274" s="156">
        <f t="shared" si="365"/>
        <v>2.9992622614176796E-4</v>
      </c>
      <c r="E274" s="156">
        <f t="shared" si="365"/>
        <v>9.9805315773436468E-4</v>
      </c>
      <c r="F274" s="156">
        <f t="shared" si="365"/>
        <v>4.5006732450390259E-5</v>
      </c>
      <c r="G274" s="156">
        <f t="shared" si="365"/>
        <v>1.4073144593366036E-4</v>
      </c>
      <c r="H274" s="156">
        <f t="shared" si="365"/>
        <v>1.8933784747163969E-4</v>
      </c>
      <c r="I274" s="156">
        <f t="shared" si="365"/>
        <v>1.6037937469967152E-3</v>
      </c>
      <c r="J274" s="156">
        <f t="shared" si="365"/>
        <v>2.8856669708010428E-4</v>
      </c>
      <c r="K274" s="156">
        <f t="shared" si="365"/>
        <v>3.1988098332056401E-4</v>
      </c>
      <c r="L274" s="156">
        <f t="shared" si="365"/>
        <v>1.8305076327781612E-4</v>
      </c>
      <c r="M274" s="156">
        <f t="shared" si="365"/>
        <v>8.2915490100044919E-4</v>
      </c>
      <c r="N274" s="156">
        <f t="shared" si="365"/>
        <v>1.7047244502558107E-4</v>
      </c>
      <c r="O274" s="156">
        <f t="shared" si="365"/>
        <v>1.4256199875875276E-4</v>
      </c>
      <c r="P274" s="156">
        <f t="shared" si="365"/>
        <v>1.1064682882681906E-4</v>
      </c>
      <c r="Q274" s="156">
        <f t="shared" si="365"/>
        <v>5.6834118303240717E-5</v>
      </c>
      <c r="R274" s="156">
        <f t="shared" si="365"/>
        <v>7.4744421963284045E-5</v>
      </c>
      <c r="S274" s="156">
        <f t="shared" si="365"/>
        <v>2.7639430372969555E-3</v>
      </c>
      <c r="T274" s="156">
        <f t="shared" si="365"/>
        <v>9.6768637993629978E-5</v>
      </c>
      <c r="U274" s="156">
        <f t="shared" si="365"/>
        <v>1.1053573471950789E-4</v>
      </c>
      <c r="V274" s="156">
        <f t="shared" si="365"/>
        <v>4.949541414438165E-5</v>
      </c>
      <c r="W274" s="156">
        <f t="shared" si="365"/>
        <v>6.5580987001390048E-5</v>
      </c>
      <c r="X274" s="156">
        <f t="shared" si="365"/>
        <v>3.8033530449045844E-4</v>
      </c>
      <c r="Y274" s="156">
        <f t="shared" si="365"/>
        <v>2.3328243466705506E-4</v>
      </c>
      <c r="Z274" s="156">
        <f t="shared" si="365"/>
        <v>1.3552363375394553E-4</v>
      </c>
      <c r="AA274" s="156">
        <f t="shared" si="365"/>
        <v>8.252601153996373E-5</v>
      </c>
      <c r="AB274" s="156">
        <f t="shared" si="365"/>
        <v>9.3593238716312976E-5</v>
      </c>
      <c r="AC274" s="156">
        <f t="shared" si="365"/>
        <v>6.8126189607218589E-5</v>
      </c>
      <c r="AD274" s="156">
        <f t="shared" si="365"/>
        <v>4.1890989619614308E-2</v>
      </c>
      <c r="AE274" s="156">
        <f t="shared" si="365"/>
        <v>1.1269131310248069E-4</v>
      </c>
      <c r="AF274" s="156">
        <f t="shared" si="365"/>
        <v>1.2614598821140475E-5</v>
      </c>
      <c r="AG274" s="156">
        <f t="shared" si="365"/>
        <v>6.389389207440334E-5</v>
      </c>
      <c r="AH274" s="156">
        <f t="shared" si="365"/>
        <v>6.720531996371802E-4</v>
      </c>
      <c r="AI274" s="156">
        <f t="shared" ref="AI274:BN274" si="366">AI115/AI$84</f>
        <v>9.481878400451816E-4</v>
      </c>
      <c r="AJ274" s="156">
        <f t="shared" si="366"/>
        <v>1.8292794776946699E-4</v>
      </c>
      <c r="AK274" s="156">
        <f t="shared" si="366"/>
        <v>1.5213877483463231E-4</v>
      </c>
      <c r="AL274" s="156">
        <f t="shared" si="366"/>
        <v>8.9709663731329979E-5</v>
      </c>
      <c r="AM274" s="156">
        <f t="shared" si="366"/>
        <v>2.7784582130870435E-4</v>
      </c>
      <c r="AN274" s="156">
        <f t="shared" si="366"/>
        <v>1.366794731256871E-4</v>
      </c>
      <c r="AO274" s="156">
        <f t="shared" si="366"/>
        <v>1.1907531256316946E-4</v>
      </c>
      <c r="AP274" s="156">
        <f t="shared" si="366"/>
        <v>3.2187197229528839E-4</v>
      </c>
      <c r="AQ274" s="156">
        <f t="shared" si="366"/>
        <v>1.6655331861732093E-3</v>
      </c>
      <c r="AR274" s="156">
        <f t="shared" si="366"/>
        <v>6.3465237961453E-4</v>
      </c>
      <c r="AS274" s="156">
        <f t="shared" si="366"/>
        <v>4.3724241042544316E-4</v>
      </c>
      <c r="AT274" s="156">
        <f t="shared" si="366"/>
        <v>1.2641275322068744E-3</v>
      </c>
      <c r="AU274" s="156">
        <f t="shared" si="366"/>
        <v>1.5259771549242762E-4</v>
      </c>
      <c r="AV274" s="156">
        <f t="shared" si="366"/>
        <v>7.8988130576011903E-4</v>
      </c>
      <c r="AW274" s="156">
        <f t="shared" si="366"/>
        <v>4.7354410308792042E-4</v>
      </c>
      <c r="AX274" s="156">
        <f t="shared" si="366"/>
        <v>3.7446801993333854E-4</v>
      </c>
      <c r="AY274" s="156">
        <f t="shared" si="366"/>
        <v>9.1069361431780221E-5</v>
      </c>
      <c r="AZ274" s="156">
        <f t="shared" si="366"/>
        <v>3.5446843310242592E-4</v>
      </c>
      <c r="BA274" s="156">
        <f t="shared" si="366"/>
        <v>1.7939839849678843E-4</v>
      </c>
      <c r="BB274" s="156">
        <f t="shared" si="366"/>
        <v>1.9817829621812072E-4</v>
      </c>
      <c r="BC274" s="156">
        <f t="shared" si="366"/>
        <v>2.093563900747205E-4</v>
      </c>
      <c r="BD274" s="156">
        <f t="shared" si="366"/>
        <v>2.4947462583811496E-4</v>
      </c>
      <c r="BE274" s="156">
        <f t="shared" si="366"/>
        <v>1.1089892790091434E-4</v>
      </c>
      <c r="BF274" s="156">
        <f t="shared" si="366"/>
        <v>2.8386319772739136E-3</v>
      </c>
      <c r="BG274" s="156">
        <f t="shared" si="366"/>
        <v>1.1512955276274443E-4</v>
      </c>
      <c r="BH274" s="156">
        <f t="shared" si="366"/>
        <v>2.3643716547988073E-4</v>
      </c>
      <c r="BI274" s="156">
        <f t="shared" si="366"/>
        <v>1.0722092591196727E-3</v>
      </c>
      <c r="BJ274" s="156">
        <f t="shared" si="366"/>
        <v>4.0978755343446763E-4</v>
      </c>
      <c r="BK274" s="156">
        <f t="shared" si="366"/>
        <v>2.8087004395009656E-4</v>
      </c>
      <c r="BL274" s="156">
        <f t="shared" si="366"/>
        <v>5.4924119697774782E-4</v>
      </c>
      <c r="BM274" s="156">
        <f t="shared" si="366"/>
        <v>5.112448896327197E-4</v>
      </c>
      <c r="BN274" s="156">
        <f t="shared" si="366"/>
        <v>2.1716613871774629E-3</v>
      </c>
      <c r="BO274" s="156">
        <f t="shared" ref="BO274:BZ274" si="367">BO115/BO$84</f>
        <v>3.2015492210266117E-4</v>
      </c>
      <c r="BP274" s="156">
        <f t="shared" si="367"/>
        <v>8.0598250347601599E-4</v>
      </c>
      <c r="BQ274" s="156">
        <f t="shared" si="367"/>
        <v>3.690967507108572E-3</v>
      </c>
      <c r="BR274" s="156">
        <f t="shared" si="367"/>
        <v>1.5890316020236543E-2</v>
      </c>
      <c r="BS274" s="156">
        <f t="shared" si="367"/>
        <v>4.869288617159997E-3</v>
      </c>
      <c r="BT274" s="156">
        <f t="shared" si="367"/>
        <v>1.3166704147524657E-2</v>
      </c>
      <c r="BU274" s="156">
        <f t="shared" si="367"/>
        <v>1.5421290376472251E-3</v>
      </c>
      <c r="BV274" s="156">
        <f t="shared" si="367"/>
        <v>6.2074372353525644E-4</v>
      </c>
      <c r="BW274" s="156">
        <f t="shared" si="367"/>
        <v>1.0102881741721496E-2</v>
      </c>
      <c r="BX274" s="156">
        <f t="shared" si="367"/>
        <v>2.1318666871901516E-2</v>
      </c>
      <c r="BY274" s="156">
        <f t="shared" si="367"/>
        <v>8.3063057627095474E-4</v>
      </c>
      <c r="BZ274" s="156">
        <f t="shared" si="367"/>
        <v>5.7657575590657796E-4</v>
      </c>
      <c r="CA274" s="129">
        <f t="shared" si="279"/>
        <v>0</v>
      </c>
      <c r="CB274" s="18"/>
      <c r="CC274" s="250"/>
      <c r="CD274" s="130">
        <f t="shared" ref="CD274:CG274" si="368">CD115/(CD$79+CD$80)</f>
        <v>6.1779588494595885E-3</v>
      </c>
      <c r="CE274" s="130">
        <f t="shared" si="368"/>
        <v>9.951769832103624E-5</v>
      </c>
      <c r="CF274" s="130">
        <f t="shared" si="368"/>
        <v>6.2783507909215846E-3</v>
      </c>
      <c r="CG274" s="131">
        <f t="shared" si="368"/>
        <v>1.9753965496087074E-3</v>
      </c>
      <c r="CH274" s="18"/>
      <c r="CI274" s="18"/>
      <c r="CJ274" s="18"/>
    </row>
    <row r="275" spans="1:88" ht="13.95" customHeight="1" x14ac:dyDescent="0.25">
      <c r="A275" s="153" t="s">
        <v>28</v>
      </c>
      <c r="B275" s="253"/>
      <c r="C275" s="128">
        <f t="shared" ref="C275:AH275" si="369">C116/C$84</f>
        <v>4.1649908302938233E-4</v>
      </c>
      <c r="D275" s="156">
        <f t="shared" si="369"/>
        <v>2.8506893046672675E-4</v>
      </c>
      <c r="E275" s="156">
        <f t="shared" si="369"/>
        <v>2.3537268253698909E-3</v>
      </c>
      <c r="F275" s="156">
        <f t="shared" si="369"/>
        <v>1.0462905327384539E-3</v>
      </c>
      <c r="G275" s="156">
        <f t="shared" si="369"/>
        <v>7.6054578336622037E-4</v>
      </c>
      <c r="H275" s="156">
        <f t="shared" si="369"/>
        <v>2.7042595589538631E-4</v>
      </c>
      <c r="I275" s="156">
        <f t="shared" si="369"/>
        <v>1.5137235648552956E-4</v>
      </c>
      <c r="J275" s="156">
        <f t="shared" si="369"/>
        <v>2.6388426261287528E-4</v>
      </c>
      <c r="K275" s="156">
        <f t="shared" si="369"/>
        <v>3.8113658630720132E-4</v>
      </c>
      <c r="L275" s="156">
        <f t="shared" si="369"/>
        <v>2.3375775781699995E-4</v>
      </c>
      <c r="M275" s="156">
        <f t="shared" si="369"/>
        <v>4.7876697426801261E-4</v>
      </c>
      <c r="N275" s="156">
        <f t="shared" si="369"/>
        <v>7.1018407045587149E-4</v>
      </c>
      <c r="O275" s="156">
        <f t="shared" si="369"/>
        <v>1.745586279504835E-3</v>
      </c>
      <c r="P275" s="156">
        <f t="shared" si="369"/>
        <v>3.6170992997465868E-4</v>
      </c>
      <c r="Q275" s="156">
        <f t="shared" si="369"/>
        <v>3.1268518191608223E-4</v>
      </c>
      <c r="R275" s="156">
        <f t="shared" si="369"/>
        <v>4.8125830464660463E-4</v>
      </c>
      <c r="S275" s="156">
        <f t="shared" si="369"/>
        <v>2.3384404652877162E-4</v>
      </c>
      <c r="T275" s="156">
        <f t="shared" si="369"/>
        <v>1.0818344055320071E-3</v>
      </c>
      <c r="U275" s="156">
        <f t="shared" si="369"/>
        <v>1.0344555419225044E-3</v>
      </c>
      <c r="V275" s="156">
        <f t="shared" si="369"/>
        <v>3.01369571772055E-4</v>
      </c>
      <c r="W275" s="156">
        <f t="shared" si="369"/>
        <v>1.1092818010675859E-3</v>
      </c>
      <c r="X275" s="156">
        <f t="shared" si="369"/>
        <v>3.8933749156754916E-5</v>
      </c>
      <c r="Y275" s="156">
        <f t="shared" si="369"/>
        <v>4.4403818873533645E-4</v>
      </c>
      <c r="Z275" s="156">
        <f t="shared" si="369"/>
        <v>1.1734789423946063E-3</v>
      </c>
      <c r="AA275" s="156">
        <f t="shared" si="369"/>
        <v>5.5804931360793467E-4</v>
      </c>
      <c r="AB275" s="156">
        <f t="shared" si="369"/>
        <v>1.296916778547754E-3</v>
      </c>
      <c r="AC275" s="156">
        <f t="shared" si="369"/>
        <v>1.6916194291911947E-4</v>
      </c>
      <c r="AD275" s="156">
        <f t="shared" si="369"/>
        <v>1.2115256097421988E-3</v>
      </c>
      <c r="AE275" s="156">
        <f t="shared" si="369"/>
        <v>1.6680274188090665E-3</v>
      </c>
      <c r="AF275" s="156">
        <f t="shared" si="369"/>
        <v>1.3992010180823404E-3</v>
      </c>
      <c r="AG275" s="156">
        <f t="shared" si="369"/>
        <v>9.7554467400956814E-5</v>
      </c>
      <c r="AH275" s="156">
        <f t="shared" si="369"/>
        <v>2.2009676938720562E-5</v>
      </c>
      <c r="AI275" s="156">
        <f t="shared" ref="AI275:BN275" si="370">AI116/AI$84</f>
        <v>4.7191334239121051E-4</v>
      </c>
      <c r="AJ275" s="156">
        <f t="shared" si="370"/>
        <v>4.3125693994744364E-4</v>
      </c>
      <c r="AK275" s="156">
        <f t="shared" si="370"/>
        <v>3.3373976819988958E-5</v>
      </c>
      <c r="AL275" s="156">
        <f t="shared" si="370"/>
        <v>2.0526496328619989E-4</v>
      </c>
      <c r="AM275" s="156">
        <f t="shared" si="370"/>
        <v>2.9664482473679175E-5</v>
      </c>
      <c r="AN275" s="156">
        <f t="shared" si="370"/>
        <v>1.3673940348520671E-3</v>
      </c>
      <c r="AO275" s="156">
        <f t="shared" si="370"/>
        <v>1.181932026477015E-2</v>
      </c>
      <c r="AP275" s="156">
        <f t="shared" si="370"/>
        <v>1.7497886083132842E-4</v>
      </c>
      <c r="AQ275" s="156">
        <f t="shared" si="370"/>
        <v>2.4566481847664734E-4</v>
      </c>
      <c r="AR275" s="156">
        <f t="shared" si="370"/>
        <v>5.5391886808543142E-5</v>
      </c>
      <c r="AS275" s="156">
        <f t="shared" si="370"/>
        <v>4.2154097590990007E-5</v>
      </c>
      <c r="AT275" s="156">
        <f t="shared" si="370"/>
        <v>5.6002791709057671E-5</v>
      </c>
      <c r="AU275" s="156">
        <f t="shared" si="370"/>
        <v>4.8019484598997935E-5</v>
      </c>
      <c r="AV275" s="156">
        <f t="shared" si="370"/>
        <v>5.9335326870823662E-5</v>
      </c>
      <c r="AW275" s="156">
        <f t="shared" si="370"/>
        <v>8.2166844276154399E-5</v>
      </c>
      <c r="AX275" s="156">
        <f t="shared" si="370"/>
        <v>8.1555918451739387E-5</v>
      </c>
      <c r="AY275" s="156">
        <f t="shared" si="370"/>
        <v>1.4312645364236509E-5</v>
      </c>
      <c r="AZ275" s="156">
        <f t="shared" si="370"/>
        <v>2.9714154873537481E-5</v>
      </c>
      <c r="BA275" s="156">
        <f t="shared" si="370"/>
        <v>2.2846972123068296E-6</v>
      </c>
      <c r="BB275" s="156">
        <f t="shared" si="370"/>
        <v>3.5582099433860484E-5</v>
      </c>
      <c r="BC275" s="156">
        <f t="shared" si="370"/>
        <v>3.3573762440390457E-5</v>
      </c>
      <c r="BD275" s="156">
        <f t="shared" si="370"/>
        <v>2.305922928737523E-5</v>
      </c>
      <c r="BE275" s="156">
        <f t="shared" si="370"/>
        <v>7.6977256375546611E-5</v>
      </c>
      <c r="BF275" s="156">
        <f t="shared" si="370"/>
        <v>5.0721260019762776E-4</v>
      </c>
      <c r="BG275" s="156">
        <f t="shared" si="370"/>
        <v>7.594466063617842E-6</v>
      </c>
      <c r="BH275" s="156">
        <f t="shared" si="370"/>
        <v>5.2188782049794609E-5</v>
      </c>
      <c r="BI275" s="156">
        <f t="shared" si="370"/>
        <v>0</v>
      </c>
      <c r="BJ275" s="156">
        <f t="shared" si="370"/>
        <v>2.0190090848683272E-4</v>
      </c>
      <c r="BK275" s="156">
        <f t="shared" si="370"/>
        <v>7.6205050684134727E-6</v>
      </c>
      <c r="BL275" s="156">
        <f t="shared" si="370"/>
        <v>5.9987126484450264E-4</v>
      </c>
      <c r="BM275" s="156">
        <f t="shared" si="370"/>
        <v>6.2656641604010024E-5</v>
      </c>
      <c r="BN275" s="156">
        <f t="shared" si="370"/>
        <v>5.5373841583106379E-5</v>
      </c>
      <c r="BO275" s="156">
        <f t="shared" ref="BO275:BZ275" si="371">BO116/BO$84</f>
        <v>1.1908329887294507E-5</v>
      </c>
      <c r="BP275" s="156">
        <f t="shared" si="371"/>
        <v>7.8019406687082605E-4</v>
      </c>
      <c r="BQ275" s="156">
        <f t="shared" si="371"/>
        <v>3.9345620897026525E-5</v>
      </c>
      <c r="BR275" s="156">
        <f t="shared" si="371"/>
        <v>5.4574784622598037E-5</v>
      </c>
      <c r="BS275" s="156">
        <f t="shared" si="371"/>
        <v>8.2065184393499054E-5</v>
      </c>
      <c r="BT275" s="156">
        <f t="shared" si="371"/>
        <v>3.1667500424528083E-5</v>
      </c>
      <c r="BU275" s="156">
        <f t="shared" si="371"/>
        <v>1.700296118431556E-4</v>
      </c>
      <c r="BV275" s="156">
        <f t="shared" si="371"/>
        <v>1.4107811898528554E-4</v>
      </c>
      <c r="BW275" s="156">
        <f t="shared" si="371"/>
        <v>1.3038843720535255E-3</v>
      </c>
      <c r="BX275" s="156">
        <f t="shared" si="371"/>
        <v>2.0605908496990611E-7</v>
      </c>
      <c r="BY275" s="156">
        <f t="shared" si="371"/>
        <v>3.3067687103289928E-5</v>
      </c>
      <c r="BZ275" s="156">
        <f t="shared" si="371"/>
        <v>2.1876110983905577E-5</v>
      </c>
      <c r="CA275" s="129">
        <f t="shared" si="279"/>
        <v>0</v>
      </c>
      <c r="CB275" s="18"/>
      <c r="CC275" s="250"/>
      <c r="CD275" s="130">
        <f t="shared" ref="CD275:CG275" si="372">CD116/(CD$79+CD$80)</f>
        <v>0</v>
      </c>
      <c r="CE275" s="130">
        <f t="shared" si="372"/>
        <v>0</v>
      </c>
      <c r="CF275" s="130">
        <f t="shared" si="372"/>
        <v>1.5655850394600941E-5</v>
      </c>
      <c r="CG275" s="131">
        <f t="shared" si="372"/>
        <v>1.1830800299899402E-4</v>
      </c>
      <c r="CH275" s="18"/>
      <c r="CI275" s="18"/>
      <c r="CJ275" s="18"/>
    </row>
    <row r="276" spans="1:88" ht="13.95" customHeight="1" x14ac:dyDescent="0.25">
      <c r="A276" s="154" t="s">
        <v>29</v>
      </c>
      <c r="B276" s="253"/>
      <c r="C276" s="128">
        <f t="shared" ref="C276:AH276" si="373">C117/C$84</f>
        <v>6.3776877721316398E-4</v>
      </c>
      <c r="D276" s="156">
        <f t="shared" si="373"/>
        <v>1.1025677316741122E-4</v>
      </c>
      <c r="E276" s="156">
        <f t="shared" si="373"/>
        <v>9.6338586340721116E-4</v>
      </c>
      <c r="F276" s="156">
        <f t="shared" si="373"/>
        <v>1.5447671605309206E-3</v>
      </c>
      <c r="G276" s="156">
        <f t="shared" si="373"/>
        <v>4.7481624997155575E-4</v>
      </c>
      <c r="H276" s="156">
        <f t="shared" si="373"/>
        <v>3.2668675710093194E-4</v>
      </c>
      <c r="I276" s="156">
        <f t="shared" si="373"/>
        <v>4.7934579553751027E-4</v>
      </c>
      <c r="J276" s="156">
        <f t="shared" si="373"/>
        <v>2.1391443204931841E-4</v>
      </c>
      <c r="K276" s="156">
        <f t="shared" si="373"/>
        <v>5.0246492546418228E-4</v>
      </c>
      <c r="L276" s="156">
        <f t="shared" si="373"/>
        <v>3.9063716907459216E-4</v>
      </c>
      <c r="M276" s="156">
        <f t="shared" si="373"/>
        <v>2.3320584875635453E-4</v>
      </c>
      <c r="N276" s="156">
        <f t="shared" si="373"/>
        <v>6.6074104133667568E-4</v>
      </c>
      <c r="O276" s="156">
        <f t="shared" si="373"/>
        <v>6.036712578083482E-4</v>
      </c>
      <c r="P276" s="156">
        <f t="shared" si="373"/>
        <v>4.1348936301971087E-4</v>
      </c>
      <c r="Q276" s="156">
        <f t="shared" si="373"/>
        <v>1.0854341283436394E-4</v>
      </c>
      <c r="R276" s="156">
        <f t="shared" si="373"/>
        <v>6.0669984847077914E-4</v>
      </c>
      <c r="S276" s="156">
        <f t="shared" si="373"/>
        <v>2.0659206229528323E-4</v>
      </c>
      <c r="T276" s="156">
        <f t="shared" si="373"/>
        <v>6.3691948510303967E-4</v>
      </c>
      <c r="U276" s="156">
        <f t="shared" si="373"/>
        <v>8.2214946040651314E-4</v>
      </c>
      <c r="V276" s="156">
        <f t="shared" si="373"/>
        <v>1.2374014601549837E-3</v>
      </c>
      <c r="W276" s="156">
        <f t="shared" si="373"/>
        <v>3.496757994152505E-4</v>
      </c>
      <c r="X276" s="156">
        <f t="shared" si="373"/>
        <v>1.1203037230007157E-4</v>
      </c>
      <c r="Y276" s="156">
        <f t="shared" si="373"/>
        <v>2.7982145118016569E-4</v>
      </c>
      <c r="Z276" s="156">
        <f t="shared" si="373"/>
        <v>3.5821169157758707E-4</v>
      </c>
      <c r="AA276" s="156">
        <f t="shared" si="373"/>
        <v>2.2148163339618765E-4</v>
      </c>
      <c r="AB276" s="156">
        <f t="shared" si="373"/>
        <v>2.4306366823663412E-4</v>
      </c>
      <c r="AC276" s="156">
        <f t="shared" si="373"/>
        <v>3.5422452039795828E-4</v>
      </c>
      <c r="AD276" s="156">
        <f t="shared" si="373"/>
        <v>2.7467570330098087E-4</v>
      </c>
      <c r="AE276" s="156">
        <f t="shared" si="373"/>
        <v>1.3205026524704212E-4</v>
      </c>
      <c r="AF276" s="156">
        <f t="shared" si="373"/>
        <v>3.0822881307874514E-4</v>
      </c>
      <c r="AG276" s="156">
        <f t="shared" si="373"/>
        <v>1.5609938805074056E-3</v>
      </c>
      <c r="AH276" s="156">
        <f t="shared" si="373"/>
        <v>3.3563450343607128E-4</v>
      </c>
      <c r="AI276" s="156">
        <f t="shared" ref="AI276:BN276" si="374">AI117/AI$84</f>
        <v>1.4826110745359594E-3</v>
      </c>
      <c r="AJ276" s="156">
        <f t="shared" si="374"/>
        <v>1.5949604491609967E-4</v>
      </c>
      <c r="AK276" s="156">
        <f t="shared" si="374"/>
        <v>1.3672072265021206E-4</v>
      </c>
      <c r="AL276" s="156">
        <f t="shared" si="374"/>
        <v>2.037991939528312E-4</v>
      </c>
      <c r="AM276" s="156">
        <f t="shared" si="374"/>
        <v>4.718879117390709E-4</v>
      </c>
      <c r="AN276" s="156">
        <f t="shared" si="374"/>
        <v>4.908678978865986E-4</v>
      </c>
      <c r="AO276" s="156">
        <f t="shared" si="374"/>
        <v>4.3819715023246356E-5</v>
      </c>
      <c r="AP276" s="156">
        <f t="shared" si="374"/>
        <v>5.6412896911117684E-4</v>
      </c>
      <c r="AQ276" s="156">
        <f t="shared" si="374"/>
        <v>8.3760825932548025E-4</v>
      </c>
      <c r="AR276" s="156">
        <f t="shared" si="374"/>
        <v>5.2507846420990901E-4</v>
      </c>
      <c r="AS276" s="156">
        <f t="shared" si="374"/>
        <v>1.6846169642784631E-4</v>
      </c>
      <c r="AT276" s="156">
        <f t="shared" si="374"/>
        <v>2.3138787864737E-4</v>
      </c>
      <c r="AU276" s="156">
        <f t="shared" si="374"/>
        <v>1.9351963192898705E-4</v>
      </c>
      <c r="AV276" s="156">
        <f t="shared" si="374"/>
        <v>3.3073779432322325E-4</v>
      </c>
      <c r="AW276" s="156">
        <f t="shared" si="374"/>
        <v>7.3694387570636544E-5</v>
      </c>
      <c r="AX276" s="156">
        <f t="shared" si="374"/>
        <v>1.6148454745080321E-4</v>
      </c>
      <c r="AY276" s="156">
        <f t="shared" si="374"/>
        <v>8.4562224905457113E-5</v>
      </c>
      <c r="AZ276" s="156">
        <f t="shared" si="374"/>
        <v>1.487809169056898E-5</v>
      </c>
      <c r="BA276" s="156">
        <f t="shared" si="374"/>
        <v>5.3988388473424428E-5</v>
      </c>
      <c r="BB276" s="156">
        <f t="shared" si="374"/>
        <v>1.9655418781752004E-3</v>
      </c>
      <c r="BC276" s="156">
        <f t="shared" si="374"/>
        <v>6.8646353561155498E-5</v>
      </c>
      <c r="BD276" s="156">
        <f t="shared" si="374"/>
        <v>1.8029693797598926E-4</v>
      </c>
      <c r="BE276" s="156">
        <f t="shared" si="374"/>
        <v>1.0281661643915711E-4</v>
      </c>
      <c r="BF276" s="156">
        <f t="shared" si="374"/>
        <v>5.034640399224446E-4</v>
      </c>
      <c r="BG276" s="156">
        <f t="shared" si="374"/>
        <v>1.2951011035099559E-4</v>
      </c>
      <c r="BH276" s="156">
        <f t="shared" si="374"/>
        <v>7.2217550199949799E-5</v>
      </c>
      <c r="BI276" s="156">
        <f t="shared" si="374"/>
        <v>3.0349930716487485E-4</v>
      </c>
      <c r="BJ276" s="156">
        <f t="shared" si="374"/>
        <v>2.874162333172817E-4</v>
      </c>
      <c r="BK276" s="156">
        <f t="shared" si="374"/>
        <v>2.5583124158245231E-5</v>
      </c>
      <c r="BL276" s="156">
        <f t="shared" si="374"/>
        <v>3.5596566486523851E-5</v>
      </c>
      <c r="BM276" s="156">
        <f t="shared" si="374"/>
        <v>9.023805360577524E-5</v>
      </c>
      <c r="BN276" s="156">
        <f t="shared" si="374"/>
        <v>2.4186364652313457E-4</v>
      </c>
      <c r="BO276" s="156">
        <f t="shared" ref="BO276:BZ276" si="375">BO117/BO$84</f>
        <v>3.3501398859919681E-4</v>
      </c>
      <c r="BP276" s="156">
        <f t="shared" si="375"/>
        <v>3.8862865270344497E-4</v>
      </c>
      <c r="BQ276" s="156">
        <f t="shared" si="375"/>
        <v>7.3155292636073379E-4</v>
      </c>
      <c r="BR276" s="156">
        <f t="shared" si="375"/>
        <v>2.0167712021522573E-4</v>
      </c>
      <c r="BS276" s="156">
        <f t="shared" si="375"/>
        <v>5.3136330130000109E-4</v>
      </c>
      <c r="BT276" s="156">
        <f t="shared" si="375"/>
        <v>6.3775592159310472E-4</v>
      </c>
      <c r="BU276" s="156">
        <f t="shared" si="375"/>
        <v>6.6281892291183617E-4</v>
      </c>
      <c r="BV276" s="156">
        <f t="shared" si="375"/>
        <v>3.350605325900532E-4</v>
      </c>
      <c r="BW276" s="156">
        <f t="shared" si="375"/>
        <v>1.8039232310441628E-3</v>
      </c>
      <c r="BX276" s="156">
        <f t="shared" si="375"/>
        <v>1.0014471529537436E-4</v>
      </c>
      <c r="BY276" s="156">
        <f t="shared" si="375"/>
        <v>7.423509981165537E-5</v>
      </c>
      <c r="BZ276" s="156">
        <f t="shared" si="375"/>
        <v>2.8820373906488937E-4</v>
      </c>
      <c r="CA276" s="129">
        <f t="shared" si="279"/>
        <v>0</v>
      </c>
      <c r="CB276" s="18"/>
      <c r="CC276" s="250"/>
      <c r="CD276" s="130">
        <f t="shared" ref="CD276:CG276" si="376">CD117/(CD$79+CD$80)</f>
        <v>8.5947802757548508E-4</v>
      </c>
      <c r="CE276" s="130">
        <f t="shared" si="376"/>
        <v>0</v>
      </c>
      <c r="CF276" s="130">
        <f t="shared" si="376"/>
        <v>2.8640896724423151E-5</v>
      </c>
      <c r="CG276" s="131">
        <f t="shared" si="376"/>
        <v>0</v>
      </c>
      <c r="CH276" s="18"/>
      <c r="CI276" s="18"/>
      <c r="CJ276" s="18"/>
    </row>
    <row r="277" spans="1:88" ht="13.95" customHeight="1" x14ac:dyDescent="0.25">
      <c r="A277" s="153" t="s">
        <v>30</v>
      </c>
      <c r="B277" s="253"/>
      <c r="C277" s="128">
        <f t="shared" ref="C277:AH277" si="377">C118/C$84</f>
        <v>0</v>
      </c>
      <c r="D277" s="156">
        <f t="shared" si="377"/>
        <v>0</v>
      </c>
      <c r="E277" s="156">
        <f t="shared" si="377"/>
        <v>0</v>
      </c>
      <c r="F277" s="156">
        <f t="shared" si="377"/>
        <v>0</v>
      </c>
      <c r="G277" s="156">
        <f t="shared" si="377"/>
        <v>0</v>
      </c>
      <c r="H277" s="156">
        <f t="shared" si="377"/>
        <v>0</v>
      </c>
      <c r="I277" s="156">
        <f t="shared" si="377"/>
        <v>0</v>
      </c>
      <c r="J277" s="156">
        <f t="shared" si="377"/>
        <v>0</v>
      </c>
      <c r="K277" s="156">
        <f t="shared" si="377"/>
        <v>0</v>
      </c>
      <c r="L277" s="156">
        <f t="shared" si="377"/>
        <v>0</v>
      </c>
      <c r="M277" s="156">
        <f t="shared" si="377"/>
        <v>0</v>
      </c>
      <c r="N277" s="156">
        <f t="shared" si="377"/>
        <v>0</v>
      </c>
      <c r="O277" s="156">
        <f t="shared" si="377"/>
        <v>0</v>
      </c>
      <c r="P277" s="156">
        <f t="shared" si="377"/>
        <v>0</v>
      </c>
      <c r="Q277" s="156">
        <f t="shared" si="377"/>
        <v>0</v>
      </c>
      <c r="R277" s="156">
        <f t="shared" si="377"/>
        <v>0</v>
      </c>
      <c r="S277" s="156">
        <f t="shared" si="377"/>
        <v>0</v>
      </c>
      <c r="T277" s="156">
        <f t="shared" si="377"/>
        <v>0</v>
      </c>
      <c r="U277" s="156">
        <f t="shared" si="377"/>
        <v>0</v>
      </c>
      <c r="V277" s="156">
        <f t="shared" si="377"/>
        <v>0</v>
      </c>
      <c r="W277" s="156">
        <f t="shared" si="377"/>
        <v>0</v>
      </c>
      <c r="X277" s="156">
        <f t="shared" si="377"/>
        <v>0</v>
      </c>
      <c r="Y277" s="156">
        <f t="shared" si="377"/>
        <v>0</v>
      </c>
      <c r="Z277" s="156">
        <f t="shared" si="377"/>
        <v>0</v>
      </c>
      <c r="AA277" s="156">
        <f t="shared" si="377"/>
        <v>0</v>
      </c>
      <c r="AB277" s="156">
        <f t="shared" si="377"/>
        <v>0</v>
      </c>
      <c r="AC277" s="156">
        <f t="shared" si="377"/>
        <v>0</v>
      </c>
      <c r="AD277" s="156">
        <f t="shared" si="377"/>
        <v>0</v>
      </c>
      <c r="AE277" s="156">
        <f t="shared" si="377"/>
        <v>0</v>
      </c>
      <c r="AF277" s="156">
        <f t="shared" si="377"/>
        <v>0</v>
      </c>
      <c r="AG277" s="156">
        <f t="shared" si="377"/>
        <v>0</v>
      </c>
      <c r="AH277" s="156">
        <f t="shared" si="377"/>
        <v>0</v>
      </c>
      <c r="AI277" s="156">
        <f t="shared" ref="AI277:BN277" si="378">AI118/AI$84</f>
        <v>0</v>
      </c>
      <c r="AJ277" s="156">
        <f t="shared" si="378"/>
        <v>0</v>
      </c>
      <c r="AK277" s="156">
        <f t="shared" si="378"/>
        <v>0</v>
      </c>
      <c r="AL277" s="156">
        <f t="shared" si="378"/>
        <v>0</v>
      </c>
      <c r="AM277" s="156">
        <f t="shared" si="378"/>
        <v>0</v>
      </c>
      <c r="AN277" s="156">
        <f t="shared" si="378"/>
        <v>0</v>
      </c>
      <c r="AO277" s="156">
        <f t="shared" si="378"/>
        <v>0</v>
      </c>
      <c r="AP277" s="156">
        <f t="shared" si="378"/>
        <v>0</v>
      </c>
      <c r="AQ277" s="156">
        <f t="shared" si="378"/>
        <v>0</v>
      </c>
      <c r="AR277" s="156">
        <f t="shared" si="378"/>
        <v>0</v>
      </c>
      <c r="AS277" s="156">
        <f t="shared" si="378"/>
        <v>0</v>
      </c>
      <c r="AT277" s="156">
        <f t="shared" si="378"/>
        <v>0</v>
      </c>
      <c r="AU277" s="156">
        <f t="shared" si="378"/>
        <v>0</v>
      </c>
      <c r="AV277" s="156">
        <f t="shared" si="378"/>
        <v>0</v>
      </c>
      <c r="AW277" s="156">
        <f t="shared" si="378"/>
        <v>0</v>
      </c>
      <c r="AX277" s="156">
        <f t="shared" si="378"/>
        <v>0</v>
      </c>
      <c r="AY277" s="156">
        <f t="shared" si="378"/>
        <v>0</v>
      </c>
      <c r="AZ277" s="156">
        <f t="shared" si="378"/>
        <v>0</v>
      </c>
      <c r="BA277" s="156">
        <f t="shared" si="378"/>
        <v>0</v>
      </c>
      <c r="BB277" s="156">
        <f t="shared" si="378"/>
        <v>0</v>
      </c>
      <c r="BC277" s="156">
        <f t="shared" si="378"/>
        <v>0</v>
      </c>
      <c r="BD277" s="156">
        <f t="shared" si="378"/>
        <v>0</v>
      </c>
      <c r="BE277" s="156">
        <f t="shared" si="378"/>
        <v>0</v>
      </c>
      <c r="BF277" s="156">
        <f t="shared" si="378"/>
        <v>0</v>
      </c>
      <c r="BG277" s="156">
        <f t="shared" si="378"/>
        <v>0</v>
      </c>
      <c r="BH277" s="156">
        <f t="shared" si="378"/>
        <v>0</v>
      </c>
      <c r="BI277" s="156">
        <f t="shared" si="378"/>
        <v>0</v>
      </c>
      <c r="BJ277" s="156">
        <f t="shared" si="378"/>
        <v>0</v>
      </c>
      <c r="BK277" s="156">
        <f t="shared" si="378"/>
        <v>0</v>
      </c>
      <c r="BL277" s="156">
        <f t="shared" si="378"/>
        <v>0</v>
      </c>
      <c r="BM277" s="156">
        <f t="shared" si="378"/>
        <v>0</v>
      </c>
      <c r="BN277" s="156">
        <f t="shared" si="378"/>
        <v>0</v>
      </c>
      <c r="BO277" s="156">
        <f t="shared" ref="BO277:BZ277" si="379">BO118/BO$84</f>
        <v>0</v>
      </c>
      <c r="BP277" s="156">
        <f t="shared" si="379"/>
        <v>0</v>
      </c>
      <c r="BQ277" s="156">
        <f t="shared" si="379"/>
        <v>0</v>
      </c>
      <c r="BR277" s="156">
        <f t="shared" si="379"/>
        <v>0</v>
      </c>
      <c r="BS277" s="156">
        <f t="shared" si="379"/>
        <v>0</v>
      </c>
      <c r="BT277" s="156">
        <f t="shared" si="379"/>
        <v>0</v>
      </c>
      <c r="BU277" s="156">
        <f t="shared" si="379"/>
        <v>0</v>
      </c>
      <c r="BV277" s="156">
        <f t="shared" si="379"/>
        <v>0</v>
      </c>
      <c r="BW277" s="156">
        <f t="shared" si="379"/>
        <v>0</v>
      </c>
      <c r="BX277" s="156">
        <f t="shared" si="379"/>
        <v>0</v>
      </c>
      <c r="BY277" s="156">
        <f t="shared" si="379"/>
        <v>0</v>
      </c>
      <c r="BZ277" s="156">
        <f t="shared" si="379"/>
        <v>0</v>
      </c>
      <c r="CA277" s="129">
        <f t="shared" si="279"/>
        <v>0</v>
      </c>
      <c r="CB277" s="18"/>
      <c r="CC277" s="250"/>
      <c r="CD277" s="130">
        <f t="shared" ref="CD277:CG277" si="380">CD118/(CD$79+CD$80)</f>
        <v>0</v>
      </c>
      <c r="CE277" s="130">
        <f t="shared" si="380"/>
        <v>0</v>
      </c>
      <c r="CF277" s="130">
        <f t="shared" si="380"/>
        <v>0</v>
      </c>
      <c r="CG277" s="131">
        <f t="shared" si="380"/>
        <v>0</v>
      </c>
      <c r="CH277" s="18"/>
      <c r="CI277" s="18"/>
      <c r="CJ277" s="18"/>
    </row>
    <row r="278" spans="1:88" ht="13.95" customHeight="1" x14ac:dyDescent="0.25">
      <c r="A278" s="153" t="s">
        <v>31</v>
      </c>
      <c r="B278" s="253"/>
      <c r="C278" s="128">
        <f t="shared" ref="C278:AH278" si="381">C119/C$84</f>
        <v>0</v>
      </c>
      <c r="D278" s="156">
        <f t="shared" si="381"/>
        <v>0</v>
      </c>
      <c r="E278" s="156">
        <f t="shared" si="381"/>
        <v>0</v>
      </c>
      <c r="F278" s="156">
        <f t="shared" si="381"/>
        <v>0</v>
      </c>
      <c r="G278" s="156">
        <f t="shared" si="381"/>
        <v>2.6920476303479306E-4</v>
      </c>
      <c r="H278" s="156">
        <f t="shared" si="381"/>
        <v>0</v>
      </c>
      <c r="I278" s="156">
        <f t="shared" si="381"/>
        <v>0</v>
      </c>
      <c r="J278" s="156">
        <f t="shared" si="381"/>
        <v>0</v>
      </c>
      <c r="K278" s="156">
        <f t="shared" si="381"/>
        <v>5.3422489948166778E-3</v>
      </c>
      <c r="L278" s="156">
        <f t="shared" si="381"/>
        <v>4.4461558261630398E-4</v>
      </c>
      <c r="M278" s="156">
        <f t="shared" si="381"/>
        <v>0</v>
      </c>
      <c r="N278" s="156">
        <f t="shared" si="381"/>
        <v>0</v>
      </c>
      <c r="O278" s="156">
        <f t="shared" si="381"/>
        <v>5.375798598057569E-3</v>
      </c>
      <c r="P278" s="156">
        <f t="shared" si="381"/>
        <v>0</v>
      </c>
      <c r="Q278" s="156">
        <f t="shared" si="381"/>
        <v>0</v>
      </c>
      <c r="R278" s="156">
        <f t="shared" si="381"/>
        <v>0</v>
      </c>
      <c r="S278" s="156">
        <f t="shared" si="381"/>
        <v>0</v>
      </c>
      <c r="T278" s="156">
        <f t="shared" si="381"/>
        <v>9.5997086705465993E-4</v>
      </c>
      <c r="U278" s="156">
        <f t="shared" si="381"/>
        <v>1.0166831688239071E-2</v>
      </c>
      <c r="V278" s="156">
        <f t="shared" si="381"/>
        <v>1.5866847833089802E-2</v>
      </c>
      <c r="W278" s="156">
        <f t="shared" si="381"/>
        <v>0</v>
      </c>
      <c r="X278" s="156">
        <f t="shared" si="381"/>
        <v>2.7409813775419289E-4</v>
      </c>
      <c r="Y278" s="156">
        <f t="shared" si="381"/>
        <v>1.4139638090564614E-3</v>
      </c>
      <c r="Z278" s="156">
        <f t="shared" si="381"/>
        <v>0</v>
      </c>
      <c r="AA278" s="156">
        <f t="shared" si="381"/>
        <v>3.8258875466121839E-4</v>
      </c>
      <c r="AB278" s="156">
        <f t="shared" si="381"/>
        <v>0</v>
      </c>
      <c r="AC278" s="156">
        <f t="shared" si="381"/>
        <v>0</v>
      </c>
      <c r="AD278" s="156">
        <f t="shared" si="381"/>
        <v>9.0319429255861369E-4</v>
      </c>
      <c r="AE278" s="156">
        <f t="shared" si="381"/>
        <v>0</v>
      </c>
      <c r="AF278" s="156">
        <f t="shared" si="381"/>
        <v>0</v>
      </c>
      <c r="AG278" s="156">
        <f t="shared" si="381"/>
        <v>0</v>
      </c>
      <c r="AH278" s="156">
        <f t="shared" si="381"/>
        <v>0.10717285438324546</v>
      </c>
      <c r="AI278" s="156">
        <f t="shared" ref="AI278:BN278" si="382">AI119/AI$84</f>
        <v>0</v>
      </c>
      <c r="AJ278" s="156">
        <f t="shared" si="382"/>
        <v>0</v>
      </c>
      <c r="AK278" s="156">
        <f t="shared" si="382"/>
        <v>0</v>
      </c>
      <c r="AL278" s="156">
        <f t="shared" si="382"/>
        <v>2.589745305973909E-3</v>
      </c>
      <c r="AM278" s="156">
        <f t="shared" si="382"/>
        <v>0</v>
      </c>
      <c r="AN278" s="156">
        <f t="shared" si="382"/>
        <v>0</v>
      </c>
      <c r="AO278" s="156">
        <f t="shared" si="382"/>
        <v>0</v>
      </c>
      <c r="AP278" s="156">
        <f t="shared" si="382"/>
        <v>0</v>
      </c>
      <c r="AQ278" s="156">
        <f t="shared" si="382"/>
        <v>0</v>
      </c>
      <c r="AR278" s="156">
        <f t="shared" si="382"/>
        <v>0</v>
      </c>
      <c r="AS278" s="156">
        <f t="shared" si="382"/>
        <v>0</v>
      </c>
      <c r="AT278" s="156">
        <f t="shared" si="382"/>
        <v>0</v>
      </c>
      <c r="AU278" s="156">
        <f t="shared" si="382"/>
        <v>0</v>
      </c>
      <c r="AV278" s="156">
        <f t="shared" si="382"/>
        <v>0</v>
      </c>
      <c r="AW278" s="156">
        <f t="shared" si="382"/>
        <v>1.5223017897299758E-4</v>
      </c>
      <c r="AX278" s="156">
        <f t="shared" si="382"/>
        <v>0</v>
      </c>
      <c r="AY278" s="156">
        <f t="shared" si="382"/>
        <v>0</v>
      </c>
      <c r="AZ278" s="156">
        <f t="shared" si="382"/>
        <v>0</v>
      </c>
      <c r="BA278" s="156">
        <f t="shared" si="382"/>
        <v>0</v>
      </c>
      <c r="BB278" s="156">
        <f t="shared" si="382"/>
        <v>0</v>
      </c>
      <c r="BC278" s="156">
        <f t="shared" si="382"/>
        <v>0</v>
      </c>
      <c r="BD278" s="156">
        <f t="shared" si="382"/>
        <v>0</v>
      </c>
      <c r="BE278" s="156">
        <f t="shared" si="382"/>
        <v>0</v>
      </c>
      <c r="BF278" s="156">
        <f t="shared" si="382"/>
        <v>1.6746345940466568E-3</v>
      </c>
      <c r="BG278" s="156">
        <f t="shared" si="382"/>
        <v>0</v>
      </c>
      <c r="BH278" s="156">
        <f t="shared" si="382"/>
        <v>0</v>
      </c>
      <c r="BI278" s="156">
        <f t="shared" si="382"/>
        <v>0</v>
      </c>
      <c r="BJ278" s="156">
        <f t="shared" si="382"/>
        <v>0</v>
      </c>
      <c r="BK278" s="156">
        <f t="shared" si="382"/>
        <v>0</v>
      </c>
      <c r="BL278" s="156">
        <f t="shared" si="382"/>
        <v>0</v>
      </c>
      <c r="BM278" s="156">
        <f t="shared" si="382"/>
        <v>0</v>
      </c>
      <c r="BN278" s="156">
        <f t="shared" si="382"/>
        <v>0</v>
      </c>
      <c r="BO278" s="156">
        <f t="shared" ref="BO278:BZ278" si="383">BO119/BO$84</f>
        <v>0</v>
      </c>
      <c r="BP278" s="156">
        <f t="shared" si="383"/>
        <v>0</v>
      </c>
      <c r="BQ278" s="156">
        <f t="shared" si="383"/>
        <v>0</v>
      </c>
      <c r="BR278" s="156">
        <f t="shared" si="383"/>
        <v>0</v>
      </c>
      <c r="BS278" s="156">
        <f t="shared" si="383"/>
        <v>0</v>
      </c>
      <c r="BT278" s="156">
        <f t="shared" si="383"/>
        <v>0</v>
      </c>
      <c r="BU278" s="156">
        <f t="shared" si="383"/>
        <v>0</v>
      </c>
      <c r="BV278" s="156">
        <f t="shared" si="383"/>
        <v>0</v>
      </c>
      <c r="BW278" s="156">
        <f t="shared" si="383"/>
        <v>0</v>
      </c>
      <c r="BX278" s="156">
        <f t="shared" si="383"/>
        <v>0</v>
      </c>
      <c r="BY278" s="156">
        <f t="shared" si="383"/>
        <v>2.8497658436206041E-4</v>
      </c>
      <c r="BZ278" s="156">
        <f t="shared" si="383"/>
        <v>0</v>
      </c>
      <c r="CA278" s="129">
        <f t="shared" si="279"/>
        <v>0</v>
      </c>
      <c r="CB278" s="18"/>
      <c r="CC278" s="250"/>
      <c r="CD278" s="130">
        <f t="shared" ref="CD278:CG278" si="384">CD119/(CD$79+CD$80)</f>
        <v>0</v>
      </c>
      <c r="CE278" s="130">
        <f t="shared" si="384"/>
        <v>0</v>
      </c>
      <c r="CF278" s="130">
        <f t="shared" si="384"/>
        <v>3.0000423979501804E-6</v>
      </c>
      <c r="CG278" s="131">
        <f t="shared" si="384"/>
        <v>0</v>
      </c>
      <c r="CH278" s="18"/>
      <c r="CI278" s="18"/>
      <c r="CJ278" s="18"/>
    </row>
    <row r="279" spans="1:88" ht="28.2" customHeight="1" x14ac:dyDescent="0.25">
      <c r="A279" s="153" t="s">
        <v>32</v>
      </c>
      <c r="B279" s="253"/>
      <c r="C279" s="128">
        <f t="shared" ref="C279:AH279" si="385">C120/C$84</f>
        <v>8.2232543173202978E-6</v>
      </c>
      <c r="D279" s="156">
        <f t="shared" si="385"/>
        <v>1.7463838775925654E-5</v>
      </c>
      <c r="E279" s="156">
        <f t="shared" si="385"/>
        <v>0</v>
      </c>
      <c r="F279" s="156">
        <f t="shared" si="385"/>
        <v>4.4991266219307653E-4</v>
      </c>
      <c r="G279" s="156">
        <f t="shared" si="385"/>
        <v>3.4180539346832719E-4</v>
      </c>
      <c r="H279" s="156">
        <f t="shared" si="385"/>
        <v>2.6435053140176677E-5</v>
      </c>
      <c r="I279" s="156">
        <f t="shared" si="385"/>
        <v>3.2398040326938881E-5</v>
      </c>
      <c r="J279" s="156">
        <f t="shared" si="385"/>
        <v>2.2262587950834043E-5</v>
      </c>
      <c r="K279" s="156">
        <f t="shared" si="385"/>
        <v>1.9094850034455219E-5</v>
      </c>
      <c r="L279" s="156">
        <f t="shared" si="385"/>
        <v>1.724930019514758E-5</v>
      </c>
      <c r="M279" s="156">
        <f t="shared" si="385"/>
        <v>3.6679727867307414E-5</v>
      </c>
      <c r="N279" s="156">
        <f t="shared" si="385"/>
        <v>2.0834648585960778E-5</v>
      </c>
      <c r="O279" s="156">
        <f t="shared" si="385"/>
        <v>2.0474599181847179E-5</v>
      </c>
      <c r="P279" s="156">
        <f t="shared" si="385"/>
        <v>1.4399755875641322E-5</v>
      </c>
      <c r="Q279" s="156">
        <f t="shared" si="385"/>
        <v>3.7930789095360964E-5</v>
      </c>
      <c r="R279" s="156">
        <f t="shared" si="385"/>
        <v>2.532625360196433E-5</v>
      </c>
      <c r="S279" s="156">
        <f t="shared" si="385"/>
        <v>3.8744613948116074E-5</v>
      </c>
      <c r="T279" s="156">
        <f t="shared" si="385"/>
        <v>3.9447832696195197E-5</v>
      </c>
      <c r="U279" s="156">
        <f t="shared" si="385"/>
        <v>7.4435913842905605E-5</v>
      </c>
      <c r="V279" s="156">
        <f t="shared" si="385"/>
        <v>1.6533368896585671E-4</v>
      </c>
      <c r="W279" s="156">
        <f t="shared" si="385"/>
        <v>1.1922877378656619E-5</v>
      </c>
      <c r="X279" s="156">
        <f t="shared" si="385"/>
        <v>2.5927434704680697E-5</v>
      </c>
      <c r="Y279" s="156">
        <f t="shared" si="385"/>
        <v>2.1386526519387898E-5</v>
      </c>
      <c r="Z279" s="156">
        <f t="shared" si="385"/>
        <v>8.76273930048803E-5</v>
      </c>
      <c r="AA279" s="156">
        <f t="shared" si="385"/>
        <v>7.1308478895067196E-6</v>
      </c>
      <c r="AB279" s="156">
        <f t="shared" si="385"/>
        <v>5.3343077842375131E-5</v>
      </c>
      <c r="AC279" s="156">
        <f t="shared" si="385"/>
        <v>3.7840343696174206E-5</v>
      </c>
      <c r="AD279" s="156">
        <f t="shared" si="385"/>
        <v>1.078509444874361E-5</v>
      </c>
      <c r="AE279" s="156">
        <f t="shared" si="385"/>
        <v>4.7058150263663921E-5</v>
      </c>
      <c r="AF279" s="156">
        <f t="shared" si="385"/>
        <v>8.9410290730866369E-5</v>
      </c>
      <c r="AG279" s="156">
        <f t="shared" si="385"/>
        <v>6.2437307178454294E-4</v>
      </c>
      <c r="AH279" s="156">
        <f t="shared" si="385"/>
        <v>8.410206007439375E-4</v>
      </c>
      <c r="AI279" s="156">
        <f t="shared" ref="AI279:BN279" si="386">AI120/AI$84</f>
        <v>6.9387797378545914E-4</v>
      </c>
      <c r="AJ279" s="156">
        <f t="shared" si="386"/>
        <v>5.3447881125779583E-5</v>
      </c>
      <c r="AK279" s="156">
        <f t="shared" si="386"/>
        <v>1.4330392562499546E-5</v>
      </c>
      <c r="AL279" s="156">
        <f t="shared" si="386"/>
        <v>1.2722419760723462E-5</v>
      </c>
      <c r="AM279" s="156">
        <f t="shared" si="386"/>
        <v>1.1325393502548057E-5</v>
      </c>
      <c r="AN279" s="156">
        <f t="shared" si="386"/>
        <v>1.1125369932098329E-5</v>
      </c>
      <c r="AO279" s="156">
        <f t="shared" si="386"/>
        <v>2.171933701152211E-5</v>
      </c>
      <c r="AP279" s="156">
        <f t="shared" si="386"/>
        <v>1.8116468910108354E-5</v>
      </c>
      <c r="AQ279" s="156">
        <f t="shared" si="386"/>
        <v>1.6912669738538086E-5</v>
      </c>
      <c r="AR279" s="156">
        <f t="shared" si="386"/>
        <v>1.0005854405793508E-5</v>
      </c>
      <c r="AS279" s="156">
        <f t="shared" si="386"/>
        <v>9.2042891987666259E-6</v>
      </c>
      <c r="AT279" s="156">
        <f t="shared" si="386"/>
        <v>1.3699607649258731E-5</v>
      </c>
      <c r="AU279" s="156">
        <f t="shared" si="386"/>
        <v>1.4860533340105597E-5</v>
      </c>
      <c r="AV279" s="156">
        <f t="shared" si="386"/>
        <v>2.1505009349129387E-6</v>
      </c>
      <c r="AW279" s="156">
        <f t="shared" si="386"/>
        <v>6.6455118633576797E-6</v>
      </c>
      <c r="AX279" s="156">
        <f t="shared" si="386"/>
        <v>1.043379707891971E-5</v>
      </c>
      <c r="AY279" s="156">
        <f t="shared" si="386"/>
        <v>1.3747471534485442E-6</v>
      </c>
      <c r="AZ279" s="156">
        <f t="shared" si="386"/>
        <v>0</v>
      </c>
      <c r="BA279" s="156">
        <f t="shared" si="386"/>
        <v>1.5396872517719937E-6</v>
      </c>
      <c r="BB279" s="156">
        <f t="shared" si="386"/>
        <v>7.5299571300576669E-5</v>
      </c>
      <c r="BC279" s="156">
        <f t="shared" si="386"/>
        <v>8.3634640364901238E-6</v>
      </c>
      <c r="BD279" s="156">
        <f t="shared" si="386"/>
        <v>1.2772327599294664E-6</v>
      </c>
      <c r="BE279" s="156">
        <f t="shared" si="386"/>
        <v>4.302553908266306E-5</v>
      </c>
      <c r="BF279" s="156">
        <f t="shared" si="386"/>
        <v>3.2533800906836892E-5</v>
      </c>
      <c r="BG279" s="156">
        <f t="shared" si="386"/>
        <v>1.191288794292995E-6</v>
      </c>
      <c r="BH279" s="156">
        <f t="shared" si="386"/>
        <v>1.3596765370227301E-5</v>
      </c>
      <c r="BI279" s="156">
        <f t="shared" si="386"/>
        <v>1.6602806737684618E-5</v>
      </c>
      <c r="BJ279" s="156">
        <f t="shared" si="386"/>
        <v>2.2261559196915934E-5</v>
      </c>
      <c r="BK279" s="156">
        <f t="shared" si="386"/>
        <v>6.8429025104120986E-6</v>
      </c>
      <c r="BL279" s="156">
        <f t="shared" si="386"/>
        <v>1.7366286077163334E-5</v>
      </c>
      <c r="BM279" s="156">
        <f t="shared" si="386"/>
        <v>1.1032564800706084E-5</v>
      </c>
      <c r="BN279" s="156">
        <f t="shared" si="386"/>
        <v>4.1201235975122506E-5</v>
      </c>
      <c r="BO279" s="156">
        <f t="shared" ref="BO279:BZ279" si="387">BO120/BO$84</f>
        <v>9.8533526058587299E-6</v>
      </c>
      <c r="BP279" s="156">
        <f t="shared" si="387"/>
        <v>7.3085313704776144E-6</v>
      </c>
      <c r="BQ279" s="156">
        <f t="shared" si="387"/>
        <v>5.8649866610012387E-6</v>
      </c>
      <c r="BR279" s="156">
        <f t="shared" si="387"/>
        <v>2.7302549166869078E-5</v>
      </c>
      <c r="BS279" s="156">
        <f t="shared" si="387"/>
        <v>8.3731037495503845E-6</v>
      </c>
      <c r="BT279" s="156">
        <f t="shared" si="387"/>
        <v>7.8939276420562761E-6</v>
      </c>
      <c r="BU279" s="156">
        <f t="shared" si="387"/>
        <v>4.9427212745103367E-5</v>
      </c>
      <c r="BV279" s="156">
        <f t="shared" si="387"/>
        <v>0</v>
      </c>
      <c r="BW279" s="156">
        <f t="shared" si="387"/>
        <v>5.811755197931289E-6</v>
      </c>
      <c r="BX279" s="156">
        <f t="shared" si="387"/>
        <v>8.0363043138263377E-6</v>
      </c>
      <c r="BY279" s="156">
        <f t="shared" si="387"/>
        <v>1.1963814884561076E-5</v>
      </c>
      <c r="BZ279" s="156">
        <f t="shared" si="387"/>
        <v>3.9040444217431494E-5</v>
      </c>
      <c r="CA279" s="129">
        <f t="shared" si="279"/>
        <v>0</v>
      </c>
      <c r="CB279" s="18"/>
      <c r="CC279" s="250"/>
      <c r="CD279" s="130">
        <f t="shared" ref="CD279:CG279" si="388">CD120/(CD$79+CD$80)</f>
        <v>0</v>
      </c>
      <c r="CE279" s="130">
        <f t="shared" si="388"/>
        <v>0</v>
      </c>
      <c r="CF279" s="130">
        <f t="shared" si="388"/>
        <v>5.0237228423574451E-7</v>
      </c>
      <c r="CG279" s="131">
        <f t="shared" si="388"/>
        <v>0</v>
      </c>
      <c r="CH279" s="18"/>
      <c r="CI279" s="18"/>
      <c r="CJ279" s="18"/>
    </row>
    <row r="280" spans="1:88" ht="13.95" customHeight="1" x14ac:dyDescent="0.25">
      <c r="A280" s="153" t="s">
        <v>33</v>
      </c>
      <c r="B280" s="253"/>
      <c r="C280" s="128">
        <f t="shared" ref="C280:AH280" si="389">C121/C$84</f>
        <v>1.4842682438000114E-5</v>
      </c>
      <c r="D280" s="156">
        <f t="shared" si="389"/>
        <v>3.110474767055415E-5</v>
      </c>
      <c r="E280" s="156">
        <f t="shared" si="389"/>
        <v>0</v>
      </c>
      <c r="F280" s="156">
        <f t="shared" si="389"/>
        <v>2.0054546303782144E-5</v>
      </c>
      <c r="G280" s="156">
        <f t="shared" si="389"/>
        <v>4.1582823774430922E-5</v>
      </c>
      <c r="H280" s="156">
        <f t="shared" si="389"/>
        <v>3.1433493987344588E-6</v>
      </c>
      <c r="I280" s="156">
        <f t="shared" si="389"/>
        <v>5.4450487944435091E-6</v>
      </c>
      <c r="J280" s="156">
        <f t="shared" si="389"/>
        <v>1.3551140491812026E-5</v>
      </c>
      <c r="K280" s="156">
        <f t="shared" si="389"/>
        <v>1.4025420821767993E-5</v>
      </c>
      <c r="L280" s="156">
        <f t="shared" si="389"/>
        <v>8.4759492338225171E-6</v>
      </c>
      <c r="M280" s="156">
        <f t="shared" si="389"/>
        <v>6.756791975556629E-6</v>
      </c>
      <c r="N280" s="156">
        <f t="shared" si="389"/>
        <v>2.1933964214868256E-5</v>
      </c>
      <c r="O280" s="156">
        <f t="shared" si="389"/>
        <v>2.5669268528726725E-5</v>
      </c>
      <c r="P280" s="156">
        <f t="shared" si="389"/>
        <v>4.700438446452866E-6</v>
      </c>
      <c r="Q280" s="156">
        <f t="shared" si="389"/>
        <v>5.0184260467448121E-6</v>
      </c>
      <c r="R280" s="156">
        <f t="shared" si="389"/>
        <v>1.0439829729053999E-5</v>
      </c>
      <c r="S280" s="156">
        <f t="shared" si="389"/>
        <v>5.7807239283157196E-6</v>
      </c>
      <c r="T280" s="156">
        <f t="shared" si="389"/>
        <v>1.1586258401384958E-5</v>
      </c>
      <c r="U280" s="156">
        <f t="shared" si="389"/>
        <v>1.4196334426584196E-5</v>
      </c>
      <c r="V280" s="156">
        <f t="shared" si="389"/>
        <v>6.0238479954437804E-6</v>
      </c>
      <c r="W280" s="156">
        <f t="shared" si="389"/>
        <v>2.5683219842508802E-5</v>
      </c>
      <c r="X280" s="156">
        <f t="shared" si="389"/>
        <v>2.3286414521180913E-6</v>
      </c>
      <c r="Y280" s="156">
        <f t="shared" si="389"/>
        <v>1.5374805009899214E-5</v>
      </c>
      <c r="Z280" s="156">
        <f t="shared" si="389"/>
        <v>1.3804891885495071E-5</v>
      </c>
      <c r="AA280" s="156">
        <f t="shared" si="389"/>
        <v>6.863962354460854E-6</v>
      </c>
      <c r="AB280" s="156">
        <f t="shared" si="389"/>
        <v>2.2975957518806075E-5</v>
      </c>
      <c r="AC280" s="156">
        <f t="shared" si="389"/>
        <v>6.8307135661952241E-6</v>
      </c>
      <c r="AD280" s="156">
        <f t="shared" si="389"/>
        <v>5.2778121770447446E-6</v>
      </c>
      <c r="AE280" s="156">
        <f t="shared" si="389"/>
        <v>4.0155126833038535E-5</v>
      </c>
      <c r="AF280" s="156">
        <f t="shared" si="389"/>
        <v>1.8905941606357196E-4</v>
      </c>
      <c r="AG280" s="156">
        <f t="shared" si="389"/>
        <v>3.7822246457836457E-5</v>
      </c>
      <c r="AH280" s="156">
        <f t="shared" si="389"/>
        <v>5.0972529727440738E-5</v>
      </c>
      <c r="AI280" s="156">
        <f t="shared" ref="AI280:BN280" si="390">AI121/AI$84</f>
        <v>2.9346940622325953E-5</v>
      </c>
      <c r="AJ280" s="156">
        <f t="shared" si="390"/>
        <v>5.6833067881212969E-4</v>
      </c>
      <c r="AK280" s="156">
        <f t="shared" si="390"/>
        <v>7.4037181281622149E-6</v>
      </c>
      <c r="AL280" s="156">
        <f t="shared" si="390"/>
        <v>7.493745716847375E-5</v>
      </c>
      <c r="AM280" s="156">
        <f t="shared" si="390"/>
        <v>3.3416966338390525E-5</v>
      </c>
      <c r="AN280" s="156">
        <f t="shared" si="390"/>
        <v>1.1590786553899577E-5</v>
      </c>
      <c r="AO280" s="156">
        <f t="shared" si="390"/>
        <v>0</v>
      </c>
      <c r="AP280" s="156">
        <f t="shared" si="390"/>
        <v>1.0454397946332869E-4</v>
      </c>
      <c r="AQ280" s="156">
        <f t="shared" si="390"/>
        <v>1.5219413038832683E-3</v>
      </c>
      <c r="AR280" s="156">
        <f t="shared" si="390"/>
        <v>3.6590036209421353E-5</v>
      </c>
      <c r="AS280" s="156">
        <f t="shared" si="390"/>
        <v>6.9612271251176154E-7</v>
      </c>
      <c r="AT280" s="156">
        <f t="shared" si="390"/>
        <v>4.5163541700852961E-7</v>
      </c>
      <c r="AU280" s="156">
        <f t="shared" si="390"/>
        <v>5.5449751269050732E-7</v>
      </c>
      <c r="AV280" s="156">
        <f t="shared" si="390"/>
        <v>1.7643357132672821E-5</v>
      </c>
      <c r="AW280" s="156">
        <f t="shared" si="390"/>
        <v>2.5348859684972592E-6</v>
      </c>
      <c r="AX280" s="156">
        <f t="shared" si="390"/>
        <v>9.0936763531869028E-6</v>
      </c>
      <c r="AY280" s="156">
        <f t="shared" si="390"/>
        <v>3.3604930417631077E-7</v>
      </c>
      <c r="AZ280" s="156">
        <f t="shared" si="390"/>
        <v>5.0854494196577586E-6</v>
      </c>
      <c r="BA280" s="156">
        <f t="shared" si="390"/>
        <v>3.8740517947811458E-6</v>
      </c>
      <c r="BB280" s="156">
        <f t="shared" si="390"/>
        <v>2.656622053689355E-3</v>
      </c>
      <c r="BC280" s="156">
        <f t="shared" si="390"/>
        <v>5.4857129701709415E-6</v>
      </c>
      <c r="BD280" s="156">
        <f t="shared" si="390"/>
        <v>4.0042973014004892E-5</v>
      </c>
      <c r="BE280" s="156">
        <f t="shared" si="390"/>
        <v>7.844348983031893E-4</v>
      </c>
      <c r="BF280" s="156">
        <f t="shared" si="390"/>
        <v>1.2495200917277328E-6</v>
      </c>
      <c r="BG280" s="156">
        <f t="shared" si="390"/>
        <v>2.4038506027697934E-6</v>
      </c>
      <c r="BH280" s="156">
        <f t="shared" si="390"/>
        <v>6.2528837151703992E-5</v>
      </c>
      <c r="BI280" s="156">
        <f t="shared" si="390"/>
        <v>0</v>
      </c>
      <c r="BJ280" s="156">
        <f t="shared" si="390"/>
        <v>7.3543851908844626E-5</v>
      </c>
      <c r="BK280" s="156">
        <f t="shared" si="390"/>
        <v>1.7884858834031621E-6</v>
      </c>
      <c r="BL280" s="156">
        <f t="shared" si="390"/>
        <v>3.7238155717698493E-5</v>
      </c>
      <c r="BM280" s="156">
        <f t="shared" si="390"/>
        <v>2.3626341601512086E-5</v>
      </c>
      <c r="BN280" s="156">
        <f t="shared" si="390"/>
        <v>6.0640164978422791E-5</v>
      </c>
      <c r="BO280" s="156">
        <f t="shared" ref="BO280:BZ280" si="391">BO121/BO$84</f>
        <v>1.4806374771370604E-5</v>
      </c>
      <c r="BP280" s="156">
        <f t="shared" si="391"/>
        <v>1.5108469701824101E-4</v>
      </c>
      <c r="BQ280" s="156">
        <f t="shared" si="391"/>
        <v>6.1427455921233377E-5</v>
      </c>
      <c r="BR280" s="156">
        <f t="shared" si="391"/>
        <v>8.1240745855524564E-6</v>
      </c>
      <c r="BS280" s="156">
        <f t="shared" si="391"/>
        <v>3.5903518172155837E-5</v>
      </c>
      <c r="BT280" s="156">
        <f t="shared" si="391"/>
        <v>4.7547145564943621E-5</v>
      </c>
      <c r="BU280" s="156">
        <f t="shared" si="391"/>
        <v>3.771296332451387E-4</v>
      </c>
      <c r="BV280" s="156">
        <f t="shared" si="391"/>
        <v>2.519252124737242E-6</v>
      </c>
      <c r="BW280" s="156">
        <f t="shared" si="391"/>
        <v>2.3019108823178829E-5</v>
      </c>
      <c r="BX280" s="156">
        <f t="shared" si="391"/>
        <v>2.6787681046087795E-6</v>
      </c>
      <c r="BY280" s="156">
        <f t="shared" si="391"/>
        <v>2.2292822766262874E-7</v>
      </c>
      <c r="BZ280" s="156">
        <f t="shared" si="391"/>
        <v>5.009068489391713E-5</v>
      </c>
      <c r="CA280" s="129">
        <f t="shared" si="279"/>
        <v>0</v>
      </c>
      <c r="CB280" s="18"/>
      <c r="CC280" s="250"/>
      <c r="CD280" s="130">
        <f t="shared" ref="CD280:CG280" si="392">CD121/(CD$79+CD$80)</f>
        <v>6.1321224681614356E-5</v>
      </c>
      <c r="CE280" s="130">
        <f t="shared" si="392"/>
        <v>0</v>
      </c>
      <c r="CF280" s="130">
        <f t="shared" si="392"/>
        <v>9.6595007508251812E-3</v>
      </c>
      <c r="CG280" s="131">
        <f t="shared" si="392"/>
        <v>0</v>
      </c>
      <c r="CH280" s="18"/>
      <c r="CI280" s="18"/>
      <c r="CJ280" s="18"/>
    </row>
    <row r="281" spans="1:88" ht="13.95" customHeight="1" x14ac:dyDescent="0.25">
      <c r="A281" s="153" t="s">
        <v>34</v>
      </c>
      <c r="B281" s="253"/>
      <c r="C281" s="128">
        <f t="shared" ref="C281:AH281" si="393">C122/C$84</f>
        <v>3.1279470913873194E-5</v>
      </c>
      <c r="D281" s="156">
        <f t="shared" si="393"/>
        <v>1.0486991742558341E-4</v>
      </c>
      <c r="E281" s="156">
        <f t="shared" si="393"/>
        <v>1.0582647741973153E-4</v>
      </c>
      <c r="F281" s="156">
        <f t="shared" si="393"/>
        <v>6.7329659312954958E-5</v>
      </c>
      <c r="G281" s="156">
        <f t="shared" si="393"/>
        <v>1.7967301542925936E-4</v>
      </c>
      <c r="H281" s="156">
        <f t="shared" si="393"/>
        <v>4.6542183228474801E-5</v>
      </c>
      <c r="I281" s="156">
        <f t="shared" si="393"/>
        <v>6.8607614809988214E-5</v>
      </c>
      <c r="J281" s="156">
        <f t="shared" si="393"/>
        <v>1.1397477092220471E-4</v>
      </c>
      <c r="K281" s="156">
        <f t="shared" si="393"/>
        <v>1.2073690574883412E-4</v>
      </c>
      <c r="L281" s="156">
        <f t="shared" si="393"/>
        <v>7.2789072806247749E-5</v>
      </c>
      <c r="M281" s="156">
        <f t="shared" si="393"/>
        <v>8.0502350108774704E-5</v>
      </c>
      <c r="N281" s="156">
        <f t="shared" si="393"/>
        <v>2.486547255862153E-5</v>
      </c>
      <c r="O281" s="156">
        <f t="shared" si="393"/>
        <v>3.9048709578250625E-5</v>
      </c>
      <c r="P281" s="156">
        <f t="shared" si="393"/>
        <v>7.5654675947669939E-5</v>
      </c>
      <c r="Q281" s="156">
        <f t="shared" si="393"/>
        <v>1.9878641690462666E-5</v>
      </c>
      <c r="R281" s="156">
        <f t="shared" si="393"/>
        <v>4.5759766490454637E-5</v>
      </c>
      <c r="S281" s="156">
        <f t="shared" si="393"/>
        <v>6.9231050855781122E-5</v>
      </c>
      <c r="T281" s="156">
        <f t="shared" si="393"/>
        <v>4.9163663732334153E-5</v>
      </c>
      <c r="U281" s="156">
        <f t="shared" si="393"/>
        <v>7.8828591161961192E-5</v>
      </c>
      <c r="V281" s="156">
        <f t="shared" si="393"/>
        <v>1.7604454168502814E-5</v>
      </c>
      <c r="W281" s="156">
        <f t="shared" si="393"/>
        <v>5.9841489319543223E-5</v>
      </c>
      <c r="X281" s="156">
        <f t="shared" si="393"/>
        <v>1.8004374154181337E-5</v>
      </c>
      <c r="Y281" s="156">
        <f t="shared" si="393"/>
        <v>9.4650063650828989E-5</v>
      </c>
      <c r="Z281" s="156">
        <f t="shared" si="393"/>
        <v>6.1743220719577037E-5</v>
      </c>
      <c r="AA281" s="156">
        <f t="shared" si="393"/>
        <v>7.0774707824975468E-5</v>
      </c>
      <c r="AB281" s="156">
        <f t="shared" si="393"/>
        <v>4.0292396089965067E-5</v>
      </c>
      <c r="AC281" s="156">
        <f t="shared" si="393"/>
        <v>6.2471625396792084E-5</v>
      </c>
      <c r="AD281" s="156">
        <f t="shared" si="393"/>
        <v>6.1115535209547119E-5</v>
      </c>
      <c r="AE281" s="156">
        <f t="shared" si="393"/>
        <v>3.2555268229605535E-5</v>
      </c>
      <c r="AF281" s="156">
        <f t="shared" si="393"/>
        <v>2.5938380991326095E-5</v>
      </c>
      <c r="AG281" s="156">
        <f t="shared" si="393"/>
        <v>8.7762300033232164E-5</v>
      </c>
      <c r="AH281" s="156">
        <f t="shared" si="393"/>
        <v>1.8820626360901193E-4</v>
      </c>
      <c r="AI281" s="156">
        <f t="shared" ref="AI281:BN281" si="394">AI122/AI$84</f>
        <v>2.557635846806426E-4</v>
      </c>
      <c r="AJ281" s="156">
        <f t="shared" si="394"/>
        <v>7.7417849896520519E-5</v>
      </c>
      <c r="AK281" s="156">
        <f t="shared" si="394"/>
        <v>1.9549441390421317E-3</v>
      </c>
      <c r="AL281" s="156">
        <f t="shared" si="394"/>
        <v>1.8559159051489212E-4</v>
      </c>
      <c r="AM281" s="156">
        <f t="shared" si="394"/>
        <v>6.2564045047993906E-5</v>
      </c>
      <c r="AN281" s="156">
        <f t="shared" si="394"/>
        <v>8.5362508894478242E-4</v>
      </c>
      <c r="AO281" s="156">
        <f t="shared" si="394"/>
        <v>9.3640825799676461E-5</v>
      </c>
      <c r="AP281" s="156">
        <f t="shared" si="394"/>
        <v>8.2620847002601782E-5</v>
      </c>
      <c r="AQ281" s="156">
        <f t="shared" si="394"/>
        <v>3.3891663672129261E-5</v>
      </c>
      <c r="AR281" s="156">
        <f t="shared" si="394"/>
        <v>4.0775491647138903E-5</v>
      </c>
      <c r="AS281" s="156">
        <f t="shared" si="394"/>
        <v>9.8849425176670145E-5</v>
      </c>
      <c r="AT281" s="156">
        <f t="shared" si="394"/>
        <v>4.0647187530767661E-5</v>
      </c>
      <c r="AU281" s="156">
        <f t="shared" si="394"/>
        <v>3.105186071066841E-6</v>
      </c>
      <c r="AV281" s="156">
        <f t="shared" si="394"/>
        <v>2.6892823519395135E-5</v>
      </c>
      <c r="AW281" s="156">
        <f t="shared" si="394"/>
        <v>9.6713892581854898E-5</v>
      </c>
      <c r="AX281" s="156">
        <f t="shared" si="394"/>
        <v>9.4478511164162876E-5</v>
      </c>
      <c r="AY281" s="156">
        <f t="shared" si="394"/>
        <v>8.945021478438527E-5</v>
      </c>
      <c r="AZ281" s="156">
        <f t="shared" si="394"/>
        <v>1.5285768214293611E-4</v>
      </c>
      <c r="BA281" s="156">
        <f t="shared" si="394"/>
        <v>8.3639784902710891E-5</v>
      </c>
      <c r="BB281" s="156">
        <f t="shared" si="394"/>
        <v>3.049437693532394E-5</v>
      </c>
      <c r="BC281" s="156">
        <f t="shared" si="394"/>
        <v>3.5851982034559811E-5</v>
      </c>
      <c r="BD281" s="156">
        <f t="shared" si="394"/>
        <v>1.0076330881713817E-4</v>
      </c>
      <c r="BE281" s="156">
        <f t="shared" si="394"/>
        <v>1.5143066827976382E-5</v>
      </c>
      <c r="BF281" s="156">
        <f t="shared" si="394"/>
        <v>5.4747491426441027E-5</v>
      </c>
      <c r="BG281" s="156">
        <f t="shared" si="394"/>
        <v>3.8525428686868103E-5</v>
      </c>
      <c r="BH281" s="156">
        <f t="shared" si="394"/>
        <v>7.6451273548763086E-5</v>
      </c>
      <c r="BI281" s="156">
        <f t="shared" si="394"/>
        <v>5.7777767447142476E-5</v>
      </c>
      <c r="BJ281" s="156">
        <f t="shared" si="394"/>
        <v>1.5203770610437511E-3</v>
      </c>
      <c r="BK281" s="156">
        <f t="shared" si="394"/>
        <v>1.4144590530045008E-4</v>
      </c>
      <c r="BL281" s="156">
        <f t="shared" si="394"/>
        <v>1.0808569095786732E-4</v>
      </c>
      <c r="BM281" s="156">
        <f t="shared" si="394"/>
        <v>2.058718224131758E-4</v>
      </c>
      <c r="BN281" s="156">
        <f t="shared" si="394"/>
        <v>3.3975530493019255E-4</v>
      </c>
      <c r="BO281" s="156">
        <f t="shared" ref="BO281:BZ281" si="395">BO122/BO$84</f>
        <v>1.3562850057476133E-4</v>
      </c>
      <c r="BP281" s="156">
        <f t="shared" si="395"/>
        <v>2.8563342465715941E-4</v>
      </c>
      <c r="BQ281" s="156">
        <f t="shared" si="395"/>
        <v>2.7423352930401058E-5</v>
      </c>
      <c r="BR281" s="156">
        <f t="shared" si="395"/>
        <v>4.0539536364721964E-5</v>
      </c>
      <c r="BS281" s="156">
        <f t="shared" si="395"/>
        <v>3.2396459010040493E-5</v>
      </c>
      <c r="BT281" s="156">
        <f t="shared" si="395"/>
        <v>1.8357971260595992E-5</v>
      </c>
      <c r="BU281" s="156">
        <f t="shared" si="395"/>
        <v>0</v>
      </c>
      <c r="BV281" s="156">
        <f t="shared" si="395"/>
        <v>1.8642465723055592E-5</v>
      </c>
      <c r="BW281" s="156">
        <f t="shared" si="395"/>
        <v>2.1537681027627718E-5</v>
      </c>
      <c r="BX281" s="156">
        <f t="shared" si="395"/>
        <v>3.2557335425245163E-5</v>
      </c>
      <c r="BY281" s="156">
        <f t="shared" si="395"/>
        <v>2.0137849898857462E-5</v>
      </c>
      <c r="BZ281" s="156">
        <f t="shared" si="395"/>
        <v>1.2166483262587486E-4</v>
      </c>
      <c r="CA281" s="129">
        <f t="shared" si="279"/>
        <v>0</v>
      </c>
      <c r="CB281" s="18"/>
      <c r="CC281" s="250"/>
      <c r="CD281" s="130">
        <f t="shared" ref="CD281:CG281" si="396">CD122/(CD$79+CD$80)</f>
        <v>0</v>
      </c>
      <c r="CE281" s="130">
        <f t="shared" si="396"/>
        <v>0</v>
      </c>
      <c r="CF281" s="130">
        <f t="shared" si="396"/>
        <v>2.1797848265144168E-6</v>
      </c>
      <c r="CG281" s="131">
        <f t="shared" si="396"/>
        <v>0</v>
      </c>
      <c r="CH281" s="18"/>
      <c r="CI281" s="18"/>
      <c r="CJ281" s="18"/>
    </row>
    <row r="282" spans="1:88" ht="13.95" customHeight="1" x14ac:dyDescent="0.25">
      <c r="A282" s="153" t="s">
        <v>35</v>
      </c>
      <c r="B282" s="253"/>
      <c r="C282" s="128">
        <f t="shared" ref="C282:AH282" si="397">C123/C$84</f>
        <v>0</v>
      </c>
      <c r="D282" s="156">
        <f t="shared" si="397"/>
        <v>0</v>
      </c>
      <c r="E282" s="156">
        <f t="shared" si="397"/>
        <v>0</v>
      </c>
      <c r="F282" s="156">
        <f t="shared" si="397"/>
        <v>0</v>
      </c>
      <c r="G282" s="156">
        <f t="shared" si="397"/>
        <v>0</v>
      </c>
      <c r="H282" s="156">
        <f t="shared" si="397"/>
        <v>0</v>
      </c>
      <c r="I282" s="156">
        <f t="shared" si="397"/>
        <v>0</v>
      </c>
      <c r="J282" s="156">
        <f t="shared" si="397"/>
        <v>0</v>
      </c>
      <c r="K282" s="156">
        <f t="shared" si="397"/>
        <v>0</v>
      </c>
      <c r="L282" s="156">
        <f t="shared" si="397"/>
        <v>0</v>
      </c>
      <c r="M282" s="156">
        <f t="shared" si="397"/>
        <v>0</v>
      </c>
      <c r="N282" s="156">
        <f t="shared" si="397"/>
        <v>0</v>
      </c>
      <c r="O282" s="156">
        <f t="shared" si="397"/>
        <v>0</v>
      </c>
      <c r="P282" s="156">
        <f t="shared" si="397"/>
        <v>0</v>
      </c>
      <c r="Q282" s="156">
        <f t="shared" si="397"/>
        <v>0</v>
      </c>
      <c r="R282" s="156">
        <f t="shared" si="397"/>
        <v>0</v>
      </c>
      <c r="S282" s="156">
        <f t="shared" si="397"/>
        <v>0</v>
      </c>
      <c r="T282" s="156">
        <f t="shared" si="397"/>
        <v>0</v>
      </c>
      <c r="U282" s="156">
        <f t="shared" si="397"/>
        <v>0</v>
      </c>
      <c r="V282" s="156">
        <f t="shared" si="397"/>
        <v>0</v>
      </c>
      <c r="W282" s="156">
        <f t="shared" si="397"/>
        <v>0</v>
      </c>
      <c r="X282" s="156">
        <f t="shared" si="397"/>
        <v>0</v>
      </c>
      <c r="Y282" s="156">
        <f t="shared" si="397"/>
        <v>0</v>
      </c>
      <c r="Z282" s="156">
        <f t="shared" si="397"/>
        <v>0</v>
      </c>
      <c r="AA282" s="156">
        <f t="shared" si="397"/>
        <v>0</v>
      </c>
      <c r="AB282" s="156">
        <f t="shared" si="397"/>
        <v>0</v>
      </c>
      <c r="AC282" s="156">
        <f t="shared" si="397"/>
        <v>0</v>
      </c>
      <c r="AD282" s="156">
        <f t="shared" si="397"/>
        <v>0</v>
      </c>
      <c r="AE282" s="156">
        <f t="shared" si="397"/>
        <v>0</v>
      </c>
      <c r="AF282" s="156">
        <f t="shared" si="397"/>
        <v>0</v>
      </c>
      <c r="AG282" s="156">
        <f t="shared" si="397"/>
        <v>0</v>
      </c>
      <c r="AH282" s="156">
        <f t="shared" si="397"/>
        <v>0</v>
      </c>
      <c r="AI282" s="156">
        <f t="shared" ref="AI282:BN282" si="398">AI123/AI$84</f>
        <v>0</v>
      </c>
      <c r="AJ282" s="156">
        <f t="shared" si="398"/>
        <v>0</v>
      </c>
      <c r="AK282" s="156">
        <f t="shared" si="398"/>
        <v>0</v>
      </c>
      <c r="AL282" s="156">
        <f t="shared" si="398"/>
        <v>1.1980969504497249E-2</v>
      </c>
      <c r="AM282" s="156">
        <f t="shared" si="398"/>
        <v>0</v>
      </c>
      <c r="AN282" s="156">
        <f t="shared" si="398"/>
        <v>0</v>
      </c>
      <c r="AO282" s="156">
        <f t="shared" si="398"/>
        <v>0</v>
      </c>
      <c r="AP282" s="156">
        <f t="shared" si="398"/>
        <v>0</v>
      </c>
      <c r="AQ282" s="156">
        <f t="shared" si="398"/>
        <v>0</v>
      </c>
      <c r="AR282" s="156">
        <f t="shared" si="398"/>
        <v>0</v>
      </c>
      <c r="AS282" s="156">
        <f t="shared" si="398"/>
        <v>0</v>
      </c>
      <c r="AT282" s="156">
        <f t="shared" si="398"/>
        <v>0</v>
      </c>
      <c r="AU282" s="156">
        <f t="shared" si="398"/>
        <v>0</v>
      </c>
      <c r="AV282" s="156">
        <f t="shared" si="398"/>
        <v>0</v>
      </c>
      <c r="AW282" s="156">
        <f t="shared" si="398"/>
        <v>0</v>
      </c>
      <c r="AX282" s="156">
        <f t="shared" si="398"/>
        <v>0</v>
      </c>
      <c r="AY282" s="156">
        <f t="shared" si="398"/>
        <v>0</v>
      </c>
      <c r="AZ282" s="156">
        <f t="shared" si="398"/>
        <v>0</v>
      </c>
      <c r="BA282" s="156">
        <f t="shared" si="398"/>
        <v>0</v>
      </c>
      <c r="BB282" s="156">
        <f t="shared" si="398"/>
        <v>0</v>
      </c>
      <c r="BC282" s="156">
        <f t="shared" si="398"/>
        <v>0</v>
      </c>
      <c r="BD282" s="156">
        <f t="shared" si="398"/>
        <v>0</v>
      </c>
      <c r="BE282" s="156">
        <f t="shared" si="398"/>
        <v>0</v>
      </c>
      <c r="BF282" s="156">
        <f t="shared" si="398"/>
        <v>0</v>
      </c>
      <c r="BG282" s="156">
        <f t="shared" si="398"/>
        <v>0</v>
      </c>
      <c r="BH282" s="156">
        <f t="shared" si="398"/>
        <v>0</v>
      </c>
      <c r="BI282" s="156">
        <f t="shared" si="398"/>
        <v>0</v>
      </c>
      <c r="BJ282" s="156">
        <f t="shared" si="398"/>
        <v>0</v>
      </c>
      <c r="BK282" s="156">
        <f t="shared" si="398"/>
        <v>0</v>
      </c>
      <c r="BL282" s="156">
        <f t="shared" si="398"/>
        <v>0</v>
      </c>
      <c r="BM282" s="156">
        <f t="shared" si="398"/>
        <v>0</v>
      </c>
      <c r="BN282" s="156">
        <f t="shared" si="398"/>
        <v>0</v>
      </c>
      <c r="BO282" s="156">
        <f t="shared" ref="BO282:BZ282" si="399">BO123/BO$84</f>
        <v>0</v>
      </c>
      <c r="BP282" s="156">
        <f t="shared" si="399"/>
        <v>0</v>
      </c>
      <c r="BQ282" s="156">
        <f t="shared" si="399"/>
        <v>0</v>
      </c>
      <c r="BR282" s="156">
        <f t="shared" si="399"/>
        <v>0</v>
      </c>
      <c r="BS282" s="156">
        <f t="shared" si="399"/>
        <v>0</v>
      </c>
      <c r="BT282" s="156">
        <f t="shared" si="399"/>
        <v>0</v>
      </c>
      <c r="BU282" s="156">
        <f t="shared" si="399"/>
        <v>0</v>
      </c>
      <c r="BV282" s="156">
        <f t="shared" si="399"/>
        <v>0</v>
      </c>
      <c r="BW282" s="156">
        <f t="shared" si="399"/>
        <v>0</v>
      </c>
      <c r="BX282" s="156">
        <f t="shared" si="399"/>
        <v>0</v>
      </c>
      <c r="BY282" s="156">
        <f t="shared" si="399"/>
        <v>0</v>
      </c>
      <c r="BZ282" s="156">
        <f t="shared" si="399"/>
        <v>0</v>
      </c>
      <c r="CA282" s="129">
        <f t="shared" si="279"/>
        <v>0</v>
      </c>
      <c r="CB282" s="18"/>
      <c r="CC282" s="250"/>
      <c r="CD282" s="130">
        <f t="shared" ref="CD282:CG282" si="400">CD123/(CD$79+CD$80)</f>
        <v>0</v>
      </c>
      <c r="CE282" s="130">
        <f t="shared" si="400"/>
        <v>0</v>
      </c>
      <c r="CF282" s="130">
        <f t="shared" si="400"/>
        <v>0</v>
      </c>
      <c r="CG282" s="131">
        <f t="shared" si="400"/>
        <v>0</v>
      </c>
      <c r="CH282" s="18"/>
      <c r="CI282" s="18"/>
      <c r="CJ282" s="18"/>
    </row>
    <row r="283" spans="1:88" ht="13.95" customHeight="1" x14ac:dyDescent="0.25">
      <c r="A283" s="153" t="s">
        <v>36</v>
      </c>
      <c r="B283" s="253"/>
      <c r="C283" s="128">
        <f t="shared" ref="C283:AH283" si="401">C124/C$84</f>
        <v>0</v>
      </c>
      <c r="D283" s="156">
        <f t="shared" si="401"/>
        <v>0</v>
      </c>
      <c r="E283" s="156">
        <f t="shared" si="401"/>
        <v>0</v>
      </c>
      <c r="F283" s="156">
        <f t="shared" si="401"/>
        <v>0</v>
      </c>
      <c r="G283" s="156">
        <f t="shared" si="401"/>
        <v>0</v>
      </c>
      <c r="H283" s="156">
        <f t="shared" si="401"/>
        <v>0</v>
      </c>
      <c r="I283" s="156">
        <f t="shared" si="401"/>
        <v>0</v>
      </c>
      <c r="J283" s="156">
        <f t="shared" si="401"/>
        <v>0</v>
      </c>
      <c r="K283" s="156">
        <f t="shared" si="401"/>
        <v>0</v>
      </c>
      <c r="L283" s="156">
        <f t="shared" si="401"/>
        <v>0</v>
      </c>
      <c r="M283" s="156">
        <f t="shared" si="401"/>
        <v>0</v>
      </c>
      <c r="N283" s="156">
        <f t="shared" si="401"/>
        <v>0</v>
      </c>
      <c r="O283" s="156">
        <f t="shared" si="401"/>
        <v>0</v>
      </c>
      <c r="P283" s="156">
        <f t="shared" si="401"/>
        <v>0</v>
      </c>
      <c r="Q283" s="156">
        <f t="shared" si="401"/>
        <v>0</v>
      </c>
      <c r="R283" s="156">
        <f t="shared" si="401"/>
        <v>0</v>
      </c>
      <c r="S283" s="156">
        <f t="shared" si="401"/>
        <v>0</v>
      </c>
      <c r="T283" s="156">
        <f t="shared" si="401"/>
        <v>0</v>
      </c>
      <c r="U283" s="156">
        <f t="shared" si="401"/>
        <v>0</v>
      </c>
      <c r="V283" s="156">
        <f t="shared" si="401"/>
        <v>0</v>
      </c>
      <c r="W283" s="156">
        <f t="shared" si="401"/>
        <v>0</v>
      </c>
      <c r="X283" s="156">
        <f t="shared" si="401"/>
        <v>0</v>
      </c>
      <c r="Y283" s="156">
        <f t="shared" si="401"/>
        <v>0</v>
      </c>
      <c r="Z283" s="156">
        <f t="shared" si="401"/>
        <v>0</v>
      </c>
      <c r="AA283" s="156">
        <f t="shared" si="401"/>
        <v>0</v>
      </c>
      <c r="AB283" s="156">
        <f t="shared" si="401"/>
        <v>0</v>
      </c>
      <c r="AC283" s="156">
        <f t="shared" si="401"/>
        <v>0</v>
      </c>
      <c r="AD283" s="156">
        <f t="shared" si="401"/>
        <v>0</v>
      </c>
      <c r="AE283" s="156">
        <f t="shared" si="401"/>
        <v>0</v>
      </c>
      <c r="AF283" s="156">
        <f t="shared" si="401"/>
        <v>0</v>
      </c>
      <c r="AG283" s="156">
        <f t="shared" si="401"/>
        <v>0</v>
      </c>
      <c r="AH283" s="156">
        <f t="shared" si="401"/>
        <v>0</v>
      </c>
      <c r="AI283" s="156">
        <f t="shared" ref="AI283:BN283" si="402">AI124/AI$84</f>
        <v>0</v>
      </c>
      <c r="AJ283" s="156">
        <f t="shared" si="402"/>
        <v>0</v>
      </c>
      <c r="AK283" s="156">
        <f t="shared" si="402"/>
        <v>0</v>
      </c>
      <c r="AL283" s="156">
        <f t="shared" si="402"/>
        <v>0</v>
      </c>
      <c r="AM283" s="156">
        <f t="shared" si="402"/>
        <v>7.2906998554875604E-3</v>
      </c>
      <c r="AN283" s="156">
        <f t="shared" si="402"/>
        <v>0</v>
      </c>
      <c r="AO283" s="156">
        <f t="shared" si="402"/>
        <v>0</v>
      </c>
      <c r="AP283" s="156">
        <f t="shared" si="402"/>
        <v>0</v>
      </c>
      <c r="AQ283" s="156">
        <f t="shared" si="402"/>
        <v>0</v>
      </c>
      <c r="AR283" s="156">
        <f t="shared" si="402"/>
        <v>0</v>
      </c>
      <c r="AS283" s="156">
        <f t="shared" si="402"/>
        <v>0</v>
      </c>
      <c r="AT283" s="156">
        <f t="shared" si="402"/>
        <v>0</v>
      </c>
      <c r="AU283" s="156">
        <f t="shared" si="402"/>
        <v>0</v>
      </c>
      <c r="AV283" s="156">
        <f t="shared" si="402"/>
        <v>0</v>
      </c>
      <c r="AW283" s="156">
        <f t="shared" si="402"/>
        <v>0</v>
      </c>
      <c r="AX283" s="156">
        <f t="shared" si="402"/>
        <v>0</v>
      </c>
      <c r="AY283" s="156">
        <f t="shared" si="402"/>
        <v>0</v>
      </c>
      <c r="AZ283" s="156">
        <f t="shared" si="402"/>
        <v>0</v>
      </c>
      <c r="BA283" s="156">
        <f t="shared" si="402"/>
        <v>0</v>
      </c>
      <c r="BB283" s="156">
        <f t="shared" si="402"/>
        <v>0</v>
      </c>
      <c r="BC283" s="156">
        <f t="shared" si="402"/>
        <v>0</v>
      </c>
      <c r="BD283" s="156">
        <f t="shared" si="402"/>
        <v>0</v>
      </c>
      <c r="BE283" s="156">
        <f t="shared" si="402"/>
        <v>0</v>
      </c>
      <c r="BF283" s="156">
        <f t="shared" si="402"/>
        <v>0</v>
      </c>
      <c r="BG283" s="156">
        <f t="shared" si="402"/>
        <v>0</v>
      </c>
      <c r="BH283" s="156">
        <f t="shared" si="402"/>
        <v>0</v>
      </c>
      <c r="BI283" s="156">
        <f t="shared" si="402"/>
        <v>0</v>
      </c>
      <c r="BJ283" s="156">
        <f t="shared" si="402"/>
        <v>0</v>
      </c>
      <c r="BK283" s="156">
        <f t="shared" si="402"/>
        <v>0</v>
      </c>
      <c r="BL283" s="156">
        <f t="shared" si="402"/>
        <v>0</v>
      </c>
      <c r="BM283" s="156">
        <f t="shared" si="402"/>
        <v>0</v>
      </c>
      <c r="BN283" s="156">
        <f t="shared" si="402"/>
        <v>0</v>
      </c>
      <c r="BO283" s="156">
        <f t="shared" ref="BO283:BZ283" si="403">BO124/BO$84</f>
        <v>0</v>
      </c>
      <c r="BP283" s="156">
        <f t="shared" si="403"/>
        <v>0</v>
      </c>
      <c r="BQ283" s="156">
        <f t="shared" si="403"/>
        <v>0</v>
      </c>
      <c r="BR283" s="156">
        <f t="shared" si="403"/>
        <v>0</v>
      </c>
      <c r="BS283" s="156">
        <f t="shared" si="403"/>
        <v>0</v>
      </c>
      <c r="BT283" s="156">
        <f t="shared" si="403"/>
        <v>0</v>
      </c>
      <c r="BU283" s="156">
        <f t="shared" si="403"/>
        <v>0</v>
      </c>
      <c r="BV283" s="156">
        <f t="shared" si="403"/>
        <v>0</v>
      </c>
      <c r="BW283" s="156">
        <f t="shared" si="403"/>
        <v>0</v>
      </c>
      <c r="BX283" s="156">
        <f t="shared" si="403"/>
        <v>0</v>
      </c>
      <c r="BY283" s="156">
        <f t="shared" si="403"/>
        <v>0</v>
      </c>
      <c r="BZ283" s="156">
        <f t="shared" si="403"/>
        <v>0</v>
      </c>
      <c r="CA283" s="129">
        <f t="shared" si="279"/>
        <v>0</v>
      </c>
      <c r="CB283" s="18"/>
      <c r="CC283" s="250"/>
      <c r="CD283" s="130">
        <f t="shared" ref="CD283:CG283" si="404">CD124/(CD$79+CD$80)</f>
        <v>0</v>
      </c>
      <c r="CE283" s="130">
        <f t="shared" si="404"/>
        <v>0</v>
      </c>
      <c r="CF283" s="130">
        <f t="shared" si="404"/>
        <v>0</v>
      </c>
      <c r="CG283" s="131">
        <f t="shared" si="404"/>
        <v>0</v>
      </c>
      <c r="CH283" s="18"/>
      <c r="CI283" s="18"/>
      <c r="CJ283" s="18"/>
    </row>
    <row r="284" spans="1:88" ht="13.95" customHeight="1" x14ac:dyDescent="0.25">
      <c r="A284" s="153" t="s">
        <v>37</v>
      </c>
      <c r="B284" s="253"/>
      <c r="C284" s="128">
        <f t="shared" ref="C284:AH284" si="405">C125/C$84</f>
        <v>1.2672170985213325E-3</v>
      </c>
      <c r="D284" s="156">
        <f t="shared" si="405"/>
        <v>2.0893180648989267E-3</v>
      </c>
      <c r="E284" s="156">
        <f t="shared" si="405"/>
        <v>6.0941454238259193E-4</v>
      </c>
      <c r="F284" s="156">
        <f t="shared" si="405"/>
        <v>1.8419765678350441E-3</v>
      </c>
      <c r="G284" s="156">
        <f t="shared" si="405"/>
        <v>4.5877909578623775E-3</v>
      </c>
      <c r="H284" s="156">
        <f t="shared" si="405"/>
        <v>1.3105499658730164E-3</v>
      </c>
      <c r="I284" s="156">
        <f t="shared" si="405"/>
        <v>4.2131518801072857E-3</v>
      </c>
      <c r="J284" s="156">
        <f t="shared" si="405"/>
        <v>1.3396270314762746E-3</v>
      </c>
      <c r="K284" s="156">
        <f t="shared" si="405"/>
        <v>1.3816729319179035E-3</v>
      </c>
      <c r="L284" s="156">
        <f t="shared" si="405"/>
        <v>4.8417001237414237E-4</v>
      </c>
      <c r="M284" s="156">
        <f t="shared" si="405"/>
        <v>1.4581157083251206E-3</v>
      </c>
      <c r="N284" s="156">
        <f t="shared" si="405"/>
        <v>4.2934557112430782E-3</v>
      </c>
      <c r="O284" s="156">
        <f t="shared" si="405"/>
        <v>3.9929269382172885E-3</v>
      </c>
      <c r="P284" s="156">
        <f t="shared" si="405"/>
        <v>1.6266501430089746E-3</v>
      </c>
      <c r="Q284" s="156">
        <f t="shared" si="405"/>
        <v>2.7338186216341368E-3</v>
      </c>
      <c r="R284" s="156">
        <f t="shared" si="405"/>
        <v>3.6401098615107511E-3</v>
      </c>
      <c r="S284" s="156">
        <f t="shared" si="405"/>
        <v>7.407584805284573E-4</v>
      </c>
      <c r="T284" s="156">
        <f t="shared" si="405"/>
        <v>2.0598081359771599E-3</v>
      </c>
      <c r="U284" s="156">
        <f t="shared" si="405"/>
        <v>5.0563908952498005E-3</v>
      </c>
      <c r="V284" s="156">
        <f t="shared" si="405"/>
        <v>4.2410628000649417E-3</v>
      </c>
      <c r="W284" s="156">
        <f t="shared" si="405"/>
        <v>1.2034157567524081E-3</v>
      </c>
      <c r="X284" s="156">
        <f t="shared" si="405"/>
        <v>8.6301724060815601E-4</v>
      </c>
      <c r="Y284" s="156">
        <f t="shared" si="405"/>
        <v>1.8565508925998523E-3</v>
      </c>
      <c r="Z284" s="156">
        <f t="shared" si="405"/>
        <v>1.4536593243511327E-3</v>
      </c>
      <c r="AA284" s="156">
        <f t="shared" si="405"/>
        <v>6.7731378708155577E-4</v>
      </c>
      <c r="AB284" s="156">
        <f t="shared" si="405"/>
        <v>1.0450681853774587E-3</v>
      </c>
      <c r="AC284" s="156">
        <f t="shared" si="405"/>
        <v>1.4122613389392833E-3</v>
      </c>
      <c r="AD284" s="156">
        <f t="shared" si="405"/>
        <v>3.4749421333788804E-3</v>
      </c>
      <c r="AE284" s="156">
        <f t="shared" si="405"/>
        <v>1.0422258814295321E-3</v>
      </c>
      <c r="AF284" s="156">
        <f t="shared" si="405"/>
        <v>2.3877139587326385E-3</v>
      </c>
      <c r="AG284" s="156">
        <f t="shared" si="405"/>
        <v>4.3354821020600887E-4</v>
      </c>
      <c r="AH284" s="156">
        <f t="shared" si="405"/>
        <v>6.130296241886872E-3</v>
      </c>
      <c r="AI284" s="156">
        <f t="shared" ref="AI284:BN284" si="406">AI125/AI$84</f>
        <v>1.0543092847723542E-3</v>
      </c>
      <c r="AJ284" s="156">
        <f t="shared" si="406"/>
        <v>1.0871679717084247E-3</v>
      </c>
      <c r="AK284" s="156">
        <f t="shared" si="406"/>
        <v>3.3740918829279058E-3</v>
      </c>
      <c r="AL284" s="156">
        <f t="shared" si="406"/>
        <v>6.3411528882727063E-3</v>
      </c>
      <c r="AM284" s="156">
        <f t="shared" si="406"/>
        <v>2.10446402901893E-3</v>
      </c>
      <c r="AN284" s="156">
        <f t="shared" si="406"/>
        <v>9.3421420845922511E-3</v>
      </c>
      <c r="AO284" s="156">
        <f t="shared" si="406"/>
        <v>8.1838080818415107E-4</v>
      </c>
      <c r="AP284" s="156">
        <f t="shared" si="406"/>
        <v>1.1688105107179977E-2</v>
      </c>
      <c r="AQ284" s="156">
        <f t="shared" si="406"/>
        <v>2.1860454689498639E-4</v>
      </c>
      <c r="AR284" s="156">
        <f t="shared" si="406"/>
        <v>5.6232247783147369E-4</v>
      </c>
      <c r="AS284" s="156">
        <f t="shared" si="406"/>
        <v>9.5709138273561531E-4</v>
      </c>
      <c r="AT284" s="156">
        <f t="shared" si="406"/>
        <v>4.37785264220268E-4</v>
      </c>
      <c r="AU284" s="156">
        <f t="shared" si="406"/>
        <v>1.7633020903558133E-5</v>
      </c>
      <c r="AV284" s="156">
        <f t="shared" si="406"/>
        <v>3.3751302845149735E-4</v>
      </c>
      <c r="AW284" s="156">
        <f t="shared" si="406"/>
        <v>2.1790884604865629E-4</v>
      </c>
      <c r="AX284" s="156">
        <f t="shared" si="406"/>
        <v>4.2740278859978444E-4</v>
      </c>
      <c r="AY284" s="156">
        <f t="shared" si="406"/>
        <v>6.9852430363557692E-5</v>
      </c>
      <c r="AZ284" s="156">
        <f t="shared" si="406"/>
        <v>4.8824517279474531E-4</v>
      </c>
      <c r="BA284" s="156">
        <f t="shared" si="406"/>
        <v>2.9740797624550638E-4</v>
      </c>
      <c r="BB284" s="156">
        <f t="shared" si="406"/>
        <v>5.3290697366580768E-4</v>
      </c>
      <c r="BC284" s="156">
        <f t="shared" si="406"/>
        <v>1.4835406278347534E-4</v>
      </c>
      <c r="BD284" s="156">
        <f t="shared" si="406"/>
        <v>1.7166698689538476E-4</v>
      </c>
      <c r="BE284" s="156">
        <f t="shared" si="406"/>
        <v>7.2127869498492269E-4</v>
      </c>
      <c r="BF284" s="156">
        <f t="shared" si="406"/>
        <v>7.3795731047001582E-4</v>
      </c>
      <c r="BG284" s="156">
        <f t="shared" si="406"/>
        <v>1.2991429762048784E-4</v>
      </c>
      <c r="BH284" s="156">
        <f t="shared" si="406"/>
        <v>2.9327490143769919E-3</v>
      </c>
      <c r="BI284" s="156">
        <f t="shared" si="406"/>
        <v>0</v>
      </c>
      <c r="BJ284" s="156">
        <f t="shared" si="406"/>
        <v>3.5873729207972732E-3</v>
      </c>
      <c r="BK284" s="156">
        <f t="shared" si="406"/>
        <v>3.0746405143374357E-4</v>
      </c>
      <c r="BL284" s="156">
        <f t="shared" si="406"/>
        <v>4.5635316632322894E-3</v>
      </c>
      <c r="BM284" s="156">
        <f t="shared" si="406"/>
        <v>2.9038543201858469E-4</v>
      </c>
      <c r="BN284" s="156">
        <f t="shared" si="406"/>
        <v>1.6194718899920804E-3</v>
      </c>
      <c r="BO284" s="156">
        <f t="shared" ref="BO284:BZ284" si="407">BO125/BO$84</f>
        <v>1.6437710582479623E-3</v>
      </c>
      <c r="BP284" s="156">
        <f t="shared" si="407"/>
        <v>1.9064754605797258E-4</v>
      </c>
      <c r="BQ284" s="156">
        <f t="shared" si="407"/>
        <v>1.5870718002884227E-4</v>
      </c>
      <c r="BR284" s="156">
        <f t="shared" si="407"/>
        <v>1.2509458130489977E-4</v>
      </c>
      <c r="BS284" s="156">
        <f t="shared" si="407"/>
        <v>2.0625891697190869E-4</v>
      </c>
      <c r="BT284" s="156">
        <f t="shared" si="407"/>
        <v>2.4966840914410546E-4</v>
      </c>
      <c r="BU284" s="156">
        <f t="shared" si="407"/>
        <v>5.4715924508829425E-4</v>
      </c>
      <c r="BV284" s="156">
        <f t="shared" si="407"/>
        <v>0</v>
      </c>
      <c r="BW284" s="156">
        <f t="shared" si="407"/>
        <v>2.143512064178187E-4</v>
      </c>
      <c r="BX284" s="156">
        <f t="shared" si="407"/>
        <v>1.4712618666851295E-4</v>
      </c>
      <c r="BY284" s="156">
        <f t="shared" si="407"/>
        <v>1.7106026002645712E-3</v>
      </c>
      <c r="BZ284" s="156">
        <f t="shared" si="407"/>
        <v>1.5139951578630653E-3</v>
      </c>
      <c r="CA284" s="129">
        <f t="shared" ref="CA284:CA315" si="408">CA125/CA$84</f>
        <v>0</v>
      </c>
      <c r="CB284" s="18"/>
      <c r="CC284" s="250"/>
      <c r="CD284" s="130">
        <f t="shared" ref="CD284:CG284" si="409">CD125/(CD$79+CD$80)</f>
        <v>4.1390753484999007E-4</v>
      </c>
      <c r="CE284" s="130">
        <f t="shared" si="409"/>
        <v>0</v>
      </c>
      <c r="CF284" s="130">
        <f t="shared" si="409"/>
        <v>2.1485639500929864E-6</v>
      </c>
      <c r="CG284" s="131">
        <f t="shared" si="409"/>
        <v>0</v>
      </c>
      <c r="CH284" s="18"/>
      <c r="CI284" s="18"/>
      <c r="CJ284" s="18"/>
    </row>
    <row r="285" spans="1:88" ht="13.95" customHeight="1" x14ac:dyDescent="0.25">
      <c r="A285" s="153" t="s">
        <v>38</v>
      </c>
      <c r="B285" s="253"/>
      <c r="C285" s="128">
        <f t="shared" ref="C285:AH285" si="410">C126/C$84</f>
        <v>1.3258296558894665E-4</v>
      </c>
      <c r="D285" s="156">
        <f t="shared" si="410"/>
        <v>1.3423696969554794E-3</v>
      </c>
      <c r="E285" s="156">
        <f t="shared" si="410"/>
        <v>1.5330242470354902E-2</v>
      </c>
      <c r="F285" s="156">
        <f t="shared" si="410"/>
        <v>6.4751954132520229E-5</v>
      </c>
      <c r="G285" s="156">
        <f t="shared" si="410"/>
        <v>4.3737816368083033E-3</v>
      </c>
      <c r="H285" s="156">
        <f t="shared" si="410"/>
        <v>3.5694020680580082E-4</v>
      </c>
      <c r="I285" s="156">
        <f t="shared" si="410"/>
        <v>5.090666868738477E-4</v>
      </c>
      <c r="J285" s="156">
        <f t="shared" si="410"/>
        <v>3.2692126436496512E-4</v>
      </c>
      <c r="K285" s="156">
        <f t="shared" si="410"/>
        <v>1.9011204452445882E-3</v>
      </c>
      <c r="L285" s="156">
        <f t="shared" si="410"/>
        <v>4.0275628947032081E-4</v>
      </c>
      <c r="M285" s="156">
        <f t="shared" si="410"/>
        <v>4.7085187509664624E-4</v>
      </c>
      <c r="N285" s="156">
        <f t="shared" si="410"/>
        <v>7.9511928987979459E-4</v>
      </c>
      <c r="O285" s="156">
        <f t="shared" si="410"/>
        <v>1.0069042983785637E-3</v>
      </c>
      <c r="P285" s="156">
        <f t="shared" si="410"/>
        <v>1.0633436307753374E-3</v>
      </c>
      <c r="Q285" s="156">
        <f t="shared" si="410"/>
        <v>1.3843408048239594E-3</v>
      </c>
      <c r="R285" s="156">
        <f t="shared" si="410"/>
        <v>1.7523744961443716E-3</v>
      </c>
      <c r="S285" s="156">
        <f t="shared" si="410"/>
        <v>8.6373650028917384E-4</v>
      </c>
      <c r="T285" s="156">
        <f t="shared" si="410"/>
        <v>4.7085411104283041E-4</v>
      </c>
      <c r="U285" s="156">
        <f t="shared" si="410"/>
        <v>9.9901462264376044E-4</v>
      </c>
      <c r="V285" s="156">
        <f t="shared" si="410"/>
        <v>3.319720081125448E-4</v>
      </c>
      <c r="W285" s="156">
        <f t="shared" si="410"/>
        <v>5.3698368689206806E-4</v>
      </c>
      <c r="X285" s="156">
        <f t="shared" si="410"/>
        <v>8.7832379844585899E-4</v>
      </c>
      <c r="Y285" s="156">
        <f t="shared" si="410"/>
        <v>1.122585341526158E-3</v>
      </c>
      <c r="Z285" s="156">
        <f t="shared" si="410"/>
        <v>8.6844554623568691E-4</v>
      </c>
      <c r="AA285" s="156">
        <f t="shared" si="410"/>
        <v>8.916478922422964E-4</v>
      </c>
      <c r="AB285" s="156">
        <f t="shared" si="410"/>
        <v>2.0738758125844387E-3</v>
      </c>
      <c r="AC285" s="156">
        <f t="shared" si="410"/>
        <v>1.2078149153471026E-3</v>
      </c>
      <c r="AD285" s="156">
        <f t="shared" si="410"/>
        <v>4.9511997423203817E-4</v>
      </c>
      <c r="AE285" s="156">
        <f t="shared" si="410"/>
        <v>6.4596620519265452E-4</v>
      </c>
      <c r="AF285" s="156">
        <f t="shared" si="410"/>
        <v>1.8439653554360016E-4</v>
      </c>
      <c r="AG285" s="156">
        <f t="shared" si="410"/>
        <v>1.9131446994692035E-4</v>
      </c>
      <c r="AH285" s="156">
        <f t="shared" si="410"/>
        <v>3.4703143828795034E-4</v>
      </c>
      <c r="AI285" s="156">
        <f t="shared" ref="AI285:BN285" si="411">AI126/AI$84</f>
        <v>1.4718899011816731E-4</v>
      </c>
      <c r="AJ285" s="156">
        <f t="shared" si="411"/>
        <v>1.9624941846573321E-4</v>
      </c>
      <c r="AK285" s="156">
        <f t="shared" si="411"/>
        <v>9.41569761123805E-4</v>
      </c>
      <c r="AL285" s="156">
        <f t="shared" si="411"/>
        <v>2.1640423765365599E-3</v>
      </c>
      <c r="AM285" s="156">
        <f t="shared" si="411"/>
        <v>3.0870712663059926E-4</v>
      </c>
      <c r="AN285" s="156">
        <f t="shared" si="411"/>
        <v>1.7932311170897241E-3</v>
      </c>
      <c r="AO285" s="156">
        <f t="shared" si="411"/>
        <v>1.6053924160266606E-2</v>
      </c>
      <c r="AP285" s="156">
        <f t="shared" si="411"/>
        <v>1.5546460363452344E-2</v>
      </c>
      <c r="AQ285" s="156">
        <f t="shared" si="411"/>
        <v>3.6511469376726335E-4</v>
      </c>
      <c r="AR285" s="156">
        <f t="shared" si="411"/>
        <v>1.2762369197977797E-4</v>
      </c>
      <c r="AS285" s="156">
        <f t="shared" si="411"/>
        <v>7.6078477780729852E-4</v>
      </c>
      <c r="AT285" s="156">
        <f t="shared" si="411"/>
        <v>2.0549411473888097E-3</v>
      </c>
      <c r="AU285" s="156">
        <f t="shared" si="411"/>
        <v>1.1533548263962553E-5</v>
      </c>
      <c r="AV285" s="156">
        <f t="shared" si="411"/>
        <v>9.1523469896617328E-5</v>
      </c>
      <c r="AW285" s="156">
        <f t="shared" si="411"/>
        <v>1.3493586236089871E-3</v>
      </c>
      <c r="AX285" s="156">
        <f t="shared" si="411"/>
        <v>4.1122561698200984E-4</v>
      </c>
      <c r="AY285" s="156">
        <f t="shared" si="411"/>
        <v>7.8585129781630271E-4</v>
      </c>
      <c r="AZ285" s="156">
        <f t="shared" si="411"/>
        <v>3.5102209547918677E-4</v>
      </c>
      <c r="BA285" s="156">
        <f t="shared" si="411"/>
        <v>5.5860846840901984E-4</v>
      </c>
      <c r="BB285" s="156">
        <f t="shared" si="411"/>
        <v>1.9465651845845537E-4</v>
      </c>
      <c r="BC285" s="156">
        <f t="shared" si="411"/>
        <v>5.2776755493349505E-4</v>
      </c>
      <c r="BD285" s="156">
        <f t="shared" si="411"/>
        <v>9.9299669113867657E-4</v>
      </c>
      <c r="BE285" s="156">
        <f t="shared" si="411"/>
        <v>2.7068231955007787E-4</v>
      </c>
      <c r="BF285" s="156">
        <f t="shared" si="411"/>
        <v>2.6640693926073579E-3</v>
      </c>
      <c r="BG285" s="156">
        <f t="shared" si="411"/>
        <v>3.0603358204819685E-4</v>
      </c>
      <c r="BH285" s="156">
        <f t="shared" si="411"/>
        <v>2.9294108863519658E-4</v>
      </c>
      <c r="BI285" s="156">
        <f t="shared" si="411"/>
        <v>0</v>
      </c>
      <c r="BJ285" s="156">
        <f t="shared" si="411"/>
        <v>1.4268919635098745E-3</v>
      </c>
      <c r="BK285" s="156">
        <f t="shared" si="411"/>
        <v>6.7908031390260062E-4</v>
      </c>
      <c r="BL285" s="156">
        <f t="shared" si="411"/>
        <v>0.10516711810370524</v>
      </c>
      <c r="BM285" s="156">
        <f t="shared" si="411"/>
        <v>8.5481561045470825E-4</v>
      </c>
      <c r="BN285" s="156">
        <f t="shared" si="411"/>
        <v>2.6486508841150185E-5</v>
      </c>
      <c r="BO285" s="156">
        <f t="shared" ref="BO285:BZ285" si="412">BO126/BO$84</f>
        <v>2.2062025326593851E-4</v>
      </c>
      <c r="BP285" s="156">
        <f t="shared" si="412"/>
        <v>1.6617731488261772E-4</v>
      </c>
      <c r="BQ285" s="156">
        <f t="shared" si="412"/>
        <v>1.0263192504961549E-4</v>
      </c>
      <c r="BR285" s="156">
        <f t="shared" si="412"/>
        <v>7.3227821544152554E-5</v>
      </c>
      <c r="BS285" s="156">
        <f t="shared" si="412"/>
        <v>0</v>
      </c>
      <c r="BT285" s="156">
        <f t="shared" si="412"/>
        <v>2.8984482924791981E-3</v>
      </c>
      <c r="BU285" s="156">
        <f t="shared" si="412"/>
        <v>2.9260909945101192E-4</v>
      </c>
      <c r="BV285" s="156">
        <f t="shared" si="412"/>
        <v>0</v>
      </c>
      <c r="BW285" s="156">
        <f t="shared" si="412"/>
        <v>7.323951109236155E-4</v>
      </c>
      <c r="BX285" s="156">
        <f t="shared" si="412"/>
        <v>9.5611415426036429E-5</v>
      </c>
      <c r="BY285" s="156">
        <f t="shared" si="412"/>
        <v>1.8303893679286237E-3</v>
      </c>
      <c r="BZ285" s="156">
        <f t="shared" si="412"/>
        <v>2.5179964668397984E-4</v>
      </c>
      <c r="CA285" s="129">
        <f t="shared" si="408"/>
        <v>0</v>
      </c>
      <c r="CB285" s="18"/>
      <c r="CC285" s="250"/>
      <c r="CD285" s="130">
        <f t="shared" ref="CD285:CG285" si="413">CD126/(CD$79+CD$80)</f>
        <v>1.4783856145978822E-3</v>
      </c>
      <c r="CE285" s="130">
        <f t="shared" si="413"/>
        <v>0</v>
      </c>
      <c r="CF285" s="130">
        <f t="shared" si="413"/>
        <v>5.6765229857146267E-9</v>
      </c>
      <c r="CG285" s="131">
        <f t="shared" si="413"/>
        <v>0</v>
      </c>
      <c r="CH285" s="18"/>
      <c r="CI285" s="18"/>
      <c r="CJ285" s="18"/>
    </row>
    <row r="286" spans="1:88" ht="13.95" customHeight="1" x14ac:dyDescent="0.25">
      <c r="A286" s="153" t="s">
        <v>39</v>
      </c>
      <c r="B286" s="253"/>
      <c r="C286" s="128">
        <f t="shared" ref="C286:AH286" si="414">C127/C$84</f>
        <v>1.6159763950998813E-4</v>
      </c>
      <c r="D286" s="156">
        <f t="shared" si="414"/>
        <v>3.0844093360465712E-5</v>
      </c>
      <c r="E286" s="156">
        <f t="shared" si="414"/>
        <v>1.4049377174688495E-3</v>
      </c>
      <c r="F286" s="156">
        <f t="shared" si="414"/>
        <v>2.1812541236838624E-4</v>
      </c>
      <c r="G286" s="156">
        <f t="shared" si="414"/>
        <v>1.2873744252901588E-3</v>
      </c>
      <c r="H286" s="156">
        <f t="shared" si="414"/>
        <v>3.3768847999650256E-4</v>
      </c>
      <c r="I286" s="156">
        <f t="shared" si="414"/>
        <v>1.9402977624933242E-3</v>
      </c>
      <c r="J286" s="156">
        <f t="shared" si="414"/>
        <v>6.0568758305366963E-4</v>
      </c>
      <c r="K286" s="156">
        <f t="shared" si="414"/>
        <v>2.7070751995749792E-4</v>
      </c>
      <c r="L286" s="156">
        <f t="shared" si="414"/>
        <v>4.4372337743379633E-4</v>
      </c>
      <c r="M286" s="156">
        <f t="shared" si="414"/>
        <v>1.3455668591322772E-4</v>
      </c>
      <c r="N286" s="156">
        <f t="shared" si="414"/>
        <v>1.1616101812122352E-4</v>
      </c>
      <c r="O286" s="156">
        <f t="shared" si="414"/>
        <v>3.0093606421239741E-4</v>
      </c>
      <c r="P286" s="156">
        <f t="shared" si="414"/>
        <v>3.6327674279014297E-4</v>
      </c>
      <c r="Q286" s="156">
        <f t="shared" si="414"/>
        <v>9.4747174444372907E-4</v>
      </c>
      <c r="R286" s="156">
        <f t="shared" si="414"/>
        <v>4.5443002426026071E-4</v>
      </c>
      <c r="S286" s="156">
        <f t="shared" si="414"/>
        <v>4.2887466096742341E-4</v>
      </c>
      <c r="T286" s="156">
        <f t="shared" si="414"/>
        <v>1.9039391888733264E-4</v>
      </c>
      <c r="U286" s="156">
        <f t="shared" si="414"/>
        <v>5.6080512663779232E-4</v>
      </c>
      <c r="V286" s="156">
        <f t="shared" si="414"/>
        <v>2.2781097873678297E-4</v>
      </c>
      <c r="W286" s="156">
        <f t="shared" si="414"/>
        <v>8.2324629519295707E-5</v>
      </c>
      <c r="X286" s="156">
        <f t="shared" si="414"/>
        <v>1.1450100408463589E-4</v>
      </c>
      <c r="Y286" s="156">
        <f t="shared" si="414"/>
        <v>3.949251880127033E-4</v>
      </c>
      <c r="Z286" s="156">
        <f t="shared" si="414"/>
        <v>2.3592476056141044E-4</v>
      </c>
      <c r="AA286" s="156">
        <f t="shared" si="414"/>
        <v>3.0121368699113996E-4</v>
      </c>
      <c r="AB286" s="156">
        <f t="shared" si="414"/>
        <v>1.4816113782347741E-4</v>
      </c>
      <c r="AC286" s="156">
        <f t="shared" si="414"/>
        <v>1.9551221213970701E-4</v>
      </c>
      <c r="AD286" s="156">
        <f t="shared" si="414"/>
        <v>1.5053238209310229E-4</v>
      </c>
      <c r="AE286" s="156">
        <f t="shared" si="414"/>
        <v>1.5526358694119562E-4</v>
      </c>
      <c r="AF286" s="156">
        <f t="shared" si="414"/>
        <v>2.9983385518442328E-4</v>
      </c>
      <c r="AG286" s="156">
        <f t="shared" si="414"/>
        <v>3.9903082023477942E-5</v>
      </c>
      <c r="AH286" s="156">
        <f t="shared" si="414"/>
        <v>1.0262469318458068E-4</v>
      </c>
      <c r="AI286" s="156">
        <f t="shared" ref="AI286:BN286" si="415">AI127/AI$84</f>
        <v>3.1345803451091186E-5</v>
      </c>
      <c r="AJ286" s="156">
        <f t="shared" si="415"/>
        <v>1.8012190508208842E-4</v>
      </c>
      <c r="AK286" s="156">
        <f t="shared" si="415"/>
        <v>5.686551647870159E-4</v>
      </c>
      <c r="AL286" s="156">
        <f t="shared" si="415"/>
        <v>2.721796236190635E-3</v>
      </c>
      <c r="AM286" s="156">
        <f t="shared" si="415"/>
        <v>2.6623820757120586E-3</v>
      </c>
      <c r="AN286" s="156">
        <f t="shared" si="415"/>
        <v>4.2964521029521712E-3</v>
      </c>
      <c r="AO286" s="156">
        <f t="shared" si="415"/>
        <v>2.0934868852355949E-2</v>
      </c>
      <c r="AP286" s="156">
        <f t="shared" si="415"/>
        <v>1.049520352268645E-2</v>
      </c>
      <c r="AQ286" s="156">
        <f t="shared" si="415"/>
        <v>7.3619856508930486E-5</v>
      </c>
      <c r="AR286" s="156">
        <f t="shared" si="415"/>
        <v>3.6655433950635693E-5</v>
      </c>
      <c r="AS286" s="156">
        <f t="shared" si="415"/>
        <v>7.5305008100161233E-4</v>
      </c>
      <c r="AT286" s="156">
        <f t="shared" si="415"/>
        <v>9.7854340351848079E-5</v>
      </c>
      <c r="AU286" s="156">
        <f t="shared" si="415"/>
        <v>7.9847641827433062E-6</v>
      </c>
      <c r="AV286" s="156">
        <f t="shared" si="415"/>
        <v>3.7788694922954026E-4</v>
      </c>
      <c r="AW286" s="156">
        <f t="shared" si="415"/>
        <v>1.0029927183459426E-4</v>
      </c>
      <c r="AX286" s="156">
        <f t="shared" si="415"/>
        <v>1.4492448419710496E-4</v>
      </c>
      <c r="AY286" s="156">
        <f t="shared" si="415"/>
        <v>5.6563207880221765E-5</v>
      </c>
      <c r="AZ286" s="156">
        <f t="shared" si="415"/>
        <v>2.7318529940310274E-5</v>
      </c>
      <c r="BA286" s="156">
        <f t="shared" si="415"/>
        <v>6.5759545849874827E-5</v>
      </c>
      <c r="BB286" s="156">
        <f t="shared" si="415"/>
        <v>7.3669710449914843E-5</v>
      </c>
      <c r="BC286" s="156">
        <f t="shared" si="415"/>
        <v>1.3399528402548692E-4</v>
      </c>
      <c r="BD286" s="156">
        <f t="shared" si="415"/>
        <v>2.1540703095232062E-3</v>
      </c>
      <c r="BE286" s="156">
        <f t="shared" si="415"/>
        <v>4.7592495745068634E-5</v>
      </c>
      <c r="BF286" s="156">
        <f t="shared" si="415"/>
        <v>8.4735973627906617E-5</v>
      </c>
      <c r="BG286" s="156">
        <f t="shared" si="415"/>
        <v>2.1415543378834964E-4</v>
      </c>
      <c r="BH286" s="156">
        <f t="shared" si="415"/>
        <v>5.9320977537410848E-4</v>
      </c>
      <c r="BI286" s="156">
        <f t="shared" si="415"/>
        <v>3.6526174822906162E-6</v>
      </c>
      <c r="BJ286" s="156">
        <f t="shared" si="415"/>
        <v>1.0676132649300408E-3</v>
      </c>
      <c r="BK286" s="156">
        <f t="shared" si="415"/>
        <v>3.8226941751347585E-4</v>
      </c>
      <c r="BL286" s="156">
        <f t="shared" si="415"/>
        <v>1.7625484376822487E-4</v>
      </c>
      <c r="BM286" s="156">
        <f t="shared" si="415"/>
        <v>1.3655400960873944E-4</v>
      </c>
      <c r="BN286" s="156">
        <f t="shared" si="415"/>
        <v>3.0645355404804468E-4</v>
      </c>
      <c r="BO286" s="156">
        <f t="shared" ref="BO286:BZ286" si="416">BO127/BO$84</f>
        <v>6.5248163271844199E-4</v>
      </c>
      <c r="BP286" s="156">
        <f t="shared" si="416"/>
        <v>4.6170562333588033E-5</v>
      </c>
      <c r="BQ286" s="156">
        <f t="shared" si="416"/>
        <v>1.3289696550611187E-5</v>
      </c>
      <c r="BR286" s="156">
        <f t="shared" si="416"/>
        <v>7.1297848601564851E-5</v>
      </c>
      <c r="BS286" s="156">
        <f t="shared" si="416"/>
        <v>9.775927414396522E-6</v>
      </c>
      <c r="BT286" s="156">
        <f t="shared" si="416"/>
        <v>1.4098921928137721E-4</v>
      </c>
      <c r="BU286" s="156">
        <f t="shared" si="416"/>
        <v>1.4235037270589771E-4</v>
      </c>
      <c r="BV286" s="156">
        <f t="shared" si="416"/>
        <v>9.0693076490540719E-6</v>
      </c>
      <c r="BW286" s="156">
        <f t="shared" si="416"/>
        <v>2.9058775989656442E-5</v>
      </c>
      <c r="BX286" s="156">
        <f t="shared" si="416"/>
        <v>1.2425362823685339E-4</v>
      </c>
      <c r="BY286" s="156">
        <f t="shared" si="416"/>
        <v>5.8853052102933988E-5</v>
      </c>
      <c r="BZ286" s="156">
        <f t="shared" si="416"/>
        <v>5.7365894110872394E-4</v>
      </c>
      <c r="CA286" s="129">
        <f t="shared" si="408"/>
        <v>0</v>
      </c>
      <c r="CB286" s="18"/>
      <c r="CC286" s="250"/>
      <c r="CD286" s="130">
        <f t="shared" ref="CD286:CG286" si="417">CD127/(CD$79+CD$80)</f>
        <v>3.0070795310967923E-4</v>
      </c>
      <c r="CE286" s="130">
        <f t="shared" si="417"/>
        <v>0</v>
      </c>
      <c r="CF286" s="130">
        <f t="shared" si="417"/>
        <v>1.8959586772286854E-6</v>
      </c>
      <c r="CG286" s="131">
        <f t="shared" si="417"/>
        <v>0</v>
      </c>
      <c r="CH286" s="18"/>
      <c r="CI286" s="18"/>
      <c r="CJ286" s="18"/>
    </row>
    <row r="287" spans="1:88" ht="13.95" customHeight="1" x14ac:dyDescent="0.25">
      <c r="A287" s="153" t="s">
        <v>40</v>
      </c>
      <c r="B287" s="253"/>
      <c r="C287" s="128">
        <f t="shared" ref="C287:AH287" si="418">C128/C$84</f>
        <v>0</v>
      </c>
      <c r="D287" s="156">
        <f t="shared" si="418"/>
        <v>0</v>
      </c>
      <c r="E287" s="156">
        <f t="shared" si="418"/>
        <v>0</v>
      </c>
      <c r="F287" s="156">
        <f t="shared" si="418"/>
        <v>0</v>
      </c>
      <c r="G287" s="156">
        <f t="shared" si="418"/>
        <v>0</v>
      </c>
      <c r="H287" s="156">
        <f t="shared" si="418"/>
        <v>0</v>
      </c>
      <c r="I287" s="156">
        <f t="shared" si="418"/>
        <v>0</v>
      </c>
      <c r="J287" s="156">
        <f t="shared" si="418"/>
        <v>0</v>
      </c>
      <c r="K287" s="156">
        <f t="shared" si="418"/>
        <v>0</v>
      </c>
      <c r="L287" s="156">
        <f t="shared" si="418"/>
        <v>0</v>
      </c>
      <c r="M287" s="156">
        <f t="shared" si="418"/>
        <v>0</v>
      </c>
      <c r="N287" s="156">
        <f t="shared" si="418"/>
        <v>0</v>
      </c>
      <c r="O287" s="156">
        <f t="shared" si="418"/>
        <v>0</v>
      </c>
      <c r="P287" s="156">
        <f t="shared" si="418"/>
        <v>0</v>
      </c>
      <c r="Q287" s="156">
        <f t="shared" si="418"/>
        <v>0</v>
      </c>
      <c r="R287" s="156">
        <f t="shared" si="418"/>
        <v>0</v>
      </c>
      <c r="S287" s="156">
        <f t="shared" si="418"/>
        <v>0</v>
      </c>
      <c r="T287" s="156">
        <f t="shared" si="418"/>
        <v>0</v>
      </c>
      <c r="U287" s="156">
        <f t="shared" si="418"/>
        <v>0</v>
      </c>
      <c r="V287" s="156">
        <f t="shared" si="418"/>
        <v>0</v>
      </c>
      <c r="W287" s="156">
        <f t="shared" si="418"/>
        <v>0</v>
      </c>
      <c r="X287" s="156">
        <f t="shared" si="418"/>
        <v>0</v>
      </c>
      <c r="Y287" s="156">
        <f t="shared" si="418"/>
        <v>0</v>
      </c>
      <c r="Z287" s="156">
        <f t="shared" si="418"/>
        <v>0</v>
      </c>
      <c r="AA287" s="156">
        <f t="shared" si="418"/>
        <v>0</v>
      </c>
      <c r="AB287" s="156">
        <f t="shared" si="418"/>
        <v>0</v>
      </c>
      <c r="AC287" s="156">
        <f t="shared" si="418"/>
        <v>0</v>
      </c>
      <c r="AD287" s="156">
        <f t="shared" si="418"/>
        <v>0</v>
      </c>
      <c r="AE287" s="156">
        <f t="shared" si="418"/>
        <v>0</v>
      </c>
      <c r="AF287" s="156">
        <f t="shared" si="418"/>
        <v>0</v>
      </c>
      <c r="AG287" s="156">
        <f t="shared" si="418"/>
        <v>0</v>
      </c>
      <c r="AH287" s="156">
        <f t="shared" si="418"/>
        <v>0</v>
      </c>
      <c r="AI287" s="156">
        <f t="shared" ref="AI287:BN287" si="419">AI128/AI$84</f>
        <v>0</v>
      </c>
      <c r="AJ287" s="156">
        <f t="shared" si="419"/>
        <v>0</v>
      </c>
      <c r="AK287" s="156">
        <f t="shared" si="419"/>
        <v>0</v>
      </c>
      <c r="AL287" s="156">
        <f t="shared" si="419"/>
        <v>0</v>
      </c>
      <c r="AM287" s="156">
        <f t="shared" si="419"/>
        <v>0</v>
      </c>
      <c r="AN287" s="156">
        <f t="shared" si="419"/>
        <v>0</v>
      </c>
      <c r="AO287" s="156">
        <f t="shared" si="419"/>
        <v>0</v>
      </c>
      <c r="AP287" s="156">
        <f t="shared" si="419"/>
        <v>0</v>
      </c>
      <c r="AQ287" s="156">
        <f t="shared" si="419"/>
        <v>0</v>
      </c>
      <c r="AR287" s="156">
        <f t="shared" si="419"/>
        <v>0</v>
      </c>
      <c r="AS287" s="156">
        <f t="shared" si="419"/>
        <v>0</v>
      </c>
      <c r="AT287" s="156">
        <f t="shared" si="419"/>
        <v>0</v>
      </c>
      <c r="AU287" s="156">
        <f t="shared" si="419"/>
        <v>0</v>
      </c>
      <c r="AV287" s="156">
        <f t="shared" si="419"/>
        <v>0</v>
      </c>
      <c r="AW287" s="156">
        <f t="shared" si="419"/>
        <v>0</v>
      </c>
      <c r="AX287" s="156">
        <f t="shared" si="419"/>
        <v>0</v>
      </c>
      <c r="AY287" s="156">
        <f t="shared" si="419"/>
        <v>0</v>
      </c>
      <c r="AZ287" s="156">
        <f t="shared" si="419"/>
        <v>0</v>
      </c>
      <c r="BA287" s="156">
        <f t="shared" si="419"/>
        <v>0</v>
      </c>
      <c r="BB287" s="156">
        <f t="shared" si="419"/>
        <v>0</v>
      </c>
      <c r="BC287" s="156">
        <f t="shared" si="419"/>
        <v>0</v>
      </c>
      <c r="BD287" s="156">
        <f t="shared" si="419"/>
        <v>0</v>
      </c>
      <c r="BE287" s="156">
        <f t="shared" si="419"/>
        <v>0</v>
      </c>
      <c r="BF287" s="156">
        <f t="shared" si="419"/>
        <v>0</v>
      </c>
      <c r="BG287" s="156">
        <f t="shared" si="419"/>
        <v>0</v>
      </c>
      <c r="BH287" s="156">
        <f t="shared" si="419"/>
        <v>0</v>
      </c>
      <c r="BI287" s="156">
        <f t="shared" si="419"/>
        <v>0</v>
      </c>
      <c r="BJ287" s="156">
        <f t="shared" si="419"/>
        <v>0</v>
      </c>
      <c r="BK287" s="156">
        <f t="shared" si="419"/>
        <v>0</v>
      </c>
      <c r="BL287" s="156">
        <f t="shared" si="419"/>
        <v>0</v>
      </c>
      <c r="BM287" s="156">
        <f t="shared" si="419"/>
        <v>0</v>
      </c>
      <c r="BN287" s="156">
        <f t="shared" si="419"/>
        <v>0</v>
      </c>
      <c r="BO287" s="156">
        <f t="shared" ref="BO287:BZ287" si="420">BO128/BO$84</f>
        <v>0</v>
      </c>
      <c r="BP287" s="156">
        <f t="shared" si="420"/>
        <v>0</v>
      </c>
      <c r="BQ287" s="156">
        <f t="shared" si="420"/>
        <v>0</v>
      </c>
      <c r="BR287" s="156">
        <f t="shared" si="420"/>
        <v>0</v>
      </c>
      <c r="BS287" s="156">
        <f t="shared" si="420"/>
        <v>0</v>
      </c>
      <c r="BT287" s="156">
        <f t="shared" si="420"/>
        <v>0</v>
      </c>
      <c r="BU287" s="156">
        <f t="shared" si="420"/>
        <v>0</v>
      </c>
      <c r="BV287" s="156">
        <f t="shared" si="420"/>
        <v>0</v>
      </c>
      <c r="BW287" s="156">
        <f t="shared" si="420"/>
        <v>0</v>
      </c>
      <c r="BX287" s="156">
        <f t="shared" si="420"/>
        <v>0</v>
      </c>
      <c r="BY287" s="156">
        <f t="shared" si="420"/>
        <v>0</v>
      </c>
      <c r="BZ287" s="156">
        <f t="shared" si="420"/>
        <v>0</v>
      </c>
      <c r="CA287" s="129">
        <f t="shared" si="408"/>
        <v>0</v>
      </c>
      <c r="CB287" s="18"/>
      <c r="CC287" s="250"/>
      <c r="CD287" s="130">
        <f t="shared" ref="CD287:CG287" si="421">CD128/(CD$79+CD$80)</f>
        <v>1.3411039838226496E-3</v>
      </c>
      <c r="CE287" s="130">
        <f t="shared" si="421"/>
        <v>0</v>
      </c>
      <c r="CF287" s="130">
        <f t="shared" si="421"/>
        <v>0</v>
      </c>
      <c r="CG287" s="131">
        <f t="shared" si="421"/>
        <v>0</v>
      </c>
      <c r="CH287" s="18"/>
      <c r="CI287" s="18"/>
      <c r="CJ287" s="18"/>
    </row>
    <row r="288" spans="1:88" ht="13.95" customHeight="1" x14ac:dyDescent="0.25">
      <c r="A288" s="153" t="s">
        <v>41</v>
      </c>
      <c r="B288" s="253"/>
      <c r="C288" s="128">
        <f t="shared" ref="C288:AH288" si="422">C129/C$84</f>
        <v>0</v>
      </c>
      <c r="D288" s="156">
        <f t="shared" si="422"/>
        <v>5.5189205922726253E-4</v>
      </c>
      <c r="E288" s="156">
        <f t="shared" si="422"/>
        <v>0</v>
      </c>
      <c r="F288" s="156">
        <f t="shared" si="422"/>
        <v>4.343948770068595E-4</v>
      </c>
      <c r="G288" s="156">
        <f t="shared" si="422"/>
        <v>5.823627062480969E-4</v>
      </c>
      <c r="H288" s="156">
        <f t="shared" si="422"/>
        <v>3.4544894588911583E-4</v>
      </c>
      <c r="I288" s="156">
        <f t="shared" si="422"/>
        <v>7.5236961717223185E-4</v>
      </c>
      <c r="J288" s="156">
        <f t="shared" si="422"/>
        <v>4.8288037234662319E-4</v>
      </c>
      <c r="K288" s="156">
        <f t="shared" si="422"/>
        <v>8.3071046698568018E-4</v>
      </c>
      <c r="L288" s="156">
        <f t="shared" si="422"/>
        <v>5.7420838537553768E-4</v>
      </c>
      <c r="M288" s="156">
        <f t="shared" si="422"/>
        <v>0</v>
      </c>
      <c r="N288" s="156">
        <f t="shared" si="422"/>
        <v>2.1852824251782226E-4</v>
      </c>
      <c r="O288" s="156">
        <f t="shared" si="422"/>
        <v>3.8820650923997375E-4</v>
      </c>
      <c r="P288" s="156">
        <f t="shared" si="422"/>
        <v>5.3435778021421318E-4</v>
      </c>
      <c r="Q288" s="156">
        <f t="shared" si="422"/>
        <v>1.5590813357943599E-4</v>
      </c>
      <c r="R288" s="156">
        <f t="shared" si="422"/>
        <v>2.0393359697224714E-4</v>
      </c>
      <c r="S288" s="156">
        <f t="shared" si="422"/>
        <v>3.044514602246279E-4</v>
      </c>
      <c r="T288" s="156">
        <f t="shared" si="422"/>
        <v>2.0530538149359938E-4</v>
      </c>
      <c r="U288" s="156">
        <f t="shared" si="422"/>
        <v>3.5842250251984936E-4</v>
      </c>
      <c r="V288" s="156">
        <f t="shared" si="422"/>
        <v>5.2185207233256281E-5</v>
      </c>
      <c r="W288" s="156">
        <f t="shared" si="422"/>
        <v>2.5716252922692093E-4</v>
      </c>
      <c r="X288" s="156">
        <f t="shared" si="422"/>
        <v>1.1291071236123817E-4</v>
      </c>
      <c r="Y288" s="156">
        <f t="shared" si="422"/>
        <v>7.5320996992878162E-4</v>
      </c>
      <c r="Z288" s="156">
        <f t="shared" si="422"/>
        <v>5.7254526452540303E-4</v>
      </c>
      <c r="AA288" s="156">
        <f t="shared" si="422"/>
        <v>1.0938970867692413E-4</v>
      </c>
      <c r="AB288" s="156">
        <f t="shared" si="422"/>
        <v>2.9180310753204261E-4</v>
      </c>
      <c r="AC288" s="156">
        <f t="shared" si="422"/>
        <v>1.2173145832206191E-4</v>
      </c>
      <c r="AD288" s="156">
        <f t="shared" si="422"/>
        <v>0</v>
      </c>
      <c r="AE288" s="156">
        <f t="shared" si="422"/>
        <v>4.8682647260271661E-4</v>
      </c>
      <c r="AF288" s="156">
        <f t="shared" si="422"/>
        <v>1.0932061325530875E-4</v>
      </c>
      <c r="AG288" s="156">
        <f t="shared" si="422"/>
        <v>0</v>
      </c>
      <c r="AH288" s="156">
        <f t="shared" si="422"/>
        <v>8.7118588243904861E-4</v>
      </c>
      <c r="AI288" s="156">
        <f t="shared" ref="AI288:BN288" si="423">AI129/AI$84</f>
        <v>0</v>
      </c>
      <c r="AJ288" s="156">
        <f t="shared" si="423"/>
        <v>2.7958020779833803E-4</v>
      </c>
      <c r="AK288" s="156">
        <f t="shared" si="423"/>
        <v>5.813826905382638E-4</v>
      </c>
      <c r="AL288" s="156">
        <f t="shared" si="423"/>
        <v>1.6115675767471955E-3</v>
      </c>
      <c r="AM288" s="156">
        <f t="shared" si="423"/>
        <v>5.7757938972800924E-4</v>
      </c>
      <c r="AN288" s="156">
        <f t="shared" si="423"/>
        <v>1.248145370548361E-4</v>
      </c>
      <c r="AO288" s="156">
        <f t="shared" si="423"/>
        <v>0</v>
      </c>
      <c r="AP288" s="156">
        <f t="shared" si="423"/>
        <v>1.8117629478264032E-4</v>
      </c>
      <c r="AQ288" s="156">
        <f t="shared" si="423"/>
        <v>4.2221982570797432E-4</v>
      </c>
      <c r="AR288" s="156">
        <f t="shared" si="423"/>
        <v>5.5901989190014966E-4</v>
      </c>
      <c r="AS288" s="156">
        <f t="shared" si="423"/>
        <v>8.9165584775950971E-4</v>
      </c>
      <c r="AT288" s="156">
        <f t="shared" si="423"/>
        <v>5.005174236427528E-3</v>
      </c>
      <c r="AU288" s="156">
        <f t="shared" si="423"/>
        <v>0</v>
      </c>
      <c r="AV288" s="156">
        <f t="shared" si="423"/>
        <v>3.5191907234881738E-4</v>
      </c>
      <c r="AW288" s="156">
        <f t="shared" si="423"/>
        <v>6.908135184418207E-4</v>
      </c>
      <c r="AX288" s="156">
        <f t="shared" si="423"/>
        <v>2.0651260383542551E-3</v>
      </c>
      <c r="AY288" s="156">
        <f t="shared" si="423"/>
        <v>1.139970889576276E-4</v>
      </c>
      <c r="AZ288" s="156">
        <f t="shared" si="423"/>
        <v>2.1717390732394659E-3</v>
      </c>
      <c r="BA288" s="156">
        <f t="shared" si="423"/>
        <v>7.0279272943786166E-5</v>
      </c>
      <c r="BB288" s="156">
        <f t="shared" si="423"/>
        <v>8.60310864702285E-6</v>
      </c>
      <c r="BC288" s="156">
        <f t="shared" si="423"/>
        <v>1.3074582344643484E-3</v>
      </c>
      <c r="BD288" s="156">
        <f t="shared" si="423"/>
        <v>2.0960079986528991E-3</v>
      </c>
      <c r="BE288" s="156">
        <f t="shared" si="423"/>
        <v>7.4279146452625429E-4</v>
      </c>
      <c r="BF288" s="156">
        <f t="shared" si="423"/>
        <v>1.6157683141697059E-3</v>
      </c>
      <c r="BG288" s="156">
        <f t="shared" si="423"/>
        <v>1.1994789047537592E-3</v>
      </c>
      <c r="BH288" s="156">
        <f t="shared" si="423"/>
        <v>0</v>
      </c>
      <c r="BI288" s="156">
        <f t="shared" si="423"/>
        <v>0</v>
      </c>
      <c r="BJ288" s="156">
        <f t="shared" si="423"/>
        <v>8.6171065622503136E-4</v>
      </c>
      <c r="BK288" s="156">
        <f t="shared" si="423"/>
        <v>1.1206808065915813E-3</v>
      </c>
      <c r="BL288" s="156">
        <f t="shared" si="423"/>
        <v>1.2055312917147263E-3</v>
      </c>
      <c r="BM288" s="156">
        <f t="shared" si="423"/>
        <v>0</v>
      </c>
      <c r="BN288" s="156">
        <f t="shared" si="423"/>
        <v>2.8957808540334695E-3</v>
      </c>
      <c r="BO288" s="156">
        <f t="shared" ref="BO288:BZ288" si="424">BO129/BO$84</f>
        <v>1.1842992148089883E-3</v>
      </c>
      <c r="BP288" s="156">
        <f t="shared" si="424"/>
        <v>9.757139671757837E-4</v>
      </c>
      <c r="BQ288" s="156">
        <f t="shared" si="424"/>
        <v>5.0149375014094935E-4</v>
      </c>
      <c r="BR288" s="156">
        <f t="shared" si="424"/>
        <v>6.85089871766737E-5</v>
      </c>
      <c r="BS288" s="156">
        <f t="shared" si="424"/>
        <v>0</v>
      </c>
      <c r="BT288" s="156">
        <f t="shared" si="424"/>
        <v>4.9584880374869775E-3</v>
      </c>
      <c r="BU288" s="156">
        <f t="shared" si="424"/>
        <v>1.3083383213628862E-3</v>
      </c>
      <c r="BV288" s="156">
        <f t="shared" si="424"/>
        <v>0</v>
      </c>
      <c r="BW288" s="156">
        <f t="shared" si="424"/>
        <v>3.1409687945211785E-3</v>
      </c>
      <c r="BX288" s="156">
        <f t="shared" si="424"/>
        <v>1.5227766379276062E-4</v>
      </c>
      <c r="BY288" s="156">
        <f t="shared" si="424"/>
        <v>0</v>
      </c>
      <c r="BZ288" s="156">
        <f t="shared" si="424"/>
        <v>7.8243556952435611E-4</v>
      </c>
      <c r="CA288" s="129">
        <f t="shared" si="408"/>
        <v>0</v>
      </c>
      <c r="CB288" s="18"/>
      <c r="CC288" s="250"/>
      <c r="CD288" s="130">
        <f t="shared" ref="CD288:CG288" si="425">CD129/(CD$79+CD$80)</f>
        <v>0</v>
      </c>
      <c r="CE288" s="130">
        <f t="shared" si="425"/>
        <v>0</v>
      </c>
      <c r="CF288" s="130">
        <f t="shared" si="425"/>
        <v>2.2961535477215665E-6</v>
      </c>
      <c r="CG288" s="131">
        <f t="shared" si="425"/>
        <v>0</v>
      </c>
      <c r="CH288" s="18"/>
      <c r="CI288" s="18"/>
      <c r="CJ288" s="18"/>
    </row>
    <row r="289" spans="1:88" ht="13.95" customHeight="1" x14ac:dyDescent="0.25">
      <c r="A289" s="153" t="s">
        <v>42</v>
      </c>
      <c r="B289" s="253"/>
      <c r="C289" s="128">
        <f t="shared" ref="C289:AH289" si="426">C130/C$84</f>
        <v>5.4734214019894324E-5</v>
      </c>
      <c r="D289" s="156">
        <f t="shared" si="426"/>
        <v>8.0255462076231484E-4</v>
      </c>
      <c r="E289" s="156">
        <f t="shared" si="426"/>
        <v>1.1677404404935893E-4</v>
      </c>
      <c r="F289" s="156">
        <f t="shared" si="426"/>
        <v>3.7773691714090428E-4</v>
      </c>
      <c r="G289" s="156">
        <f t="shared" si="426"/>
        <v>3.9435958117021378E-4</v>
      </c>
      <c r="H289" s="156">
        <f t="shared" si="426"/>
        <v>2.657933803061039E-5</v>
      </c>
      <c r="I289" s="156">
        <f t="shared" si="426"/>
        <v>9.0297059174521531E-5</v>
      </c>
      <c r="J289" s="156">
        <f t="shared" si="426"/>
        <v>4.5093839833020911E-4</v>
      </c>
      <c r="K289" s="156">
        <f t="shared" si="426"/>
        <v>3.505510300573217E-4</v>
      </c>
      <c r="L289" s="156">
        <f t="shared" si="426"/>
        <v>2.9851698398067897E-4</v>
      </c>
      <c r="M289" s="156">
        <f t="shared" si="426"/>
        <v>2.4536807431235644E-4</v>
      </c>
      <c r="N289" s="156">
        <f t="shared" si="426"/>
        <v>9.5090801900496864E-5</v>
      </c>
      <c r="O289" s="156">
        <f t="shared" si="426"/>
        <v>2.1179047024984991E-4</v>
      </c>
      <c r="P289" s="156">
        <f t="shared" si="426"/>
        <v>1.2939635551878104E-3</v>
      </c>
      <c r="Q289" s="156">
        <f t="shared" si="426"/>
        <v>9.3044810838410004E-5</v>
      </c>
      <c r="R289" s="156">
        <f t="shared" si="426"/>
        <v>1.3769570293634042E-4</v>
      </c>
      <c r="S289" s="156">
        <f t="shared" si="426"/>
        <v>3.0947518459090227E-4</v>
      </c>
      <c r="T289" s="156">
        <f t="shared" si="426"/>
        <v>1.7670342970004592E-4</v>
      </c>
      <c r="U289" s="156">
        <f t="shared" si="426"/>
        <v>3.589416371121014E-4</v>
      </c>
      <c r="V289" s="156">
        <f t="shared" si="426"/>
        <v>9.5737306109405966E-5</v>
      </c>
      <c r="W289" s="156">
        <f t="shared" si="426"/>
        <v>1.6478345592683602E-4</v>
      </c>
      <c r="X289" s="156">
        <f t="shared" si="426"/>
        <v>0</v>
      </c>
      <c r="Y289" s="156">
        <f t="shared" si="426"/>
        <v>2.6764253260490848E-4</v>
      </c>
      <c r="Z289" s="156">
        <f t="shared" si="426"/>
        <v>2.8887157151248605E-4</v>
      </c>
      <c r="AA289" s="156">
        <f t="shared" si="426"/>
        <v>1.0798855961793334E-4</v>
      </c>
      <c r="AB289" s="156">
        <f t="shared" si="426"/>
        <v>3.2668939597052386E-4</v>
      </c>
      <c r="AC289" s="156">
        <f t="shared" si="426"/>
        <v>2.6804896183105827E-4</v>
      </c>
      <c r="AD289" s="156">
        <f t="shared" si="426"/>
        <v>2.1700221951124552E-4</v>
      </c>
      <c r="AE289" s="156">
        <f t="shared" si="426"/>
        <v>5.7706662748130211E-6</v>
      </c>
      <c r="AF289" s="156">
        <f t="shared" si="426"/>
        <v>1.1104038287674322E-4</v>
      </c>
      <c r="AG289" s="156">
        <f t="shared" si="426"/>
        <v>5.6194800481529827E-4</v>
      </c>
      <c r="AH289" s="156">
        <f t="shared" si="426"/>
        <v>5.6352092095598321E-4</v>
      </c>
      <c r="AI289" s="156">
        <f t="shared" ref="AI289:BN289" si="427">AI130/AI$84</f>
        <v>2.089720230072746E-5</v>
      </c>
      <c r="AJ289" s="156">
        <f t="shared" si="427"/>
        <v>6.0454309361687689E-5</v>
      </c>
      <c r="AK289" s="156">
        <f t="shared" si="427"/>
        <v>6.4782533621419381E-5</v>
      </c>
      <c r="AL289" s="156">
        <f t="shared" si="427"/>
        <v>4.7189184042283782E-4</v>
      </c>
      <c r="AM289" s="156">
        <f t="shared" si="427"/>
        <v>4.1277845141889623E-4</v>
      </c>
      <c r="AN289" s="156">
        <f t="shared" si="427"/>
        <v>1.6531853429186801E-4</v>
      </c>
      <c r="AO289" s="156">
        <f t="shared" si="427"/>
        <v>5.6194021504810923E-4</v>
      </c>
      <c r="AP289" s="156">
        <f t="shared" si="427"/>
        <v>2.5021849436382842E-5</v>
      </c>
      <c r="AQ289" s="156">
        <f t="shared" si="427"/>
        <v>4.5299425221260832E-5</v>
      </c>
      <c r="AR289" s="156">
        <f t="shared" si="427"/>
        <v>3.1466123185278078E-4</v>
      </c>
      <c r="AS289" s="156">
        <f t="shared" si="427"/>
        <v>7.5992622646186741E-3</v>
      </c>
      <c r="AT289" s="156">
        <f t="shared" si="427"/>
        <v>1.8185852791543459E-4</v>
      </c>
      <c r="AU289" s="156">
        <f t="shared" si="427"/>
        <v>2.1292704487315481E-5</v>
      </c>
      <c r="AV289" s="156">
        <f t="shared" si="427"/>
        <v>1.0663016087273155E-3</v>
      </c>
      <c r="AW289" s="156">
        <f t="shared" si="427"/>
        <v>1.750304506031567E-3</v>
      </c>
      <c r="AX289" s="156">
        <f t="shared" si="427"/>
        <v>1.2911105963345783E-3</v>
      </c>
      <c r="AY289" s="156">
        <f t="shared" si="427"/>
        <v>6.5430327019964875E-4</v>
      </c>
      <c r="AZ289" s="156">
        <f t="shared" si="427"/>
        <v>2.719160384735683E-3</v>
      </c>
      <c r="BA289" s="156">
        <f t="shared" si="427"/>
        <v>9.6101318175923574E-4</v>
      </c>
      <c r="BB289" s="156">
        <f t="shared" si="427"/>
        <v>8.8217017493469088E-5</v>
      </c>
      <c r="BC289" s="156">
        <f t="shared" si="427"/>
        <v>1.8081869200038862E-4</v>
      </c>
      <c r="BD289" s="156">
        <f t="shared" si="427"/>
        <v>3.737459213988198E-4</v>
      </c>
      <c r="BE289" s="156">
        <f t="shared" si="427"/>
        <v>1.0466743571813199E-3</v>
      </c>
      <c r="BF289" s="156">
        <f t="shared" si="427"/>
        <v>1.2931607378943717E-3</v>
      </c>
      <c r="BG289" s="156">
        <f t="shared" si="427"/>
        <v>1.6792279206268954E-3</v>
      </c>
      <c r="BH289" s="156">
        <f t="shared" si="427"/>
        <v>5.0552285139964859E-4</v>
      </c>
      <c r="BI289" s="156">
        <f t="shared" si="427"/>
        <v>0</v>
      </c>
      <c r="BJ289" s="156">
        <f t="shared" si="427"/>
        <v>9.2674669170363479E-4</v>
      </c>
      <c r="BK289" s="156">
        <f t="shared" si="427"/>
        <v>2.132963816597771E-4</v>
      </c>
      <c r="BL289" s="156">
        <f t="shared" si="427"/>
        <v>4.7545608100810861E-4</v>
      </c>
      <c r="BM289" s="156">
        <f t="shared" si="427"/>
        <v>5.2977127203390539E-5</v>
      </c>
      <c r="BN289" s="156">
        <f t="shared" si="427"/>
        <v>5.6458084635083285E-5</v>
      </c>
      <c r="BO289" s="156">
        <f t="shared" ref="BO289:BZ289" si="428">BO130/BO$84</f>
        <v>7.1397287598602019E-5</v>
      </c>
      <c r="BP289" s="156">
        <f t="shared" si="428"/>
        <v>2.7281012246946064E-4</v>
      </c>
      <c r="BQ289" s="156">
        <f t="shared" si="428"/>
        <v>1.1323590639699223E-3</v>
      </c>
      <c r="BR289" s="156">
        <f t="shared" si="428"/>
        <v>6.7618774526192148E-4</v>
      </c>
      <c r="BS289" s="156">
        <f t="shared" si="428"/>
        <v>0</v>
      </c>
      <c r="BT289" s="156">
        <f t="shared" si="428"/>
        <v>7.6093790875170382E-4</v>
      </c>
      <c r="BU289" s="156">
        <f t="shared" si="428"/>
        <v>3.1297311110199452E-3</v>
      </c>
      <c r="BV289" s="156">
        <f t="shared" si="428"/>
        <v>0</v>
      </c>
      <c r="BW289" s="156">
        <f t="shared" si="428"/>
        <v>3.676220052652223E-4</v>
      </c>
      <c r="BX289" s="156">
        <f t="shared" si="428"/>
        <v>3.5483374431817829E-3</v>
      </c>
      <c r="BY289" s="156">
        <f t="shared" si="428"/>
        <v>0</v>
      </c>
      <c r="BZ289" s="156">
        <f t="shared" si="428"/>
        <v>5.5554103380666884E-4</v>
      </c>
      <c r="CA289" s="129">
        <f t="shared" si="408"/>
        <v>0</v>
      </c>
      <c r="CB289" s="18"/>
      <c r="CC289" s="250"/>
      <c r="CD289" s="130">
        <f t="shared" ref="CD289:CG289" si="429">CD130/(CD$79+CD$80)</f>
        <v>1.9445578495392146E-3</v>
      </c>
      <c r="CE289" s="130">
        <f t="shared" si="429"/>
        <v>0</v>
      </c>
      <c r="CF289" s="130">
        <f t="shared" si="429"/>
        <v>1.7802143735499643E-4</v>
      </c>
      <c r="CG289" s="131">
        <f t="shared" si="429"/>
        <v>1.6582231606698781E-3</v>
      </c>
      <c r="CH289" s="18"/>
      <c r="CI289" s="18"/>
      <c r="CJ289" s="18"/>
    </row>
    <row r="290" spans="1:88" ht="13.95" customHeight="1" x14ac:dyDescent="0.25">
      <c r="A290" s="153" t="s">
        <v>43</v>
      </c>
      <c r="B290" s="253"/>
      <c r="C290" s="128">
        <f t="shared" ref="C290:AH290" si="430">C131/C$84</f>
        <v>0</v>
      </c>
      <c r="D290" s="156">
        <f t="shared" si="430"/>
        <v>4.1704689614150822E-6</v>
      </c>
      <c r="E290" s="156">
        <f t="shared" si="430"/>
        <v>0</v>
      </c>
      <c r="F290" s="156">
        <f t="shared" si="430"/>
        <v>0</v>
      </c>
      <c r="G290" s="156">
        <f t="shared" si="430"/>
        <v>0</v>
      </c>
      <c r="H290" s="156">
        <f t="shared" si="430"/>
        <v>2.1413938953083469E-4</v>
      </c>
      <c r="I290" s="156">
        <f t="shared" si="430"/>
        <v>5.5276320344925696E-4</v>
      </c>
      <c r="J290" s="156">
        <f t="shared" si="430"/>
        <v>0</v>
      </c>
      <c r="K290" s="156">
        <f t="shared" si="430"/>
        <v>0</v>
      </c>
      <c r="L290" s="156">
        <f t="shared" si="430"/>
        <v>0</v>
      </c>
      <c r="M290" s="156">
        <f t="shared" si="430"/>
        <v>0</v>
      </c>
      <c r="N290" s="156">
        <f t="shared" si="430"/>
        <v>6.1509326855537467E-6</v>
      </c>
      <c r="O290" s="156">
        <f t="shared" si="430"/>
        <v>1.0338658992813923E-5</v>
      </c>
      <c r="P290" s="156">
        <f t="shared" si="430"/>
        <v>1.0922923627947614E-3</v>
      </c>
      <c r="Q290" s="156">
        <f t="shared" si="430"/>
        <v>0</v>
      </c>
      <c r="R290" s="156">
        <f t="shared" si="430"/>
        <v>2.5237024288040792E-5</v>
      </c>
      <c r="S290" s="156">
        <f t="shared" si="430"/>
        <v>7.6408783066773142E-4</v>
      </c>
      <c r="T290" s="156">
        <f t="shared" si="430"/>
        <v>1.0391263140255568E-5</v>
      </c>
      <c r="U290" s="156">
        <f t="shared" si="430"/>
        <v>0</v>
      </c>
      <c r="V290" s="156">
        <f t="shared" si="430"/>
        <v>0</v>
      </c>
      <c r="W290" s="156">
        <f t="shared" si="430"/>
        <v>2.7561976277933484E-6</v>
      </c>
      <c r="X290" s="156">
        <f t="shared" si="430"/>
        <v>1.3063110585052706E-6</v>
      </c>
      <c r="Y290" s="156">
        <f t="shared" si="430"/>
        <v>0</v>
      </c>
      <c r="Z290" s="156">
        <f t="shared" si="430"/>
        <v>8.8384978535181861E-7</v>
      </c>
      <c r="AA290" s="156">
        <f t="shared" si="430"/>
        <v>4.0032830256879831E-7</v>
      </c>
      <c r="AB290" s="156">
        <f t="shared" si="430"/>
        <v>0</v>
      </c>
      <c r="AC290" s="156">
        <f t="shared" si="430"/>
        <v>1.3050734197664384E-5</v>
      </c>
      <c r="AD290" s="156">
        <f t="shared" si="430"/>
        <v>0</v>
      </c>
      <c r="AE290" s="156">
        <f t="shared" si="430"/>
        <v>0</v>
      </c>
      <c r="AF290" s="156">
        <f t="shared" si="430"/>
        <v>0</v>
      </c>
      <c r="AG290" s="156">
        <f t="shared" si="430"/>
        <v>0</v>
      </c>
      <c r="AH290" s="156">
        <f t="shared" si="430"/>
        <v>2.7708144364660092E-6</v>
      </c>
      <c r="AI290" s="156">
        <f t="shared" ref="AI290:BN290" si="431">AI131/AI$84</f>
        <v>0</v>
      </c>
      <c r="AJ290" s="156">
        <f t="shared" si="431"/>
        <v>0</v>
      </c>
      <c r="AK290" s="156">
        <f t="shared" si="431"/>
        <v>1.0021733919873184E-4</v>
      </c>
      <c r="AL290" s="156">
        <f t="shared" si="431"/>
        <v>1.6781341168633842E-4</v>
      </c>
      <c r="AM290" s="156">
        <f t="shared" si="431"/>
        <v>6.5469345577789224E-4</v>
      </c>
      <c r="AN290" s="156">
        <f t="shared" si="431"/>
        <v>6.5668372665107615E-7</v>
      </c>
      <c r="AO290" s="156">
        <f t="shared" si="431"/>
        <v>0</v>
      </c>
      <c r="AP290" s="156">
        <f t="shared" si="431"/>
        <v>1.9172585931773866E-5</v>
      </c>
      <c r="AQ290" s="156">
        <f t="shared" si="431"/>
        <v>6.5727277297612718E-5</v>
      </c>
      <c r="AR290" s="156">
        <f t="shared" si="431"/>
        <v>8.0046835246348064E-5</v>
      </c>
      <c r="AS290" s="156">
        <f t="shared" si="431"/>
        <v>3.4473543662943572E-4</v>
      </c>
      <c r="AT290" s="156">
        <f t="shared" si="431"/>
        <v>2.0496570130098098E-2</v>
      </c>
      <c r="AU290" s="156">
        <f t="shared" si="431"/>
        <v>3.5253177464821844E-2</v>
      </c>
      <c r="AV290" s="156">
        <f t="shared" si="431"/>
        <v>2.5528527227353596E-5</v>
      </c>
      <c r="AW290" s="156">
        <f t="shared" si="431"/>
        <v>7.8261749676037003E-5</v>
      </c>
      <c r="AX290" s="156">
        <f t="shared" si="431"/>
        <v>3.0774915237364095E-4</v>
      </c>
      <c r="AY290" s="156">
        <f t="shared" si="431"/>
        <v>0</v>
      </c>
      <c r="AZ290" s="156">
        <f t="shared" si="431"/>
        <v>0</v>
      </c>
      <c r="BA290" s="156">
        <f t="shared" si="431"/>
        <v>0</v>
      </c>
      <c r="BB290" s="156">
        <f t="shared" si="431"/>
        <v>4.7144524056790897E-5</v>
      </c>
      <c r="BC290" s="156">
        <f t="shared" si="431"/>
        <v>1.6007490306400452E-5</v>
      </c>
      <c r="BD290" s="156">
        <f t="shared" si="431"/>
        <v>1.8278926784806786E-3</v>
      </c>
      <c r="BE290" s="156">
        <f t="shared" si="431"/>
        <v>2.7341648439401804E-6</v>
      </c>
      <c r="BF290" s="156">
        <f t="shared" si="431"/>
        <v>3.8873958409307236E-6</v>
      </c>
      <c r="BG290" s="156">
        <f t="shared" si="431"/>
        <v>1.753832381369494E-3</v>
      </c>
      <c r="BH290" s="156">
        <f t="shared" si="431"/>
        <v>3.0132711757611524E-4</v>
      </c>
      <c r="BI290" s="156">
        <f t="shared" si="431"/>
        <v>0</v>
      </c>
      <c r="BJ290" s="156">
        <f t="shared" si="431"/>
        <v>0</v>
      </c>
      <c r="BK290" s="156">
        <f t="shared" si="431"/>
        <v>0</v>
      </c>
      <c r="BL290" s="156">
        <f t="shared" si="431"/>
        <v>0</v>
      </c>
      <c r="BM290" s="156">
        <f t="shared" si="431"/>
        <v>0</v>
      </c>
      <c r="BN290" s="156">
        <f t="shared" si="431"/>
        <v>0</v>
      </c>
      <c r="BO290" s="156">
        <f t="shared" ref="BO290:BZ290" si="432">BO131/BO$84</f>
        <v>9.8533526058587299E-6</v>
      </c>
      <c r="BP290" s="156">
        <f t="shared" si="432"/>
        <v>4.5211109014404333E-5</v>
      </c>
      <c r="BQ290" s="156">
        <f t="shared" si="432"/>
        <v>5.4227089783683588E-5</v>
      </c>
      <c r="BR290" s="156">
        <f t="shared" si="432"/>
        <v>5.1007871278443783E-5</v>
      </c>
      <c r="BS290" s="156">
        <f t="shared" si="432"/>
        <v>0</v>
      </c>
      <c r="BT290" s="156">
        <f t="shared" si="432"/>
        <v>3.6166121281937134E-3</v>
      </c>
      <c r="BU290" s="156">
        <f t="shared" si="432"/>
        <v>1.9276612970590314E-4</v>
      </c>
      <c r="BV290" s="156">
        <f t="shared" si="432"/>
        <v>8.8526519663266684E-4</v>
      </c>
      <c r="BW290" s="156">
        <f t="shared" si="432"/>
        <v>5.6408212215215452E-5</v>
      </c>
      <c r="BX290" s="156">
        <f t="shared" si="432"/>
        <v>9.2726588236457749E-6</v>
      </c>
      <c r="BY290" s="156">
        <f t="shared" si="432"/>
        <v>0</v>
      </c>
      <c r="BZ290" s="156">
        <f t="shared" si="432"/>
        <v>1.3793168438313799E-4</v>
      </c>
      <c r="CA290" s="129">
        <f t="shared" si="408"/>
        <v>0</v>
      </c>
      <c r="CB290" s="18"/>
      <c r="CC290" s="250"/>
      <c r="CD290" s="130">
        <f t="shared" ref="CD290:CG290" si="433">CD131/(CD$79+CD$80)</f>
        <v>1.7740474984311709E-3</v>
      </c>
      <c r="CE290" s="130">
        <f t="shared" si="433"/>
        <v>0</v>
      </c>
      <c r="CF290" s="130">
        <f t="shared" si="433"/>
        <v>3.8846149748140909E-4</v>
      </c>
      <c r="CG290" s="131">
        <f t="shared" si="433"/>
        <v>3.122067759985871E-4</v>
      </c>
      <c r="CH290" s="18"/>
      <c r="CI290" s="18"/>
      <c r="CJ290" s="18"/>
    </row>
    <row r="291" spans="1:88" ht="13.95" customHeight="1" x14ac:dyDescent="0.25">
      <c r="A291" s="153" t="s">
        <v>44</v>
      </c>
      <c r="B291" s="253"/>
      <c r="C291" s="128">
        <f t="shared" ref="C291:AH291" si="434">C132/C$84</f>
        <v>0</v>
      </c>
      <c r="D291" s="156">
        <f t="shared" si="434"/>
        <v>0</v>
      </c>
      <c r="E291" s="156">
        <f t="shared" si="434"/>
        <v>0</v>
      </c>
      <c r="F291" s="156">
        <f t="shared" si="434"/>
        <v>0</v>
      </c>
      <c r="G291" s="156">
        <f t="shared" si="434"/>
        <v>0</v>
      </c>
      <c r="H291" s="156">
        <f t="shared" si="434"/>
        <v>0</v>
      </c>
      <c r="I291" s="156">
        <f t="shared" si="434"/>
        <v>0</v>
      </c>
      <c r="J291" s="156">
        <f t="shared" si="434"/>
        <v>0</v>
      </c>
      <c r="K291" s="156">
        <f t="shared" si="434"/>
        <v>0</v>
      </c>
      <c r="L291" s="156">
        <f t="shared" si="434"/>
        <v>0</v>
      </c>
      <c r="M291" s="156">
        <f t="shared" si="434"/>
        <v>0</v>
      </c>
      <c r="N291" s="156">
        <f t="shared" si="434"/>
        <v>0</v>
      </c>
      <c r="O291" s="156">
        <f t="shared" si="434"/>
        <v>0</v>
      </c>
      <c r="P291" s="156">
        <f t="shared" si="434"/>
        <v>0</v>
      </c>
      <c r="Q291" s="156">
        <f t="shared" si="434"/>
        <v>0</v>
      </c>
      <c r="R291" s="156">
        <f t="shared" si="434"/>
        <v>0</v>
      </c>
      <c r="S291" s="156">
        <f t="shared" si="434"/>
        <v>0</v>
      </c>
      <c r="T291" s="156">
        <f t="shared" si="434"/>
        <v>0</v>
      </c>
      <c r="U291" s="156">
        <f t="shared" si="434"/>
        <v>0</v>
      </c>
      <c r="V291" s="156">
        <f t="shared" si="434"/>
        <v>0</v>
      </c>
      <c r="W291" s="156">
        <f t="shared" si="434"/>
        <v>0</v>
      </c>
      <c r="X291" s="156">
        <f t="shared" si="434"/>
        <v>0</v>
      </c>
      <c r="Y291" s="156">
        <f t="shared" si="434"/>
        <v>0</v>
      </c>
      <c r="Z291" s="156">
        <f t="shared" si="434"/>
        <v>0</v>
      </c>
      <c r="AA291" s="156">
        <f t="shared" si="434"/>
        <v>0</v>
      </c>
      <c r="AB291" s="156">
        <f t="shared" si="434"/>
        <v>0</v>
      </c>
      <c r="AC291" s="156">
        <f t="shared" si="434"/>
        <v>0</v>
      </c>
      <c r="AD291" s="156">
        <f t="shared" si="434"/>
        <v>0</v>
      </c>
      <c r="AE291" s="156">
        <f t="shared" si="434"/>
        <v>0</v>
      </c>
      <c r="AF291" s="156">
        <f t="shared" si="434"/>
        <v>0</v>
      </c>
      <c r="AG291" s="156">
        <f t="shared" si="434"/>
        <v>0</v>
      </c>
      <c r="AH291" s="156">
        <f t="shared" si="434"/>
        <v>0</v>
      </c>
      <c r="AI291" s="156">
        <f t="shared" ref="AI291:BN291" si="435">AI132/AI$84</f>
        <v>0</v>
      </c>
      <c r="AJ291" s="156">
        <f t="shared" si="435"/>
        <v>0</v>
      </c>
      <c r="AK291" s="156">
        <f t="shared" si="435"/>
        <v>0</v>
      </c>
      <c r="AL291" s="156">
        <f t="shared" si="435"/>
        <v>0</v>
      </c>
      <c r="AM291" s="156">
        <f t="shared" si="435"/>
        <v>0</v>
      </c>
      <c r="AN291" s="156">
        <f t="shared" si="435"/>
        <v>0</v>
      </c>
      <c r="AO291" s="156">
        <f t="shared" si="435"/>
        <v>0</v>
      </c>
      <c r="AP291" s="156">
        <f t="shared" si="435"/>
        <v>0</v>
      </c>
      <c r="AQ291" s="156">
        <f t="shared" si="435"/>
        <v>0</v>
      </c>
      <c r="AR291" s="156">
        <f t="shared" si="435"/>
        <v>0</v>
      </c>
      <c r="AS291" s="156">
        <f t="shared" si="435"/>
        <v>0</v>
      </c>
      <c r="AT291" s="156">
        <f t="shared" si="435"/>
        <v>0</v>
      </c>
      <c r="AU291" s="156">
        <f t="shared" si="435"/>
        <v>0</v>
      </c>
      <c r="AV291" s="156">
        <f t="shared" si="435"/>
        <v>0</v>
      </c>
      <c r="AW291" s="156">
        <f t="shared" si="435"/>
        <v>0</v>
      </c>
      <c r="AX291" s="156">
        <f t="shared" si="435"/>
        <v>0</v>
      </c>
      <c r="AY291" s="156">
        <f t="shared" si="435"/>
        <v>0</v>
      </c>
      <c r="AZ291" s="156">
        <f t="shared" si="435"/>
        <v>0</v>
      </c>
      <c r="BA291" s="156">
        <f t="shared" si="435"/>
        <v>0</v>
      </c>
      <c r="BB291" s="156">
        <f t="shared" si="435"/>
        <v>0</v>
      </c>
      <c r="BC291" s="156">
        <f t="shared" si="435"/>
        <v>0</v>
      </c>
      <c r="BD291" s="156">
        <f t="shared" si="435"/>
        <v>0</v>
      </c>
      <c r="BE291" s="156">
        <f t="shared" si="435"/>
        <v>0</v>
      </c>
      <c r="BF291" s="156">
        <f t="shared" si="435"/>
        <v>0</v>
      </c>
      <c r="BG291" s="156">
        <f t="shared" si="435"/>
        <v>0</v>
      </c>
      <c r="BH291" s="156">
        <f t="shared" si="435"/>
        <v>0</v>
      </c>
      <c r="BI291" s="156">
        <f t="shared" si="435"/>
        <v>0</v>
      </c>
      <c r="BJ291" s="156">
        <f t="shared" si="435"/>
        <v>0</v>
      </c>
      <c r="BK291" s="156">
        <f t="shared" si="435"/>
        <v>0</v>
      </c>
      <c r="BL291" s="156">
        <f t="shared" si="435"/>
        <v>0</v>
      </c>
      <c r="BM291" s="156">
        <f t="shared" si="435"/>
        <v>0</v>
      </c>
      <c r="BN291" s="156">
        <f t="shared" si="435"/>
        <v>0</v>
      </c>
      <c r="BO291" s="156">
        <f t="shared" ref="BO291:BZ291" si="436">BO132/BO$84</f>
        <v>0</v>
      </c>
      <c r="BP291" s="156">
        <f t="shared" si="436"/>
        <v>0</v>
      </c>
      <c r="BQ291" s="156">
        <f t="shared" si="436"/>
        <v>0</v>
      </c>
      <c r="BR291" s="156">
        <f t="shared" si="436"/>
        <v>0</v>
      </c>
      <c r="BS291" s="156">
        <f t="shared" si="436"/>
        <v>0</v>
      </c>
      <c r="BT291" s="156">
        <f t="shared" si="436"/>
        <v>0</v>
      </c>
      <c r="BU291" s="156">
        <f t="shared" si="436"/>
        <v>0</v>
      </c>
      <c r="BV291" s="156">
        <f t="shared" si="436"/>
        <v>0</v>
      </c>
      <c r="BW291" s="156">
        <f t="shared" si="436"/>
        <v>0</v>
      </c>
      <c r="BX291" s="156">
        <f t="shared" si="436"/>
        <v>0</v>
      </c>
      <c r="BY291" s="156">
        <f t="shared" si="436"/>
        <v>0</v>
      </c>
      <c r="BZ291" s="156">
        <f t="shared" si="436"/>
        <v>0</v>
      </c>
      <c r="CA291" s="129">
        <f t="shared" si="408"/>
        <v>0</v>
      </c>
      <c r="CB291" s="18"/>
      <c r="CC291" s="250"/>
      <c r="CD291" s="130">
        <f t="shared" ref="CD291:CG291" si="437">CD132/(CD$79+CD$80)</f>
        <v>0</v>
      </c>
      <c r="CE291" s="130">
        <f t="shared" si="437"/>
        <v>0</v>
      </c>
      <c r="CF291" s="130">
        <f t="shared" si="437"/>
        <v>0</v>
      </c>
      <c r="CG291" s="131">
        <f t="shared" si="437"/>
        <v>0</v>
      </c>
      <c r="CH291" s="18"/>
      <c r="CI291" s="18"/>
      <c r="CJ291" s="18"/>
    </row>
    <row r="292" spans="1:88" ht="13.95" customHeight="1" x14ac:dyDescent="0.25">
      <c r="A292" s="153" t="s">
        <v>45</v>
      </c>
      <c r="B292" s="253"/>
      <c r="C292" s="128">
        <f t="shared" ref="C292:AH292" si="438">C133/C$84</f>
        <v>4.2234089844866074E-5</v>
      </c>
      <c r="D292" s="156">
        <f t="shared" si="438"/>
        <v>1.3223861998486988E-4</v>
      </c>
      <c r="E292" s="156">
        <f t="shared" si="438"/>
        <v>1.0582647741973153E-4</v>
      </c>
      <c r="F292" s="156">
        <f t="shared" si="438"/>
        <v>5.2894510302520508E-5</v>
      </c>
      <c r="G292" s="156">
        <f t="shared" si="438"/>
        <v>8.5603728421629791E-5</v>
      </c>
      <c r="H292" s="156">
        <f t="shared" si="438"/>
        <v>8.5777367362842297E-5</v>
      </c>
      <c r="I292" s="156">
        <f t="shared" si="438"/>
        <v>6.7019475578275521E-5</v>
      </c>
      <c r="J292" s="156">
        <f t="shared" si="438"/>
        <v>2.2867549579932795E-5</v>
      </c>
      <c r="K292" s="156">
        <f t="shared" si="438"/>
        <v>1.6914995472999713E-4</v>
      </c>
      <c r="L292" s="156">
        <f t="shared" si="438"/>
        <v>1.498904706612824E-4</v>
      </c>
      <c r="M292" s="156">
        <f t="shared" si="438"/>
        <v>1.9710527448695196E-4</v>
      </c>
      <c r="N292" s="156">
        <f t="shared" si="438"/>
        <v>1.5550081312712684E-4</v>
      </c>
      <c r="O292" s="156">
        <f t="shared" si="438"/>
        <v>6.5554193172572586E-5</v>
      </c>
      <c r="P292" s="156">
        <f t="shared" si="438"/>
        <v>1.5951646664311473E-4</v>
      </c>
      <c r="Q292" s="156">
        <f t="shared" si="438"/>
        <v>1.9257988292455355E-5</v>
      </c>
      <c r="R292" s="156">
        <f t="shared" si="438"/>
        <v>3.2968744339515398E-4</v>
      </c>
      <c r="S292" s="156">
        <f t="shared" si="438"/>
        <v>1.1774784096843092E-4</v>
      </c>
      <c r="T292" s="156">
        <f t="shared" si="438"/>
        <v>7.9493163022955086E-5</v>
      </c>
      <c r="U292" s="156">
        <f t="shared" si="438"/>
        <v>1.5470210849110317E-4</v>
      </c>
      <c r="V292" s="156">
        <f t="shared" si="438"/>
        <v>1.5285111624802534E-5</v>
      </c>
      <c r="W292" s="156">
        <f t="shared" si="438"/>
        <v>2.1944288079262544E-4</v>
      </c>
      <c r="X292" s="156">
        <f t="shared" si="438"/>
        <v>2.9903164013174998E-5</v>
      </c>
      <c r="Y292" s="156">
        <f t="shared" si="438"/>
        <v>8.7394537691101262E-5</v>
      </c>
      <c r="Z292" s="156">
        <f t="shared" si="438"/>
        <v>1.1237518699473123E-4</v>
      </c>
      <c r="AA292" s="156">
        <f t="shared" si="438"/>
        <v>1.4372620079516877E-4</v>
      </c>
      <c r="AB292" s="156">
        <f t="shared" si="438"/>
        <v>1.0212475235381083E-4</v>
      </c>
      <c r="AC292" s="156">
        <f t="shared" si="438"/>
        <v>2.924766792201008E-4</v>
      </c>
      <c r="AD292" s="156">
        <f t="shared" si="438"/>
        <v>5.553176290629688E-5</v>
      </c>
      <c r="AE292" s="156">
        <f t="shared" si="438"/>
        <v>5.2458622852922896E-5</v>
      </c>
      <c r="AF292" s="156">
        <f t="shared" si="438"/>
        <v>9.0252445957857478E-5</v>
      </c>
      <c r="AG292" s="156">
        <f t="shared" si="438"/>
        <v>1.5104418164715272E-4</v>
      </c>
      <c r="AH292" s="156">
        <f t="shared" si="438"/>
        <v>2.8000909663607442E-4</v>
      </c>
      <c r="AI292" s="156">
        <f t="shared" ref="AI292:BN292" si="439">AI133/AI$84</f>
        <v>9.394655295196606E-5</v>
      </c>
      <c r="AJ292" s="156">
        <f t="shared" si="439"/>
        <v>9.2532873650698824E-5</v>
      </c>
      <c r="AK292" s="156">
        <f t="shared" si="439"/>
        <v>7.9044231892008146E-4</v>
      </c>
      <c r="AL292" s="156">
        <f t="shared" si="439"/>
        <v>2.7127611424091673E-4</v>
      </c>
      <c r="AM292" s="156">
        <f t="shared" si="439"/>
        <v>8.2471024213294107E-5</v>
      </c>
      <c r="AN292" s="156">
        <f t="shared" si="439"/>
        <v>4.7967877225288364E-4</v>
      </c>
      <c r="AO292" s="156">
        <f t="shared" si="439"/>
        <v>2.7444478039559297E-4</v>
      </c>
      <c r="AP292" s="156">
        <f t="shared" si="439"/>
        <v>5.6480209864146912E-4</v>
      </c>
      <c r="AQ292" s="156">
        <f t="shared" si="439"/>
        <v>2.8638787423924489E-4</v>
      </c>
      <c r="AR292" s="156">
        <f t="shared" si="439"/>
        <v>9.0543172711249088E-5</v>
      </c>
      <c r="AS292" s="156">
        <f t="shared" si="439"/>
        <v>2.4217335698603618E-4</v>
      </c>
      <c r="AT292" s="156">
        <f t="shared" si="439"/>
        <v>2.8693903493941914E-4</v>
      </c>
      <c r="AU292" s="156">
        <f t="shared" si="439"/>
        <v>1.0570940581931831E-3</v>
      </c>
      <c r="AV292" s="156">
        <f t="shared" si="439"/>
        <v>2.8039063641369698E-3</v>
      </c>
      <c r="AW292" s="156">
        <f t="shared" si="439"/>
        <v>8.0396991460311728E-4</v>
      </c>
      <c r="AX292" s="156">
        <f t="shared" si="439"/>
        <v>4.2778568023570806E-4</v>
      </c>
      <c r="AY292" s="156">
        <f t="shared" si="439"/>
        <v>6.8424220820808364E-4</v>
      </c>
      <c r="AZ292" s="156">
        <f t="shared" si="439"/>
        <v>2.3612035855024175E-3</v>
      </c>
      <c r="BA292" s="156">
        <f t="shared" si="439"/>
        <v>1.6014237438349804E-3</v>
      </c>
      <c r="BB292" s="156">
        <f t="shared" si="439"/>
        <v>1.7717546188370984E-4</v>
      </c>
      <c r="BC292" s="156">
        <f t="shared" si="439"/>
        <v>1.5111190755536457E-4</v>
      </c>
      <c r="BD292" s="156">
        <f t="shared" si="439"/>
        <v>5.8611175759033535E-4</v>
      </c>
      <c r="BE292" s="156">
        <f t="shared" si="439"/>
        <v>1.4088460388170885E-4</v>
      </c>
      <c r="BF292" s="156">
        <f t="shared" si="439"/>
        <v>3.8855447000540904E-4</v>
      </c>
      <c r="BG292" s="156">
        <f t="shared" si="439"/>
        <v>2.0519949481696836E-4</v>
      </c>
      <c r="BH292" s="156">
        <f t="shared" si="439"/>
        <v>4.7889924495614963E-4</v>
      </c>
      <c r="BI292" s="156">
        <f t="shared" si="439"/>
        <v>0</v>
      </c>
      <c r="BJ292" s="156">
        <f t="shared" si="439"/>
        <v>2.3512510861757734E-4</v>
      </c>
      <c r="BK292" s="156">
        <f t="shared" si="439"/>
        <v>2.5878613130285753E-4</v>
      </c>
      <c r="BL292" s="156">
        <f t="shared" si="439"/>
        <v>2.9920123723988369E-4</v>
      </c>
      <c r="BM292" s="156">
        <f t="shared" si="439"/>
        <v>8.5439928725468157E-4</v>
      </c>
      <c r="BN292" s="156">
        <f t="shared" si="439"/>
        <v>2.4604572686647409E-4</v>
      </c>
      <c r="BO292" s="156">
        <f t="shared" ref="BO292:BZ292" si="440">BO133/BO$84</f>
        <v>1.6397664871354206E-4</v>
      </c>
      <c r="BP292" s="156">
        <f t="shared" si="440"/>
        <v>3.3855353251439625E-4</v>
      </c>
      <c r="BQ292" s="156">
        <f t="shared" si="440"/>
        <v>1.547224076708214E-4</v>
      </c>
      <c r="BR292" s="156">
        <f t="shared" si="440"/>
        <v>3.544582243614361E-4</v>
      </c>
      <c r="BS292" s="156">
        <f t="shared" si="440"/>
        <v>1.2046748221866207E-4</v>
      </c>
      <c r="BT292" s="156">
        <f t="shared" si="440"/>
        <v>3.7119817888925095E-4</v>
      </c>
      <c r="BU292" s="156">
        <f t="shared" si="440"/>
        <v>3.6131292516670564E-4</v>
      </c>
      <c r="BV292" s="156">
        <f t="shared" si="440"/>
        <v>1.0278548668927948E-4</v>
      </c>
      <c r="BW292" s="156">
        <f t="shared" si="440"/>
        <v>2.9149940777074975E-4</v>
      </c>
      <c r="BX292" s="156">
        <f t="shared" si="440"/>
        <v>2.811470155329399E-3</v>
      </c>
      <c r="BY292" s="156">
        <f t="shared" si="440"/>
        <v>5.8407195647608728E-5</v>
      </c>
      <c r="BZ292" s="156">
        <f t="shared" si="440"/>
        <v>3.3218033140176623E-4</v>
      </c>
      <c r="CA292" s="129">
        <f t="shared" si="408"/>
        <v>0</v>
      </c>
      <c r="CB292" s="18"/>
      <c r="CC292" s="250"/>
      <c r="CD292" s="130">
        <f t="shared" ref="CD292:CG292" si="441">CD133/(CD$79+CD$80)</f>
        <v>1.8332878366119514E-3</v>
      </c>
      <c r="CE292" s="130">
        <f t="shared" si="441"/>
        <v>0</v>
      </c>
      <c r="CF292" s="130">
        <f t="shared" si="441"/>
        <v>1.6490299273500991E-6</v>
      </c>
      <c r="CG292" s="131">
        <f t="shared" si="441"/>
        <v>0</v>
      </c>
      <c r="CH292" s="18"/>
      <c r="CI292" s="18"/>
      <c r="CJ292" s="18"/>
    </row>
    <row r="293" spans="1:88" ht="13.95" customHeight="1" x14ac:dyDescent="0.25">
      <c r="A293" s="154" t="s">
        <v>46</v>
      </c>
      <c r="B293" s="253"/>
      <c r="C293" s="128">
        <f t="shared" ref="C293:AH293" si="442">C134/C$84</f>
        <v>2.3901870409326968E-5</v>
      </c>
      <c r="D293" s="156">
        <f t="shared" si="442"/>
        <v>6.4207845051786363E-5</v>
      </c>
      <c r="E293" s="156">
        <f t="shared" si="442"/>
        <v>0</v>
      </c>
      <c r="F293" s="156">
        <f t="shared" si="442"/>
        <v>9.0972371227902231E-4</v>
      </c>
      <c r="G293" s="156">
        <f t="shared" si="442"/>
        <v>3.976103556672377E-4</v>
      </c>
      <c r="H293" s="156">
        <f t="shared" si="442"/>
        <v>5.5824854715163749E-4</v>
      </c>
      <c r="I293" s="156">
        <f t="shared" si="442"/>
        <v>1.7213614255500748E-3</v>
      </c>
      <c r="J293" s="156">
        <f t="shared" si="442"/>
        <v>2.0627981629009217E-3</v>
      </c>
      <c r="K293" s="156">
        <f t="shared" si="442"/>
        <v>5.9895306147899588E-4</v>
      </c>
      <c r="L293" s="156">
        <f t="shared" si="442"/>
        <v>1.6089433457887656E-4</v>
      </c>
      <c r="M293" s="156">
        <f t="shared" si="442"/>
        <v>4.5791744474343784E-4</v>
      </c>
      <c r="N293" s="156">
        <f t="shared" si="442"/>
        <v>4.5930453943020065E-4</v>
      </c>
      <c r="O293" s="156">
        <f t="shared" si="442"/>
        <v>6.8455606051683363E-4</v>
      </c>
      <c r="P293" s="156">
        <f t="shared" si="442"/>
        <v>8.114001300454636E-3</v>
      </c>
      <c r="Q293" s="156">
        <f t="shared" si="442"/>
        <v>4.0729049272662489E-4</v>
      </c>
      <c r="R293" s="156">
        <f t="shared" si="442"/>
        <v>1.3691792074997358E-3</v>
      </c>
      <c r="S293" s="156">
        <f t="shared" si="442"/>
        <v>1.9019269905578757E-3</v>
      </c>
      <c r="T293" s="156">
        <f t="shared" si="442"/>
        <v>1.1748881669529957E-3</v>
      </c>
      <c r="U293" s="156">
        <f t="shared" si="442"/>
        <v>6.8757380072271917E-4</v>
      </c>
      <c r="V293" s="156">
        <f t="shared" si="442"/>
        <v>8.6669321025355565E-4</v>
      </c>
      <c r="W293" s="156">
        <f t="shared" si="442"/>
        <v>8.9218220440046253E-4</v>
      </c>
      <c r="X293" s="156">
        <f t="shared" si="442"/>
        <v>1.0775362348679127E-3</v>
      </c>
      <c r="Y293" s="156">
        <f t="shared" si="442"/>
        <v>1.3986926544174156E-3</v>
      </c>
      <c r="Z293" s="156">
        <f t="shared" si="442"/>
        <v>5.7151410644249259E-4</v>
      </c>
      <c r="AA293" s="156">
        <f t="shared" si="442"/>
        <v>7.9282518271859453E-4</v>
      </c>
      <c r="AB293" s="156">
        <f t="shared" si="442"/>
        <v>1.1469395264351063E-3</v>
      </c>
      <c r="AC293" s="156">
        <f t="shared" si="442"/>
        <v>4.6523492497705152E-4</v>
      </c>
      <c r="AD293" s="156">
        <f t="shared" si="442"/>
        <v>5.1714910331883358E-4</v>
      </c>
      <c r="AE293" s="156">
        <f t="shared" si="442"/>
        <v>1.098713082625249E-3</v>
      </c>
      <c r="AF293" s="156">
        <f t="shared" si="442"/>
        <v>2.1087832827613208E-3</v>
      </c>
      <c r="AG293" s="156">
        <f t="shared" si="442"/>
        <v>7.6452346723510198E-4</v>
      </c>
      <c r="AH293" s="156">
        <f t="shared" si="442"/>
        <v>3.1252695662629818E-4</v>
      </c>
      <c r="AI293" s="156">
        <f t="shared" ref="AI293:BN293" si="443">AI134/AI$84</f>
        <v>2.1796690573671815E-4</v>
      </c>
      <c r="AJ293" s="156">
        <f t="shared" si="443"/>
        <v>4.5377760213429109E-4</v>
      </c>
      <c r="AK293" s="156">
        <f t="shared" si="443"/>
        <v>2.6996665903460362E-3</v>
      </c>
      <c r="AL293" s="156">
        <f t="shared" si="443"/>
        <v>3.9153389955162918E-3</v>
      </c>
      <c r="AM293" s="156">
        <f t="shared" si="443"/>
        <v>2.2348654564679732E-3</v>
      </c>
      <c r="AN293" s="156">
        <f t="shared" si="443"/>
        <v>9.5359402907962585E-4</v>
      </c>
      <c r="AO293" s="156">
        <f t="shared" si="443"/>
        <v>9.8203791777097104E-4</v>
      </c>
      <c r="AP293" s="156">
        <f t="shared" si="443"/>
        <v>2.1878682700364489E-3</v>
      </c>
      <c r="AQ293" s="156">
        <f t="shared" si="443"/>
        <v>2.0185105522457572E-3</v>
      </c>
      <c r="AR293" s="156">
        <f t="shared" si="443"/>
        <v>2.3127911180450156E-4</v>
      </c>
      <c r="AS293" s="156">
        <f t="shared" si="443"/>
        <v>2.1073877569804673E-2</v>
      </c>
      <c r="AT293" s="156">
        <f t="shared" si="443"/>
        <v>2.7182430298353369E-3</v>
      </c>
      <c r="AU293" s="156">
        <f t="shared" si="443"/>
        <v>3.5975798623360118E-4</v>
      </c>
      <c r="AV293" s="156">
        <f t="shared" si="443"/>
        <v>1.4818986324155226E-2</v>
      </c>
      <c r="AW293" s="156">
        <f t="shared" si="443"/>
        <v>4.935192328877841E-2</v>
      </c>
      <c r="AX293" s="156">
        <f t="shared" si="443"/>
        <v>2.5978814605784346E-2</v>
      </c>
      <c r="AY293" s="156">
        <f t="shared" si="443"/>
        <v>1.0104758177087718E-2</v>
      </c>
      <c r="AZ293" s="156">
        <f t="shared" si="443"/>
        <v>1.5931242034021742E-2</v>
      </c>
      <c r="BA293" s="156">
        <f t="shared" si="443"/>
        <v>1.623674707989621E-2</v>
      </c>
      <c r="BB293" s="156">
        <f t="shared" si="443"/>
        <v>8.2408321253933897E-4</v>
      </c>
      <c r="BC293" s="156">
        <f t="shared" si="443"/>
        <v>1.0358764728951971E-2</v>
      </c>
      <c r="BD293" s="156">
        <f t="shared" si="443"/>
        <v>1.27414323744261E-2</v>
      </c>
      <c r="BE293" s="156">
        <f t="shared" si="443"/>
        <v>1.942819419108351E-3</v>
      </c>
      <c r="BF293" s="156">
        <f t="shared" si="443"/>
        <v>3.3631527446680663E-3</v>
      </c>
      <c r="BG293" s="156">
        <f t="shared" si="443"/>
        <v>2.6438314757772801E-3</v>
      </c>
      <c r="BH293" s="156">
        <f t="shared" si="443"/>
        <v>9.3638561989810895E-4</v>
      </c>
      <c r="BI293" s="156">
        <f t="shared" si="443"/>
        <v>0</v>
      </c>
      <c r="BJ293" s="156">
        <f t="shared" si="443"/>
        <v>1.5949633726732972E-3</v>
      </c>
      <c r="BK293" s="156">
        <f t="shared" si="443"/>
        <v>1.5307883956815064E-3</v>
      </c>
      <c r="BL293" s="156">
        <f t="shared" si="443"/>
        <v>3.3142822583083855E-4</v>
      </c>
      <c r="BM293" s="156">
        <f t="shared" si="443"/>
        <v>1.425282475291218E-3</v>
      </c>
      <c r="BN293" s="156">
        <f t="shared" si="443"/>
        <v>7.6315221672717517E-4</v>
      </c>
      <c r="BO293" s="156">
        <f t="shared" ref="BO293:BZ293" si="444">BO134/BO$84</f>
        <v>1.0070442513538612E-3</v>
      </c>
      <c r="BP293" s="156">
        <f t="shared" si="444"/>
        <v>1.4145262000087068E-3</v>
      </c>
      <c r="BQ293" s="156">
        <f t="shared" si="444"/>
        <v>1.3393001506916984E-3</v>
      </c>
      <c r="BR293" s="156">
        <f t="shared" si="444"/>
        <v>8.4438842380807344E-4</v>
      </c>
      <c r="BS293" s="156">
        <f t="shared" si="444"/>
        <v>3.7367715372338991E-4</v>
      </c>
      <c r="BT293" s="156">
        <f t="shared" si="444"/>
        <v>1.5456493902858794E-3</v>
      </c>
      <c r="BU293" s="156">
        <f t="shared" si="444"/>
        <v>2.3042966581767192E-3</v>
      </c>
      <c r="BV293" s="156">
        <f t="shared" si="444"/>
        <v>7.2614923243426261E-3</v>
      </c>
      <c r="BW293" s="156">
        <f t="shared" si="444"/>
        <v>2.07696176936266E-3</v>
      </c>
      <c r="BX293" s="156">
        <f t="shared" si="444"/>
        <v>5.9270835200743791E-3</v>
      </c>
      <c r="BY293" s="156">
        <f t="shared" si="444"/>
        <v>4.0329202572353959E-3</v>
      </c>
      <c r="BZ293" s="156">
        <f t="shared" si="444"/>
        <v>1.0845502714713188E-3</v>
      </c>
      <c r="CA293" s="129">
        <f t="shared" si="408"/>
        <v>0</v>
      </c>
      <c r="CB293" s="18"/>
      <c r="CC293" s="250"/>
      <c r="CD293" s="130">
        <f t="shared" ref="CD293:CG293" si="445">CD134/(CD$79+CD$80)</f>
        <v>0</v>
      </c>
      <c r="CE293" s="130">
        <f t="shared" si="445"/>
        <v>0</v>
      </c>
      <c r="CF293" s="130">
        <f t="shared" si="445"/>
        <v>6.7770617178315434E-3</v>
      </c>
      <c r="CG293" s="131">
        <f t="shared" si="445"/>
        <v>0</v>
      </c>
      <c r="CH293" s="18"/>
      <c r="CI293" s="18"/>
      <c r="CJ293" s="18"/>
    </row>
    <row r="294" spans="1:88" ht="13.95" customHeight="1" x14ac:dyDescent="0.25">
      <c r="A294" s="153" t="s">
        <v>47</v>
      </c>
      <c r="B294" s="253"/>
      <c r="C294" s="128">
        <f t="shared" ref="C294:AH294" si="446">C135/C$84</f>
        <v>1.9731922298061709E-6</v>
      </c>
      <c r="D294" s="156">
        <f t="shared" si="446"/>
        <v>4.3442385014740435E-5</v>
      </c>
      <c r="E294" s="156">
        <f t="shared" si="446"/>
        <v>0</v>
      </c>
      <c r="F294" s="156">
        <f t="shared" si="446"/>
        <v>7.635162744447649E-5</v>
      </c>
      <c r="G294" s="156">
        <f t="shared" si="446"/>
        <v>2.6277093850943319E-5</v>
      </c>
      <c r="H294" s="156">
        <f t="shared" si="446"/>
        <v>1.9050758569051302E-5</v>
      </c>
      <c r="I294" s="156">
        <f t="shared" si="446"/>
        <v>7.0241129448321264E-5</v>
      </c>
      <c r="J294" s="156">
        <f t="shared" si="446"/>
        <v>4.9122884282818595E-5</v>
      </c>
      <c r="K294" s="156">
        <f t="shared" si="446"/>
        <v>1.8249945165674016E-5</v>
      </c>
      <c r="L294" s="156">
        <f t="shared" si="446"/>
        <v>1.0929513485718509E-5</v>
      </c>
      <c r="M294" s="156">
        <f t="shared" si="446"/>
        <v>1.0424764762287371E-5</v>
      </c>
      <c r="N294" s="156">
        <f t="shared" si="446"/>
        <v>1.6620605341815445E-5</v>
      </c>
      <c r="O294" s="156">
        <f t="shared" si="446"/>
        <v>4.1481335223618603E-5</v>
      </c>
      <c r="P294" s="156">
        <f t="shared" si="446"/>
        <v>9.8261546571086107E-5</v>
      </c>
      <c r="Q294" s="156">
        <f t="shared" si="446"/>
        <v>1.6580312203909539E-5</v>
      </c>
      <c r="R294" s="156">
        <f t="shared" si="446"/>
        <v>4.7678196739810708E-5</v>
      </c>
      <c r="S294" s="156">
        <f t="shared" si="446"/>
        <v>1.5869463546066726E-4</v>
      </c>
      <c r="T294" s="156">
        <f t="shared" si="446"/>
        <v>2.0548722859855385E-5</v>
      </c>
      <c r="U294" s="156">
        <f t="shared" si="446"/>
        <v>1.0861893007119272E-5</v>
      </c>
      <c r="V294" s="156">
        <f t="shared" si="446"/>
        <v>3.8816774516094945E-6</v>
      </c>
      <c r="W294" s="156">
        <f t="shared" si="446"/>
        <v>6.8337184629183393E-6</v>
      </c>
      <c r="X294" s="156">
        <f t="shared" si="446"/>
        <v>3.0755106007852351E-5</v>
      </c>
      <c r="Y294" s="156">
        <f t="shared" si="446"/>
        <v>2.6085343331402039E-6</v>
      </c>
      <c r="Z294" s="156">
        <f t="shared" si="446"/>
        <v>7.2812387078983155E-6</v>
      </c>
      <c r="AA294" s="156">
        <f t="shared" si="446"/>
        <v>6.588736646444805E-7</v>
      </c>
      <c r="AB294" s="156">
        <f t="shared" si="446"/>
        <v>1.4106562153090494E-5</v>
      </c>
      <c r="AC294" s="156">
        <f t="shared" si="446"/>
        <v>9.0473027366824156E-7</v>
      </c>
      <c r="AD294" s="156">
        <f t="shared" si="446"/>
        <v>3.2814223535539066E-5</v>
      </c>
      <c r="AE294" s="156">
        <f t="shared" si="446"/>
        <v>7.3603215127803814E-6</v>
      </c>
      <c r="AF294" s="156">
        <f t="shared" si="446"/>
        <v>1.5575439303403946E-5</v>
      </c>
      <c r="AG294" s="156">
        <f t="shared" si="446"/>
        <v>4.6145588720402411E-5</v>
      </c>
      <c r="AH294" s="156">
        <f t="shared" si="446"/>
        <v>1.5056501088720955E-5</v>
      </c>
      <c r="AI294" s="156">
        <f t="shared" ref="AI294:BN294" si="447">AI135/AI$84</f>
        <v>1.5445758222276816E-5</v>
      </c>
      <c r="AJ294" s="156">
        <f t="shared" si="447"/>
        <v>1.8690558559951389E-5</v>
      </c>
      <c r="AK294" s="156">
        <f t="shared" si="447"/>
        <v>8.0753956490676529E-5</v>
      </c>
      <c r="AL294" s="156">
        <f t="shared" si="447"/>
        <v>3.0494872927818703E-5</v>
      </c>
      <c r="AM294" s="156">
        <f t="shared" si="447"/>
        <v>6.4889748836011383E-5</v>
      </c>
      <c r="AN294" s="156">
        <f t="shared" si="447"/>
        <v>3.1112782388905354E-5</v>
      </c>
      <c r="AO294" s="156">
        <f t="shared" si="447"/>
        <v>4.3429147998039165E-4</v>
      </c>
      <c r="AP294" s="156">
        <f t="shared" si="447"/>
        <v>3.6813221898054904E-5</v>
      </c>
      <c r="AQ294" s="156">
        <f t="shared" si="447"/>
        <v>1.3749005634505667E-4</v>
      </c>
      <c r="AR294" s="156">
        <f t="shared" si="447"/>
        <v>4.7969243180715935E-5</v>
      </c>
      <c r="AS294" s="156">
        <f t="shared" si="447"/>
        <v>1.4466203435674974E-3</v>
      </c>
      <c r="AT294" s="156">
        <f t="shared" si="447"/>
        <v>4.4561361144841587E-5</v>
      </c>
      <c r="AU294" s="156">
        <f t="shared" si="447"/>
        <v>6.7235041403774778E-3</v>
      </c>
      <c r="AV294" s="156">
        <f t="shared" si="447"/>
        <v>2.1121156494080412E-4</v>
      </c>
      <c r="AW294" s="156">
        <f t="shared" si="447"/>
        <v>3.4141031737868491E-4</v>
      </c>
      <c r="AX294" s="156">
        <f t="shared" si="447"/>
        <v>7.7109589329575892E-3</v>
      </c>
      <c r="AY294" s="156">
        <f t="shared" si="447"/>
        <v>6.0672174372195744E-5</v>
      </c>
      <c r="AZ294" s="156">
        <f t="shared" si="447"/>
        <v>3.0260525472343686E-5</v>
      </c>
      <c r="BA294" s="156">
        <f t="shared" si="447"/>
        <v>2.5072068538532338E-4</v>
      </c>
      <c r="BB294" s="156">
        <f t="shared" si="447"/>
        <v>1.1193628657898304E-4</v>
      </c>
      <c r="BC294" s="156">
        <f t="shared" si="447"/>
        <v>1.0491800762622019E-4</v>
      </c>
      <c r="BD294" s="156">
        <f t="shared" si="447"/>
        <v>4.9045737981291508E-4</v>
      </c>
      <c r="BE294" s="156">
        <f t="shared" si="447"/>
        <v>6.6431191977491631E-5</v>
      </c>
      <c r="BF294" s="156">
        <f t="shared" si="447"/>
        <v>1.823373763484173E-5</v>
      </c>
      <c r="BG294" s="156">
        <f t="shared" si="447"/>
        <v>4.2433281392432803E-4</v>
      </c>
      <c r="BH294" s="156">
        <f t="shared" si="447"/>
        <v>1.2945423316563718E-5</v>
      </c>
      <c r="BI294" s="156">
        <f t="shared" si="447"/>
        <v>0</v>
      </c>
      <c r="BJ294" s="156">
        <f t="shared" si="447"/>
        <v>8.6759550948705597E-6</v>
      </c>
      <c r="BK294" s="156">
        <f t="shared" si="447"/>
        <v>1.174179862582076E-5</v>
      </c>
      <c r="BL294" s="156">
        <f t="shared" si="447"/>
        <v>5.6159631592816749E-6</v>
      </c>
      <c r="BM294" s="156">
        <f t="shared" si="447"/>
        <v>1.9483925761246972E-4</v>
      </c>
      <c r="BN294" s="156">
        <f t="shared" si="447"/>
        <v>6.1956745827251895E-7</v>
      </c>
      <c r="BO294" s="156">
        <f t="shared" ref="BO294:BZ294" si="448">BO135/BO$84</f>
        <v>6.2070852244393499E-5</v>
      </c>
      <c r="BP294" s="156">
        <f t="shared" si="448"/>
        <v>3.6542656852388072E-6</v>
      </c>
      <c r="BQ294" s="156">
        <f t="shared" si="448"/>
        <v>6.4205045232454365E-6</v>
      </c>
      <c r="BR294" s="156">
        <f t="shared" si="448"/>
        <v>7.3864409478095099E-6</v>
      </c>
      <c r="BS294" s="156">
        <f t="shared" si="448"/>
        <v>7.4525007194951062E-7</v>
      </c>
      <c r="BT294" s="156">
        <f t="shared" si="448"/>
        <v>2.5884739477440349E-5</v>
      </c>
      <c r="BU294" s="156">
        <f t="shared" si="448"/>
        <v>2.9755182072552228E-4</v>
      </c>
      <c r="BV294" s="156">
        <f t="shared" si="448"/>
        <v>2.6200222097267318E-5</v>
      </c>
      <c r="BW294" s="156">
        <f t="shared" si="448"/>
        <v>1.9258561342164467E-5</v>
      </c>
      <c r="BX294" s="156">
        <f t="shared" si="448"/>
        <v>1.6484726797592489E-6</v>
      </c>
      <c r="BY294" s="156">
        <f t="shared" si="448"/>
        <v>0</v>
      </c>
      <c r="BZ294" s="156">
        <f t="shared" si="448"/>
        <v>3.8703888663832946E-6</v>
      </c>
      <c r="CA294" s="129">
        <f t="shared" si="408"/>
        <v>0</v>
      </c>
      <c r="CB294" s="18"/>
      <c r="CC294" s="250"/>
      <c r="CD294" s="130">
        <f t="shared" ref="CD294:CG294" si="449">CD135/(CD$79+CD$80)</f>
        <v>0</v>
      </c>
      <c r="CE294" s="130">
        <f t="shared" si="449"/>
        <v>0</v>
      </c>
      <c r="CF294" s="130">
        <f t="shared" si="449"/>
        <v>0</v>
      </c>
      <c r="CG294" s="131">
        <f t="shared" si="449"/>
        <v>0</v>
      </c>
      <c r="CH294" s="18"/>
      <c r="CI294" s="18"/>
      <c r="CJ294" s="18"/>
    </row>
    <row r="295" spans="1:88" ht="13.95" customHeight="1" x14ac:dyDescent="0.25">
      <c r="A295" s="153" t="s">
        <v>48</v>
      </c>
      <c r="B295" s="253"/>
      <c r="C295" s="128">
        <f t="shared" ref="C295:AH295" si="450">C136/C$84</f>
        <v>3.4678610434874267E-4</v>
      </c>
      <c r="D295" s="156">
        <f t="shared" si="450"/>
        <v>4.8594651877488651E-4</v>
      </c>
      <c r="E295" s="156">
        <f t="shared" si="450"/>
        <v>4.506748262529946E-4</v>
      </c>
      <c r="F295" s="156">
        <f t="shared" si="450"/>
        <v>2.2766292153599471E-4</v>
      </c>
      <c r="G295" s="156">
        <f t="shared" si="450"/>
        <v>5.1836308333793864E-4</v>
      </c>
      <c r="H295" s="156">
        <f t="shared" si="450"/>
        <v>3.4889632416412129E-4</v>
      </c>
      <c r="I295" s="156">
        <f t="shared" si="450"/>
        <v>4.850177213650556E-4</v>
      </c>
      <c r="J295" s="156">
        <f t="shared" si="450"/>
        <v>2.2250488718252067E-4</v>
      </c>
      <c r="K295" s="156">
        <f t="shared" si="450"/>
        <v>5.9988245683465511E-4</v>
      </c>
      <c r="L295" s="156">
        <f t="shared" si="450"/>
        <v>2.7115602505044489E-4</v>
      </c>
      <c r="M295" s="156">
        <f t="shared" si="450"/>
        <v>4.9189445582052259E-4</v>
      </c>
      <c r="N295" s="156">
        <f t="shared" si="450"/>
        <v>3.6800899386759864E-4</v>
      </c>
      <c r="O295" s="156">
        <f t="shared" si="450"/>
        <v>2.4850791358462291E-4</v>
      </c>
      <c r="P295" s="156">
        <f t="shared" si="450"/>
        <v>5.9941781712384643E-4</v>
      </c>
      <c r="Q295" s="156">
        <f t="shared" si="450"/>
        <v>4.6559644623085438E-4</v>
      </c>
      <c r="R295" s="156">
        <f t="shared" si="450"/>
        <v>2.4286732094755108E-4</v>
      </c>
      <c r="S295" s="156">
        <f t="shared" si="450"/>
        <v>2.2895795844650476E-4</v>
      </c>
      <c r="T295" s="156">
        <f t="shared" si="450"/>
        <v>2.9502094963078086E-4</v>
      </c>
      <c r="U295" s="156">
        <f t="shared" si="450"/>
        <v>2.8716129637571577E-4</v>
      </c>
      <c r="V295" s="156">
        <f t="shared" si="450"/>
        <v>4.5832785710788295E-4</v>
      </c>
      <c r="W295" s="156">
        <f t="shared" si="450"/>
        <v>3.8339018687732194E-4</v>
      </c>
      <c r="X295" s="156">
        <f t="shared" si="450"/>
        <v>2.6194376529679598E-4</v>
      </c>
      <c r="Y295" s="156">
        <f t="shared" si="450"/>
        <v>2.5345970685982169E-4</v>
      </c>
      <c r="Z295" s="156">
        <f t="shared" si="450"/>
        <v>2.5181301265523481E-4</v>
      </c>
      <c r="AA295" s="156">
        <f t="shared" si="450"/>
        <v>2.8434985724542936E-4</v>
      </c>
      <c r="AB295" s="156">
        <f t="shared" si="450"/>
        <v>4.4676411513590195E-4</v>
      </c>
      <c r="AC295" s="156">
        <f t="shared" si="450"/>
        <v>2.3425728610954944E-4</v>
      </c>
      <c r="AD295" s="156">
        <f t="shared" si="450"/>
        <v>2.7268696248064516E-4</v>
      </c>
      <c r="AE295" s="156">
        <f t="shared" si="450"/>
        <v>3.4157989127063038E-4</v>
      </c>
      <c r="AF295" s="156">
        <f t="shared" si="450"/>
        <v>2.4518241334863195E-4</v>
      </c>
      <c r="AG295" s="156">
        <f t="shared" si="450"/>
        <v>2.0930757748511438E-4</v>
      </c>
      <c r="AH295" s="156">
        <f t="shared" si="450"/>
        <v>5.3241460794282709E-4</v>
      </c>
      <c r="AI295" s="156">
        <f t="shared" ref="AI295:BN295" si="451">AI136/AI$84</f>
        <v>3.4998270983653117E-4</v>
      </c>
      <c r="AJ295" s="156">
        <f t="shared" si="451"/>
        <v>2.8945921375441819E-4</v>
      </c>
      <c r="AK295" s="156">
        <f t="shared" si="451"/>
        <v>1.3323448733573977E-3</v>
      </c>
      <c r="AL295" s="156">
        <f t="shared" si="451"/>
        <v>5.1169091322067256E-4</v>
      </c>
      <c r="AM295" s="156">
        <f t="shared" si="451"/>
        <v>3.8526197851122867E-4</v>
      </c>
      <c r="AN295" s="156">
        <f t="shared" si="451"/>
        <v>3.6786402275767419E-4</v>
      </c>
      <c r="AO295" s="156">
        <f t="shared" si="451"/>
        <v>3.8637557420497225E-4</v>
      </c>
      <c r="AP295" s="156">
        <f t="shared" si="451"/>
        <v>3.6504510768644986E-4</v>
      </c>
      <c r="AQ295" s="156">
        <f t="shared" si="451"/>
        <v>2.2185443245258783E-4</v>
      </c>
      <c r="AR295" s="156">
        <f t="shared" si="451"/>
        <v>2.4089257976300904E-4</v>
      </c>
      <c r="AS295" s="156">
        <f t="shared" si="451"/>
        <v>6.0570410685328944E-4</v>
      </c>
      <c r="AT295" s="156">
        <f t="shared" si="451"/>
        <v>1.1936724071535437E-3</v>
      </c>
      <c r="AU295" s="156">
        <f t="shared" si="451"/>
        <v>3.9857281212193668E-4</v>
      </c>
      <c r="AV295" s="156">
        <f t="shared" si="451"/>
        <v>5.4708281310865826E-4</v>
      </c>
      <c r="AW295" s="156">
        <f t="shared" si="451"/>
        <v>2.9452634536674912E-4</v>
      </c>
      <c r="AX295" s="156">
        <f t="shared" si="451"/>
        <v>4.9909924742648959E-4</v>
      </c>
      <c r="AY295" s="156">
        <f t="shared" si="451"/>
        <v>7.1050293383262521E-3</v>
      </c>
      <c r="AZ295" s="156">
        <f t="shared" si="451"/>
        <v>1.1087960875157932E-3</v>
      </c>
      <c r="BA295" s="156">
        <f t="shared" si="451"/>
        <v>6.1518452481203519E-3</v>
      </c>
      <c r="BB295" s="156">
        <f t="shared" si="451"/>
        <v>1.4923517277554066E-3</v>
      </c>
      <c r="BC295" s="156">
        <f t="shared" si="451"/>
        <v>2.928411475715843E-4</v>
      </c>
      <c r="BD295" s="156">
        <f t="shared" si="451"/>
        <v>7.5853818018081331E-4</v>
      </c>
      <c r="BE295" s="156">
        <f t="shared" si="451"/>
        <v>3.7911749451469443E-4</v>
      </c>
      <c r="BF295" s="156">
        <f t="shared" si="451"/>
        <v>6.6293982644443597E-4</v>
      </c>
      <c r="BG295" s="156">
        <f t="shared" si="451"/>
        <v>4.8442907899357284E-4</v>
      </c>
      <c r="BH295" s="156">
        <f t="shared" si="451"/>
        <v>8.249247109649282E-4</v>
      </c>
      <c r="BI295" s="156">
        <f t="shared" si="451"/>
        <v>8.909066095441567E-4</v>
      </c>
      <c r="BJ295" s="156">
        <f t="shared" si="451"/>
        <v>2.950161009585249E-4</v>
      </c>
      <c r="BK295" s="156">
        <f t="shared" si="451"/>
        <v>3.7752604190966746E-4</v>
      </c>
      <c r="BL295" s="156">
        <f t="shared" si="451"/>
        <v>4.5653460513299035E-4</v>
      </c>
      <c r="BM295" s="156">
        <f t="shared" si="451"/>
        <v>5.7754435923696281E-4</v>
      </c>
      <c r="BN295" s="156">
        <f t="shared" si="451"/>
        <v>6.1879299894967825E-4</v>
      </c>
      <c r="BO295" s="156">
        <f t="shared" ref="BO295:BZ295" si="452">BO136/BO$84</f>
        <v>4.7686011274343049E-4</v>
      </c>
      <c r="BP295" s="156">
        <f t="shared" si="452"/>
        <v>3.9964985126554646E-4</v>
      </c>
      <c r="BQ295" s="156">
        <f t="shared" si="452"/>
        <v>5.5981244264077768E-4</v>
      </c>
      <c r="BR295" s="156">
        <f t="shared" si="452"/>
        <v>3.997873270862972E-4</v>
      </c>
      <c r="BS295" s="156">
        <f t="shared" si="452"/>
        <v>4.6683341271707877E-4</v>
      </c>
      <c r="BT295" s="156">
        <f t="shared" si="452"/>
        <v>9.2772007765421838E-4</v>
      </c>
      <c r="BU295" s="156">
        <f t="shared" si="452"/>
        <v>8.3680271177460008E-4</v>
      </c>
      <c r="BV295" s="156">
        <f t="shared" si="452"/>
        <v>1.7413070686183817E-3</v>
      </c>
      <c r="BW295" s="156">
        <f t="shared" si="452"/>
        <v>5.6260069435660337E-4</v>
      </c>
      <c r="BX295" s="156">
        <f t="shared" si="452"/>
        <v>2.3674128272192512E-3</v>
      </c>
      <c r="BY295" s="156">
        <f t="shared" si="452"/>
        <v>3.5928599358293667E-4</v>
      </c>
      <c r="BZ295" s="156">
        <f t="shared" si="452"/>
        <v>4.2080662718271703E-4</v>
      </c>
      <c r="CA295" s="129">
        <f t="shared" si="408"/>
        <v>0</v>
      </c>
      <c r="CB295" s="18"/>
      <c r="CC295" s="250"/>
      <c r="CD295" s="130">
        <f t="shared" ref="CD295:CG295" si="453">CD136/(CD$79+CD$80)</f>
        <v>1.5821788166683584E-3</v>
      </c>
      <c r="CE295" s="130">
        <f t="shared" si="453"/>
        <v>0</v>
      </c>
      <c r="CF295" s="130">
        <f t="shared" si="453"/>
        <v>1.4191307464286568E-8</v>
      </c>
      <c r="CG295" s="131">
        <f t="shared" si="453"/>
        <v>0</v>
      </c>
      <c r="CH295" s="18"/>
      <c r="CI295" s="18"/>
      <c r="CJ295" s="18"/>
    </row>
    <row r="296" spans="1:88" ht="13.95" customHeight="1" x14ac:dyDescent="0.25">
      <c r="A296" s="153" t="s">
        <v>49</v>
      </c>
      <c r="B296" s="253"/>
      <c r="C296" s="128">
        <f t="shared" ref="C296:AH296" si="454">C137/C$84</f>
        <v>1.6953026108015965E-3</v>
      </c>
      <c r="D296" s="156">
        <f t="shared" si="454"/>
        <v>1.6838268431713393E-4</v>
      </c>
      <c r="E296" s="156">
        <f t="shared" si="454"/>
        <v>2.8281213793204113E-4</v>
      </c>
      <c r="F296" s="156">
        <f t="shared" si="454"/>
        <v>2.892700753483846E-4</v>
      </c>
      <c r="G296" s="156">
        <f t="shared" si="454"/>
        <v>1.9220204213653904E-4</v>
      </c>
      <c r="H296" s="156">
        <f t="shared" si="454"/>
        <v>6.0017361388623343E-5</v>
      </c>
      <c r="I296" s="156">
        <f t="shared" si="454"/>
        <v>6.7246352611377339E-5</v>
      </c>
      <c r="J296" s="156">
        <f t="shared" si="454"/>
        <v>3.3030904948791813E-5</v>
      </c>
      <c r="K296" s="156">
        <f t="shared" si="454"/>
        <v>8.3054148601192395E-5</v>
      </c>
      <c r="L296" s="156">
        <f t="shared" si="454"/>
        <v>9.7399065757083312E-5</v>
      </c>
      <c r="M296" s="156">
        <f t="shared" si="454"/>
        <v>7.3166404535313217E-5</v>
      </c>
      <c r="N296" s="156">
        <f t="shared" si="454"/>
        <v>1.3877551105874879E-4</v>
      </c>
      <c r="O296" s="156">
        <f t="shared" si="454"/>
        <v>8.4432381774647032E-5</v>
      </c>
      <c r="P296" s="156">
        <f t="shared" si="454"/>
        <v>1.093784565476175E-4</v>
      </c>
      <c r="Q296" s="156">
        <f t="shared" si="454"/>
        <v>8.7760390478233488E-5</v>
      </c>
      <c r="R296" s="156">
        <f t="shared" si="454"/>
        <v>1.1520991582760872E-4</v>
      </c>
      <c r="S296" s="156">
        <f t="shared" si="454"/>
        <v>1.1079720862605131E-4</v>
      </c>
      <c r="T296" s="156">
        <f t="shared" si="454"/>
        <v>1.1443378533206444E-4</v>
      </c>
      <c r="U296" s="156">
        <f t="shared" si="454"/>
        <v>1.0216968109821566E-4</v>
      </c>
      <c r="V296" s="156">
        <f t="shared" si="454"/>
        <v>5.6372909048270675E-5</v>
      </c>
      <c r="W296" s="156">
        <f t="shared" si="454"/>
        <v>1.0036894956941844E-4</v>
      </c>
      <c r="X296" s="156">
        <f t="shared" si="454"/>
        <v>5.2536423005103276E-5</v>
      </c>
      <c r="Y296" s="156">
        <f t="shared" si="454"/>
        <v>7.9568934691680657E-5</v>
      </c>
      <c r="Z296" s="156">
        <f t="shared" si="454"/>
        <v>9.0699823211103295E-5</v>
      </c>
      <c r="AA296" s="156">
        <f t="shared" si="454"/>
        <v>6.5470357815938888E-5</v>
      </c>
      <c r="AB296" s="156">
        <f t="shared" si="454"/>
        <v>8.4217020758270791E-5</v>
      </c>
      <c r="AC296" s="156">
        <f t="shared" si="454"/>
        <v>7.5499741337614753E-5</v>
      </c>
      <c r="AD296" s="156">
        <f t="shared" si="454"/>
        <v>9.2476448145610099E-5</v>
      </c>
      <c r="AE296" s="156">
        <f t="shared" si="454"/>
        <v>9.8319087663323735E-5</v>
      </c>
      <c r="AF296" s="156">
        <f t="shared" si="454"/>
        <v>1.9014092067086582E-4</v>
      </c>
      <c r="AG296" s="156">
        <f t="shared" si="454"/>
        <v>1.9388491388094807E-4</v>
      </c>
      <c r="AH296" s="156">
        <f t="shared" si="454"/>
        <v>2.4832770892855741E-4</v>
      </c>
      <c r="AI296" s="156">
        <f t="shared" ref="AI296:BN296" si="455">AI137/AI$84</f>
        <v>4.7963622150234893E-4</v>
      </c>
      <c r="AJ296" s="156">
        <f t="shared" si="455"/>
        <v>2.3954058219420753E-4</v>
      </c>
      <c r="AK296" s="156">
        <f t="shared" si="455"/>
        <v>2.9599607114446464E-4</v>
      </c>
      <c r="AL296" s="156">
        <f t="shared" si="455"/>
        <v>3.0454220731463555E-4</v>
      </c>
      <c r="AM296" s="156">
        <f t="shared" si="455"/>
        <v>1.3307206707977785E-4</v>
      </c>
      <c r="AN296" s="156">
        <f t="shared" si="455"/>
        <v>4.1112864187470527E-4</v>
      </c>
      <c r="AO296" s="156">
        <f t="shared" si="455"/>
        <v>2.4586670538043231E-4</v>
      </c>
      <c r="AP296" s="156">
        <f t="shared" si="455"/>
        <v>2.9282295135870848E-4</v>
      </c>
      <c r="AQ296" s="156">
        <f t="shared" si="455"/>
        <v>1.8471288322285712E-4</v>
      </c>
      <c r="AR296" s="156">
        <f t="shared" si="455"/>
        <v>1.3435965932485466E-4</v>
      </c>
      <c r="AS296" s="156">
        <f t="shared" si="455"/>
        <v>5.6772674553736996E-5</v>
      </c>
      <c r="AT296" s="156">
        <f t="shared" si="455"/>
        <v>6.2175142408174236E-5</v>
      </c>
      <c r="AU296" s="156">
        <f t="shared" si="455"/>
        <v>4.8352183106612237E-5</v>
      </c>
      <c r="AV296" s="156">
        <f t="shared" si="455"/>
        <v>4.2755658372623908E-5</v>
      </c>
      <c r="AW296" s="156">
        <f t="shared" si="455"/>
        <v>4.0443991443321137E-5</v>
      </c>
      <c r="AX296" s="156">
        <f t="shared" si="455"/>
        <v>2.7376751968541624E-5</v>
      </c>
      <c r="AY296" s="156">
        <f t="shared" si="455"/>
        <v>1.2265494103067911E-3</v>
      </c>
      <c r="AZ296" s="156">
        <f t="shared" si="455"/>
        <v>1.0489601012449936E-2</v>
      </c>
      <c r="BA296" s="156">
        <f t="shared" si="455"/>
        <v>5.4167190863952785E-3</v>
      </c>
      <c r="BB296" s="156">
        <f t="shared" si="455"/>
        <v>2.5692998617609552E-4</v>
      </c>
      <c r="BC296" s="156">
        <f t="shared" si="455"/>
        <v>3.9059475410561402E-5</v>
      </c>
      <c r="BD296" s="156">
        <f t="shared" si="455"/>
        <v>5.1469028244725255E-5</v>
      </c>
      <c r="BE296" s="156">
        <f t="shared" si="455"/>
        <v>1.1792963749961767E-4</v>
      </c>
      <c r="BF296" s="156">
        <f t="shared" si="455"/>
        <v>1.8409596018121929E-4</v>
      </c>
      <c r="BG296" s="156">
        <f t="shared" si="455"/>
        <v>1.5088948960571808E-4</v>
      </c>
      <c r="BH296" s="156">
        <f t="shared" si="455"/>
        <v>1.7504817692208801E-5</v>
      </c>
      <c r="BI296" s="156">
        <f t="shared" si="455"/>
        <v>0</v>
      </c>
      <c r="BJ296" s="156">
        <f t="shared" si="455"/>
        <v>4.2337315753651297E-4</v>
      </c>
      <c r="BK296" s="156">
        <f t="shared" si="455"/>
        <v>1.1026404272459495E-4</v>
      </c>
      <c r="BL296" s="156">
        <f t="shared" si="455"/>
        <v>2.3561125439017119E-4</v>
      </c>
      <c r="BM296" s="156">
        <f t="shared" si="455"/>
        <v>2.6530195921697935E-4</v>
      </c>
      <c r="BN296" s="156">
        <f t="shared" si="455"/>
        <v>2.4116663313257798E-4</v>
      </c>
      <c r="BO296" s="156">
        <f t="shared" ref="BO296:BZ296" si="456">BO137/BO$84</f>
        <v>4.7190709057791863E-4</v>
      </c>
      <c r="BP296" s="156">
        <f t="shared" si="456"/>
        <v>2.4922425696222297E-4</v>
      </c>
      <c r="BQ296" s="156">
        <f t="shared" si="456"/>
        <v>1.0984297422297766E-4</v>
      </c>
      <c r="BR296" s="156">
        <f t="shared" si="456"/>
        <v>1.04875335974439E-4</v>
      </c>
      <c r="BS296" s="156">
        <f t="shared" si="456"/>
        <v>1.7416932563855326E-4</v>
      </c>
      <c r="BT296" s="156">
        <f t="shared" si="456"/>
        <v>7.9306435845774689E-5</v>
      </c>
      <c r="BU296" s="156">
        <f t="shared" si="456"/>
        <v>5.1651437318633018E-4</v>
      </c>
      <c r="BV296" s="156">
        <f t="shared" si="456"/>
        <v>5.391199546937698E-5</v>
      </c>
      <c r="BW296" s="156">
        <f t="shared" si="456"/>
        <v>2.9149940777074975E-4</v>
      </c>
      <c r="BX296" s="156">
        <f t="shared" si="456"/>
        <v>1.3641111425007784E-4</v>
      </c>
      <c r="BY296" s="156">
        <f t="shared" si="456"/>
        <v>8.0179852549325467E-5</v>
      </c>
      <c r="BZ296" s="156">
        <f t="shared" si="456"/>
        <v>2.0249425808179266E-5</v>
      </c>
      <c r="CA296" s="129">
        <f t="shared" si="408"/>
        <v>0</v>
      </c>
      <c r="CB296" s="18"/>
      <c r="CC296" s="250"/>
      <c r="CD296" s="130">
        <f t="shared" ref="CD296:CG296" si="457">CD137/(CD$79+CD$80)</f>
        <v>1.7008247619938845E-3</v>
      </c>
      <c r="CE296" s="130">
        <f t="shared" si="457"/>
        <v>0</v>
      </c>
      <c r="CF296" s="130">
        <f t="shared" si="457"/>
        <v>5.6765229857146267E-9</v>
      </c>
      <c r="CG296" s="131">
        <f t="shared" si="457"/>
        <v>0</v>
      </c>
      <c r="CH296" s="18"/>
      <c r="CI296" s="18"/>
      <c r="CJ296" s="18"/>
    </row>
    <row r="297" spans="1:88" ht="13.95" customHeight="1" x14ac:dyDescent="0.25">
      <c r="A297" s="153" t="s">
        <v>50</v>
      </c>
      <c r="B297" s="253"/>
      <c r="C297" s="128">
        <f t="shared" ref="C297:AH297" si="458">C138/C$84</f>
        <v>4.082466682357595E-7</v>
      </c>
      <c r="D297" s="156">
        <f t="shared" si="458"/>
        <v>2.6065431008844264E-7</v>
      </c>
      <c r="E297" s="156">
        <f t="shared" si="458"/>
        <v>0</v>
      </c>
      <c r="F297" s="156">
        <f t="shared" si="458"/>
        <v>1.1857443829999726E-6</v>
      </c>
      <c r="G297" s="156">
        <f t="shared" si="458"/>
        <v>7.4496915556798079E-7</v>
      </c>
      <c r="H297" s="156">
        <f t="shared" si="458"/>
        <v>1.8396323530298389E-6</v>
      </c>
      <c r="I297" s="156">
        <f t="shared" si="458"/>
        <v>3.4031554965271931E-6</v>
      </c>
      <c r="J297" s="156">
        <f t="shared" si="458"/>
        <v>5.3236623360690104E-6</v>
      </c>
      <c r="K297" s="156">
        <f t="shared" si="458"/>
        <v>2.4502241194654931E-6</v>
      </c>
      <c r="L297" s="156">
        <f t="shared" si="458"/>
        <v>2.3792138200203557E-6</v>
      </c>
      <c r="M297" s="156">
        <f t="shared" si="458"/>
        <v>2.1235631923177976E-6</v>
      </c>
      <c r="N297" s="156">
        <f t="shared" si="458"/>
        <v>8.8992217578224416E-7</v>
      </c>
      <c r="O297" s="156">
        <f t="shared" si="458"/>
        <v>4.3077745803391344E-7</v>
      </c>
      <c r="P297" s="156">
        <f t="shared" si="458"/>
        <v>8.9532160884816507E-7</v>
      </c>
      <c r="Q297" s="156">
        <f t="shared" si="458"/>
        <v>2.6599431343170383E-7</v>
      </c>
      <c r="R297" s="156">
        <f t="shared" si="458"/>
        <v>1.1302379763648204E-6</v>
      </c>
      <c r="S297" s="156">
        <f t="shared" si="458"/>
        <v>3.8538159522104798E-6</v>
      </c>
      <c r="T297" s="156">
        <f t="shared" si="458"/>
        <v>2.1172198648270721E-6</v>
      </c>
      <c r="U297" s="156">
        <f t="shared" si="458"/>
        <v>2.016638223748247E-6</v>
      </c>
      <c r="V297" s="156">
        <f t="shared" si="458"/>
        <v>4.7353243600547366E-6</v>
      </c>
      <c r="W297" s="156">
        <f t="shared" si="458"/>
        <v>1.3213232073316426E-6</v>
      </c>
      <c r="X297" s="156">
        <f t="shared" si="458"/>
        <v>1.1927187925482906E-6</v>
      </c>
      <c r="Y297" s="156">
        <f t="shared" si="458"/>
        <v>2.3666834678159464E-6</v>
      </c>
      <c r="Z297" s="156">
        <f t="shared" si="458"/>
        <v>2.4831970159884426E-6</v>
      </c>
      <c r="AA297" s="156">
        <f t="shared" si="458"/>
        <v>2.8606793287728714E-6</v>
      </c>
      <c r="AB297" s="156">
        <f t="shared" si="458"/>
        <v>4.0545807386128363E-6</v>
      </c>
      <c r="AC297" s="156">
        <f t="shared" si="458"/>
        <v>1.3570954105023623E-6</v>
      </c>
      <c r="AD297" s="156">
        <f t="shared" si="458"/>
        <v>9.9437041016785057E-7</v>
      </c>
      <c r="AE297" s="156">
        <f t="shared" si="458"/>
        <v>2.7220123937797268E-6</v>
      </c>
      <c r="AF297" s="156">
        <f t="shared" si="458"/>
        <v>2.3934938030273567E-7</v>
      </c>
      <c r="AG297" s="156">
        <f t="shared" si="458"/>
        <v>1.1016188288690231E-6</v>
      </c>
      <c r="AH297" s="156">
        <f t="shared" si="458"/>
        <v>3.032212024811859E-6</v>
      </c>
      <c r="AI297" s="156">
        <f t="shared" ref="AI297:BN297" si="459">AI138/AI$84</f>
        <v>9.0857401307510688E-7</v>
      </c>
      <c r="AJ297" s="156">
        <f t="shared" si="459"/>
        <v>1.4406281013551759E-6</v>
      </c>
      <c r="AK297" s="156">
        <f t="shared" si="459"/>
        <v>5.0757449022967766E-6</v>
      </c>
      <c r="AL297" s="156">
        <f t="shared" si="459"/>
        <v>4.4602902761492245E-6</v>
      </c>
      <c r="AM297" s="156">
        <f t="shared" si="459"/>
        <v>1.92850493882798E-6</v>
      </c>
      <c r="AN297" s="156">
        <f t="shared" si="459"/>
        <v>1.5811414000919116E-6</v>
      </c>
      <c r="AO297" s="156">
        <f t="shared" si="459"/>
        <v>1.0478627505558911E-6</v>
      </c>
      <c r="AP297" s="156">
        <f t="shared" si="459"/>
        <v>1.90333177530927E-6</v>
      </c>
      <c r="AQ297" s="156">
        <f t="shared" si="459"/>
        <v>1.26015970600872E-6</v>
      </c>
      <c r="AR297" s="156">
        <f t="shared" si="459"/>
        <v>7.520740239648715E-7</v>
      </c>
      <c r="AS297" s="156">
        <f t="shared" si="459"/>
        <v>3.4032665945019456E-6</v>
      </c>
      <c r="AT297" s="156">
        <f t="shared" si="459"/>
        <v>1.8065416680341184E-6</v>
      </c>
      <c r="AU297" s="156">
        <f t="shared" si="459"/>
        <v>2.2179900507620293E-7</v>
      </c>
      <c r="AV297" s="156">
        <f t="shared" si="459"/>
        <v>4.8790935189960218E-6</v>
      </c>
      <c r="AW297" s="156">
        <f t="shared" si="459"/>
        <v>2.0096393263762054E-6</v>
      </c>
      <c r="AX297" s="156">
        <f t="shared" si="459"/>
        <v>6.1262661747785448E-6</v>
      </c>
      <c r="AY297" s="156">
        <f t="shared" si="459"/>
        <v>4.177703849646409E-5</v>
      </c>
      <c r="AZ297" s="156">
        <f t="shared" si="459"/>
        <v>3.0277336875383877E-4</v>
      </c>
      <c r="BA297" s="156">
        <f t="shared" si="459"/>
        <v>5.5885680506253144E-4</v>
      </c>
      <c r="BB297" s="156">
        <f t="shared" si="459"/>
        <v>2.0964484667336514E-6</v>
      </c>
      <c r="BC297" s="156">
        <f t="shared" si="459"/>
        <v>6.9245885033305318E-6</v>
      </c>
      <c r="BD297" s="156">
        <f t="shared" si="459"/>
        <v>1.2703287990649828E-5</v>
      </c>
      <c r="BE297" s="156">
        <f t="shared" si="459"/>
        <v>1.6825629808862647E-6</v>
      </c>
      <c r="BF297" s="156">
        <f t="shared" si="459"/>
        <v>1.2032415698118907E-6</v>
      </c>
      <c r="BG297" s="156">
        <f t="shared" si="459"/>
        <v>1.8720252481747062E-6</v>
      </c>
      <c r="BH297" s="156">
        <f t="shared" si="459"/>
        <v>1.9540261609907497E-6</v>
      </c>
      <c r="BI297" s="156">
        <f t="shared" si="459"/>
        <v>0</v>
      </c>
      <c r="BJ297" s="156">
        <f t="shared" si="459"/>
        <v>1.2105983853307758E-6</v>
      </c>
      <c r="BK297" s="156">
        <f t="shared" si="459"/>
        <v>2.7993692088049493E-6</v>
      </c>
      <c r="BL297" s="156">
        <f t="shared" si="459"/>
        <v>3.3695778955690053E-6</v>
      </c>
      <c r="BM297" s="156">
        <f t="shared" si="459"/>
        <v>2.9663028001898435E-5</v>
      </c>
      <c r="BN297" s="156">
        <f t="shared" si="459"/>
        <v>5.0339855984642165E-6</v>
      </c>
      <c r="BO297" s="156">
        <f t="shared" ref="BO297:BZ297" si="460">BO138/BO$84</f>
        <v>2.2657441820958576E-6</v>
      </c>
      <c r="BP297" s="156">
        <f t="shared" si="460"/>
        <v>2.052395795819056E-6</v>
      </c>
      <c r="BQ297" s="156">
        <f t="shared" si="460"/>
        <v>3.952723250583713E-7</v>
      </c>
      <c r="BR297" s="156">
        <f t="shared" si="460"/>
        <v>2.1724826317086796E-6</v>
      </c>
      <c r="BS297" s="156">
        <f t="shared" si="460"/>
        <v>3.5070591621153441E-7</v>
      </c>
      <c r="BT297" s="156">
        <f t="shared" si="460"/>
        <v>1.6522174134536393E-6</v>
      </c>
      <c r="BU297" s="156">
        <f t="shared" si="460"/>
        <v>1.9770885098041348E-6</v>
      </c>
      <c r="BV297" s="156">
        <f t="shared" si="460"/>
        <v>0</v>
      </c>
      <c r="BW297" s="156">
        <f t="shared" si="460"/>
        <v>2.0512077169169254E-6</v>
      </c>
      <c r="BX297" s="156">
        <f t="shared" si="460"/>
        <v>8.2423633987962443E-7</v>
      </c>
      <c r="BY297" s="156">
        <f t="shared" si="460"/>
        <v>1.486188184417525E-6</v>
      </c>
      <c r="BZ297" s="156">
        <f t="shared" si="460"/>
        <v>8.4138888399636837E-7</v>
      </c>
      <c r="CA297" s="129">
        <f t="shared" si="408"/>
        <v>0</v>
      </c>
      <c r="CB297" s="18"/>
      <c r="CC297" s="250"/>
      <c r="CD297" s="130">
        <f t="shared" ref="CD297:CG297" si="461">CD138/(CD$79+CD$80)</f>
        <v>7.7790169623232383E-5</v>
      </c>
      <c r="CE297" s="130">
        <f t="shared" si="461"/>
        <v>0</v>
      </c>
      <c r="CF297" s="130">
        <f t="shared" si="461"/>
        <v>1.4191307464286568E-8</v>
      </c>
      <c r="CG297" s="131">
        <f t="shared" si="461"/>
        <v>0</v>
      </c>
      <c r="CH297" s="18"/>
      <c r="CI297" s="18"/>
      <c r="CJ297" s="18"/>
    </row>
    <row r="298" spans="1:88" ht="13.95" customHeight="1" x14ac:dyDescent="0.25">
      <c r="A298" s="153" t="s">
        <v>51</v>
      </c>
      <c r="B298" s="253"/>
      <c r="C298" s="128">
        <f t="shared" ref="C298:AH298" si="462">C139/C$84</f>
        <v>5.2012569564989264E-5</v>
      </c>
      <c r="D298" s="156">
        <f t="shared" si="462"/>
        <v>1.4031890359761162E-4</v>
      </c>
      <c r="E298" s="156">
        <f t="shared" si="462"/>
        <v>2.1530214371600552E-4</v>
      </c>
      <c r="F298" s="156">
        <f t="shared" si="462"/>
        <v>1.1084132275869307E-5</v>
      </c>
      <c r="G298" s="156">
        <f t="shared" si="462"/>
        <v>7.111069212239816E-5</v>
      </c>
      <c r="H298" s="156">
        <f t="shared" si="462"/>
        <v>8.4185080536270247E-5</v>
      </c>
      <c r="I298" s="156">
        <f t="shared" si="462"/>
        <v>2.5310401812838246E-4</v>
      </c>
      <c r="J298" s="156">
        <f t="shared" si="462"/>
        <v>3.1893577086086159E-4</v>
      </c>
      <c r="K298" s="156">
        <f t="shared" si="462"/>
        <v>1.2901697346288991E-4</v>
      </c>
      <c r="L298" s="156">
        <f t="shared" si="462"/>
        <v>2.5011485282963987E-4</v>
      </c>
      <c r="M298" s="156">
        <f t="shared" si="462"/>
        <v>2.513526614907066E-4</v>
      </c>
      <c r="N298" s="156">
        <f t="shared" si="462"/>
        <v>6.6953556636793551E-5</v>
      </c>
      <c r="O298" s="156">
        <f t="shared" si="462"/>
        <v>1.3095634724230969E-4</v>
      </c>
      <c r="P298" s="156">
        <f t="shared" si="462"/>
        <v>1.1437733553035309E-4</v>
      </c>
      <c r="Q298" s="156">
        <f t="shared" si="462"/>
        <v>7.470893616585121E-5</v>
      </c>
      <c r="R298" s="156">
        <f t="shared" si="462"/>
        <v>1.2001342722715921E-4</v>
      </c>
      <c r="S298" s="156">
        <f t="shared" si="462"/>
        <v>1.1630265998635199E-4</v>
      </c>
      <c r="T298" s="156">
        <f t="shared" si="462"/>
        <v>1.0115894667038795E-4</v>
      </c>
      <c r="U298" s="156">
        <f t="shared" si="462"/>
        <v>1.1724455098861097E-4</v>
      </c>
      <c r="V298" s="156">
        <f t="shared" si="462"/>
        <v>3.1343337430838494E-5</v>
      </c>
      <c r="W298" s="156">
        <f t="shared" si="462"/>
        <v>9.9037303524529519E-5</v>
      </c>
      <c r="X298" s="156">
        <f t="shared" si="462"/>
        <v>4.5181323784388813E-5</v>
      </c>
      <c r="Y298" s="156">
        <f t="shared" si="462"/>
        <v>1.0707083309141049E-4</v>
      </c>
      <c r="Z298" s="156">
        <f t="shared" si="462"/>
        <v>1.0806115828051402E-4</v>
      </c>
      <c r="AA298" s="156">
        <f t="shared" si="462"/>
        <v>4.4252957779792579E-5</v>
      </c>
      <c r="AB298" s="156">
        <f t="shared" si="462"/>
        <v>1.9077647079493941E-4</v>
      </c>
      <c r="AC298" s="156">
        <f t="shared" si="462"/>
        <v>2.0474046093112307E-4</v>
      </c>
      <c r="AD298" s="156">
        <f t="shared" si="462"/>
        <v>1.8525885641742569E-4</v>
      </c>
      <c r="AE298" s="156">
        <f t="shared" si="462"/>
        <v>2.0491309300373786E-4</v>
      </c>
      <c r="AF298" s="156">
        <f t="shared" si="462"/>
        <v>1.9881068711294269E-4</v>
      </c>
      <c r="AG298" s="156">
        <f t="shared" si="462"/>
        <v>2.525155159951994E-4</v>
      </c>
      <c r="AH298" s="156">
        <f t="shared" si="462"/>
        <v>1.1438758466014392E-4</v>
      </c>
      <c r="AI298" s="156">
        <f t="shared" ref="AI298:BN298" si="463">AI139/AI$84</f>
        <v>4.4283897397280711E-4</v>
      </c>
      <c r="AJ298" s="156">
        <f t="shared" si="463"/>
        <v>1.2290466970718073E-4</v>
      </c>
      <c r="AK298" s="156">
        <f t="shared" si="463"/>
        <v>9.7490557444828796E-4</v>
      </c>
      <c r="AL298" s="156">
        <f t="shared" si="463"/>
        <v>1.1070337403496122E-3</v>
      </c>
      <c r="AM298" s="156">
        <f t="shared" si="463"/>
        <v>9.3928643122217093E-4</v>
      </c>
      <c r="AN298" s="156">
        <f t="shared" si="463"/>
        <v>1.7352389308992563E-4</v>
      </c>
      <c r="AO298" s="156">
        <f t="shared" si="463"/>
        <v>2.3472125612451961E-4</v>
      </c>
      <c r="AP298" s="156">
        <f t="shared" si="463"/>
        <v>4.7171292687466632E-4</v>
      </c>
      <c r="AQ298" s="156">
        <f t="shared" si="463"/>
        <v>1.5572257756515126E-3</v>
      </c>
      <c r="AR298" s="156">
        <f t="shared" si="463"/>
        <v>7.9239173142351001E-4</v>
      </c>
      <c r="AS298" s="156">
        <f t="shared" si="463"/>
        <v>4.0738648075549426E-4</v>
      </c>
      <c r="AT298" s="156">
        <f t="shared" si="463"/>
        <v>3.7892211487015632E-4</v>
      </c>
      <c r="AU298" s="156">
        <f t="shared" si="463"/>
        <v>1.8176428465994831E-4</v>
      </c>
      <c r="AV298" s="156">
        <f t="shared" si="463"/>
        <v>6.6653967149317699E-4</v>
      </c>
      <c r="AW298" s="156">
        <f t="shared" si="463"/>
        <v>1.2672146161433597E-4</v>
      </c>
      <c r="AX298" s="156">
        <f t="shared" si="463"/>
        <v>4.0127043444799468E-4</v>
      </c>
      <c r="AY298" s="156">
        <f t="shared" si="463"/>
        <v>9.0875369333460261E-4</v>
      </c>
      <c r="AZ298" s="156">
        <f t="shared" si="463"/>
        <v>9.5219786819641472E-4</v>
      </c>
      <c r="BA298" s="156">
        <f t="shared" si="463"/>
        <v>1.3828874887447621E-3</v>
      </c>
      <c r="BB298" s="156">
        <f t="shared" si="463"/>
        <v>8.7103598826075788E-4</v>
      </c>
      <c r="BC298" s="156">
        <f t="shared" si="463"/>
        <v>9.5073700853519978E-4</v>
      </c>
      <c r="BD298" s="156">
        <f t="shared" si="463"/>
        <v>1.3235928571344738E-3</v>
      </c>
      <c r="BE298" s="156">
        <f t="shared" si="463"/>
        <v>1.4719421506003235E-4</v>
      </c>
      <c r="BF298" s="156">
        <f t="shared" si="463"/>
        <v>1.9756301005872929E-4</v>
      </c>
      <c r="BG298" s="156">
        <f t="shared" si="463"/>
        <v>1.2149018400370167E-4</v>
      </c>
      <c r="BH298" s="156">
        <f t="shared" si="463"/>
        <v>9.325589853328354E-4</v>
      </c>
      <c r="BI298" s="156">
        <f t="shared" si="463"/>
        <v>0</v>
      </c>
      <c r="BJ298" s="156">
        <f t="shared" si="463"/>
        <v>5.9218437682430456E-4</v>
      </c>
      <c r="BK298" s="156">
        <f t="shared" si="463"/>
        <v>9.1733773767422189E-4</v>
      </c>
      <c r="BL298" s="156">
        <f t="shared" si="463"/>
        <v>3.7903431353490322E-4</v>
      </c>
      <c r="BM298" s="156">
        <f t="shared" si="463"/>
        <v>8.4596874245414201E-4</v>
      </c>
      <c r="BN298" s="156">
        <f t="shared" si="463"/>
        <v>1.0821520118052383E-3</v>
      </c>
      <c r="BO298" s="156">
        <f t="shared" ref="BO298:BZ298" si="464">BO139/BO$84</f>
        <v>3.0039552516577872E-4</v>
      </c>
      <c r="BP298" s="156">
        <f t="shared" si="464"/>
        <v>2.0946951725865466E-4</v>
      </c>
      <c r="BQ298" s="156">
        <f t="shared" si="464"/>
        <v>3.877087357032003E-4</v>
      </c>
      <c r="BR298" s="156">
        <f t="shared" si="464"/>
        <v>1.0045963871836135E-3</v>
      </c>
      <c r="BS298" s="156">
        <f t="shared" si="464"/>
        <v>1.8593112530349762E-3</v>
      </c>
      <c r="BT298" s="156">
        <f t="shared" si="464"/>
        <v>6.1306445024760317E-4</v>
      </c>
      <c r="BU298" s="156">
        <f t="shared" si="464"/>
        <v>1.1664822207844395E-3</v>
      </c>
      <c r="BV298" s="156">
        <f t="shared" si="464"/>
        <v>3.7274854437612231E-3</v>
      </c>
      <c r="BW298" s="156">
        <f t="shared" si="464"/>
        <v>1.7160631671695543E-3</v>
      </c>
      <c r="BX298" s="156">
        <f t="shared" si="464"/>
        <v>3.2145217255305351E-5</v>
      </c>
      <c r="BY298" s="156">
        <f t="shared" si="464"/>
        <v>3.3981692836706709E-4</v>
      </c>
      <c r="BZ298" s="156">
        <f t="shared" si="464"/>
        <v>1.0470243272450808E-3</v>
      </c>
      <c r="CA298" s="129">
        <f t="shared" si="408"/>
        <v>0</v>
      </c>
      <c r="CB298" s="18"/>
      <c r="CC298" s="250"/>
      <c r="CD298" s="130">
        <f t="shared" ref="CD298:CG298" si="465">CD139/(CD$79+CD$80)</f>
        <v>0</v>
      </c>
      <c r="CE298" s="130">
        <f t="shared" si="465"/>
        <v>0</v>
      </c>
      <c r="CF298" s="130">
        <f t="shared" si="465"/>
        <v>1.7881047405001075E-7</v>
      </c>
      <c r="CG298" s="131">
        <f t="shared" si="465"/>
        <v>0</v>
      </c>
      <c r="CH298" s="18"/>
      <c r="CI298" s="18"/>
      <c r="CJ298" s="18"/>
    </row>
    <row r="299" spans="1:88" ht="13.95" customHeight="1" x14ac:dyDescent="0.25">
      <c r="A299" s="153" t="s">
        <v>52</v>
      </c>
      <c r="B299" s="253"/>
      <c r="C299" s="128">
        <f t="shared" ref="C299:AH299" si="466">C140/C$84</f>
        <v>1.0888521851373757E-4</v>
      </c>
      <c r="D299" s="156">
        <f t="shared" si="466"/>
        <v>6.1114747238736841E-4</v>
      </c>
      <c r="E299" s="156">
        <f t="shared" si="466"/>
        <v>0</v>
      </c>
      <c r="F299" s="156">
        <f t="shared" si="466"/>
        <v>7.4134800989302625E-4</v>
      </c>
      <c r="G299" s="156">
        <f t="shared" si="466"/>
        <v>1.0725524106118282E-3</v>
      </c>
      <c r="H299" s="156">
        <f t="shared" si="466"/>
        <v>4.5698631922617706E-4</v>
      </c>
      <c r="I299" s="156">
        <f t="shared" si="466"/>
        <v>2.5290436633925288E-3</v>
      </c>
      <c r="J299" s="156">
        <f t="shared" si="466"/>
        <v>7.3829517215211595E-4</v>
      </c>
      <c r="K299" s="156">
        <f t="shared" si="466"/>
        <v>1.0641576822299271E-3</v>
      </c>
      <c r="L299" s="156">
        <f t="shared" si="466"/>
        <v>1.157487523439903E-3</v>
      </c>
      <c r="M299" s="156">
        <f t="shared" si="466"/>
        <v>9.6042971652554945E-4</v>
      </c>
      <c r="N299" s="156">
        <f t="shared" si="466"/>
        <v>1.1091047728410829E-3</v>
      </c>
      <c r="O299" s="156">
        <f t="shared" si="466"/>
        <v>8.1576580626386912E-4</v>
      </c>
      <c r="P299" s="156">
        <f t="shared" si="466"/>
        <v>1.5226436161144459E-3</v>
      </c>
      <c r="Q299" s="156">
        <f t="shared" si="466"/>
        <v>8.8505174555842254E-5</v>
      </c>
      <c r="R299" s="156">
        <f t="shared" si="466"/>
        <v>9.3585191598239185E-4</v>
      </c>
      <c r="S299" s="156">
        <f t="shared" si="466"/>
        <v>2.3316274692293444E-3</v>
      </c>
      <c r="T299" s="156">
        <f t="shared" si="466"/>
        <v>4.8237542404958879E-4</v>
      </c>
      <c r="U299" s="156">
        <f t="shared" si="466"/>
        <v>9.928648743970825E-4</v>
      </c>
      <c r="V299" s="156">
        <f t="shared" si="466"/>
        <v>1.4099669880244614E-3</v>
      </c>
      <c r="W299" s="156">
        <f t="shared" si="466"/>
        <v>1.7816288568482464E-3</v>
      </c>
      <c r="X299" s="156">
        <f t="shared" si="466"/>
        <v>3.6954403922454535E-4</v>
      </c>
      <c r="Y299" s="156">
        <f t="shared" si="466"/>
        <v>1.6413381725848811E-3</v>
      </c>
      <c r="Z299" s="156">
        <f t="shared" si="466"/>
        <v>1.0678378490025556E-3</v>
      </c>
      <c r="AA299" s="156">
        <f t="shared" si="466"/>
        <v>5.5765732547833605E-4</v>
      </c>
      <c r="AB299" s="156">
        <f t="shared" si="466"/>
        <v>1.970399533317757E-3</v>
      </c>
      <c r="AC299" s="156">
        <f t="shared" si="466"/>
        <v>1.5276370670888259E-3</v>
      </c>
      <c r="AD299" s="156">
        <f t="shared" si="466"/>
        <v>6.0258846856171735E-4</v>
      </c>
      <c r="AE299" s="156">
        <f t="shared" si="466"/>
        <v>1.0567287634635906E-3</v>
      </c>
      <c r="AF299" s="156">
        <f t="shared" si="466"/>
        <v>1.1889370198823186E-3</v>
      </c>
      <c r="AG299" s="156">
        <f t="shared" si="466"/>
        <v>1.8164470467129225E-4</v>
      </c>
      <c r="AH299" s="156">
        <f t="shared" si="466"/>
        <v>9.4071764093904466E-4</v>
      </c>
      <c r="AI299" s="156">
        <f t="shared" ref="AI299:BN299" si="467">AI140/AI$84</f>
        <v>7.1522946309272417E-4</v>
      </c>
      <c r="AJ299" s="156">
        <f t="shared" si="467"/>
        <v>5.215594435858034E-4</v>
      </c>
      <c r="AK299" s="156">
        <f t="shared" si="467"/>
        <v>2.162000183909885E-3</v>
      </c>
      <c r="AL299" s="156">
        <f t="shared" si="467"/>
        <v>2.3864156162606725E-3</v>
      </c>
      <c r="AM299" s="156">
        <f t="shared" si="467"/>
        <v>1.6473195114056955E-3</v>
      </c>
      <c r="AN299" s="156">
        <f t="shared" si="467"/>
        <v>8.8047899046569825E-4</v>
      </c>
      <c r="AO299" s="156">
        <f t="shared" si="467"/>
        <v>4.730624017509596E-4</v>
      </c>
      <c r="AP299" s="156">
        <f t="shared" si="467"/>
        <v>8.5557084436463035E-4</v>
      </c>
      <c r="AQ299" s="156">
        <f t="shared" si="467"/>
        <v>6.7120085393727619E-4</v>
      </c>
      <c r="AR299" s="156">
        <f t="shared" si="467"/>
        <v>7.3605157736735905E-4</v>
      </c>
      <c r="AS299" s="156">
        <f t="shared" si="467"/>
        <v>2.2070183865345117E-3</v>
      </c>
      <c r="AT299" s="156">
        <f t="shared" si="467"/>
        <v>9.0281919860005059E-4</v>
      </c>
      <c r="AU299" s="156">
        <f t="shared" si="467"/>
        <v>9.433111685890911E-4</v>
      </c>
      <c r="AV299" s="156">
        <f t="shared" si="467"/>
        <v>2.585665204742257E-3</v>
      </c>
      <c r="AW299" s="156">
        <f t="shared" si="467"/>
        <v>1.1680115112140616E-3</v>
      </c>
      <c r="AX299" s="156">
        <f t="shared" si="467"/>
        <v>2.6752638601986057E-3</v>
      </c>
      <c r="AY299" s="156">
        <f t="shared" si="467"/>
        <v>1.0035348720806938E-3</v>
      </c>
      <c r="AZ299" s="156">
        <f t="shared" si="467"/>
        <v>1.9095652428276881E-3</v>
      </c>
      <c r="BA299" s="156">
        <f t="shared" si="467"/>
        <v>5.4163217477496599E-3</v>
      </c>
      <c r="BB299" s="156">
        <f t="shared" si="467"/>
        <v>1.1363006354143555E-3</v>
      </c>
      <c r="BC299" s="156">
        <f t="shared" si="467"/>
        <v>2.6989198211489703E-2</v>
      </c>
      <c r="BD299" s="156">
        <f t="shared" si="467"/>
        <v>5.7718493619255806E-3</v>
      </c>
      <c r="BE299" s="156">
        <f t="shared" si="467"/>
        <v>5.789819400299701E-4</v>
      </c>
      <c r="BF299" s="156">
        <f t="shared" si="467"/>
        <v>6.7154763152078259E-4</v>
      </c>
      <c r="BG299" s="156">
        <f t="shared" si="467"/>
        <v>8.5030364994080892E-4</v>
      </c>
      <c r="BH299" s="156">
        <f t="shared" si="467"/>
        <v>5.1359135108940621E-3</v>
      </c>
      <c r="BI299" s="156">
        <f t="shared" si="467"/>
        <v>3.8518511631428315E-4</v>
      </c>
      <c r="BJ299" s="156">
        <f t="shared" si="467"/>
        <v>2.2845672917838032E-3</v>
      </c>
      <c r="BK299" s="156">
        <f t="shared" si="467"/>
        <v>1.3312555792983536E-3</v>
      </c>
      <c r="BL299" s="156">
        <f t="shared" si="467"/>
        <v>4.0348535313608345E-4</v>
      </c>
      <c r="BM299" s="156">
        <f t="shared" si="467"/>
        <v>3.069030549796418E-3</v>
      </c>
      <c r="BN299" s="156">
        <f t="shared" si="467"/>
        <v>2.6479538707244619E-3</v>
      </c>
      <c r="BO299" s="156">
        <f t="shared" ref="BO299:BZ299" si="468">BO140/BO$84</f>
        <v>3.4190079707826491E-3</v>
      </c>
      <c r="BP299" s="156">
        <f t="shared" si="468"/>
        <v>4.8643448975379779E-4</v>
      </c>
      <c r="BQ299" s="156">
        <f t="shared" si="468"/>
        <v>1.0953957600590583E-3</v>
      </c>
      <c r="BR299" s="156">
        <f t="shared" si="468"/>
        <v>9.7427257147311242E-4</v>
      </c>
      <c r="BS299" s="156">
        <f t="shared" si="468"/>
        <v>3.4066695935997926E-4</v>
      </c>
      <c r="BT299" s="156">
        <f t="shared" si="468"/>
        <v>2.853471262890738E-3</v>
      </c>
      <c r="BU299" s="156">
        <f t="shared" si="468"/>
        <v>3.5350342555297929E-3</v>
      </c>
      <c r="BV299" s="156">
        <f t="shared" si="468"/>
        <v>2.1166756352042309E-3</v>
      </c>
      <c r="BW299" s="156">
        <f t="shared" si="468"/>
        <v>2.4568910209293838E-3</v>
      </c>
      <c r="BX299" s="156">
        <f t="shared" si="468"/>
        <v>5.1514771242476523E-6</v>
      </c>
      <c r="BY299" s="156">
        <f t="shared" si="468"/>
        <v>7.6746757843320983E-4</v>
      </c>
      <c r="BZ299" s="156">
        <f t="shared" si="468"/>
        <v>1.4125797510453695E-3</v>
      </c>
      <c r="CA299" s="129">
        <f t="shared" si="408"/>
        <v>0</v>
      </c>
      <c r="CB299" s="18"/>
      <c r="CC299" s="250"/>
      <c r="CD299" s="130">
        <f t="shared" ref="CD299:CG299" si="469">CD140/(CD$79+CD$80)</f>
        <v>2.6315101031863537E-3</v>
      </c>
      <c r="CE299" s="130">
        <f t="shared" si="469"/>
        <v>0</v>
      </c>
      <c r="CF299" s="130">
        <f t="shared" si="469"/>
        <v>6.7842964463768363E-5</v>
      </c>
      <c r="CG299" s="131">
        <f t="shared" si="469"/>
        <v>0</v>
      </c>
      <c r="CH299" s="18"/>
      <c r="CI299" s="18"/>
      <c r="CJ299" s="18"/>
    </row>
    <row r="300" spans="1:88" ht="13.95" customHeight="1" x14ac:dyDescent="0.25">
      <c r="A300" s="153" t="s">
        <v>53</v>
      </c>
      <c r="B300" s="253"/>
      <c r="C300" s="128">
        <f t="shared" ref="C300:AH300" si="470">C141/C$84</f>
        <v>8.5517956836624095E-5</v>
      </c>
      <c r="D300" s="156">
        <f t="shared" si="470"/>
        <v>4.0531745218752829E-4</v>
      </c>
      <c r="E300" s="156">
        <f t="shared" si="470"/>
        <v>2.7916294905549869E-4</v>
      </c>
      <c r="F300" s="156">
        <f t="shared" si="470"/>
        <v>2.9133223949273239E-4</v>
      </c>
      <c r="G300" s="156">
        <f t="shared" si="470"/>
        <v>6.0457633197776039E-4</v>
      </c>
      <c r="H300" s="156">
        <f t="shared" si="470"/>
        <v>5.4099619668120634E-4</v>
      </c>
      <c r="I300" s="156">
        <f t="shared" si="470"/>
        <v>1.2137467516880785E-3</v>
      </c>
      <c r="J300" s="156">
        <f t="shared" si="470"/>
        <v>1.786572683054432E-3</v>
      </c>
      <c r="K300" s="156">
        <f t="shared" si="470"/>
        <v>7.7215855957914279E-4</v>
      </c>
      <c r="L300" s="156">
        <f t="shared" si="470"/>
        <v>5.3822277634772979E-4</v>
      </c>
      <c r="M300" s="156">
        <f t="shared" si="470"/>
        <v>4.8899868783099836E-4</v>
      </c>
      <c r="N300" s="156">
        <f t="shared" si="470"/>
        <v>4.5888575252395019E-4</v>
      </c>
      <c r="O300" s="156">
        <f t="shared" si="470"/>
        <v>1.0137967377071063E-3</v>
      </c>
      <c r="P300" s="156">
        <f t="shared" si="470"/>
        <v>3.6843976406783405E-3</v>
      </c>
      <c r="Q300" s="156">
        <f t="shared" si="470"/>
        <v>2.630329100754975E-4</v>
      </c>
      <c r="R300" s="156">
        <f t="shared" si="470"/>
        <v>1.1558319179085553E-3</v>
      </c>
      <c r="S300" s="156">
        <f t="shared" si="470"/>
        <v>3.5169511471020817E-3</v>
      </c>
      <c r="T300" s="156">
        <f t="shared" si="470"/>
        <v>1.6890088998960653E-3</v>
      </c>
      <c r="U300" s="156">
        <f t="shared" si="470"/>
        <v>1.6116134082162354E-3</v>
      </c>
      <c r="V300" s="156">
        <f t="shared" si="470"/>
        <v>1.1696090103880776E-3</v>
      </c>
      <c r="W300" s="156">
        <f t="shared" si="470"/>
        <v>1.4363299405572819E-3</v>
      </c>
      <c r="X300" s="156">
        <f t="shared" si="470"/>
        <v>1.1590954818250245E-3</v>
      </c>
      <c r="Y300" s="156">
        <f t="shared" si="470"/>
        <v>1.4361277133572489E-3</v>
      </c>
      <c r="Z300" s="156">
        <f t="shared" si="470"/>
        <v>1.5305332116342326E-3</v>
      </c>
      <c r="AA300" s="156">
        <f t="shared" si="470"/>
        <v>1.6882261527974734E-3</v>
      </c>
      <c r="AB300" s="156">
        <f t="shared" si="470"/>
        <v>2.3922026357815736E-3</v>
      </c>
      <c r="AC300" s="156">
        <f t="shared" si="470"/>
        <v>6.7368478003021438E-4</v>
      </c>
      <c r="AD300" s="156">
        <f t="shared" si="470"/>
        <v>5.4514445486663623E-4</v>
      </c>
      <c r="AE300" s="156">
        <f t="shared" si="470"/>
        <v>5.5039090602226079E-4</v>
      </c>
      <c r="AF300" s="156">
        <f t="shared" si="470"/>
        <v>9.3456181737168898E-4</v>
      </c>
      <c r="AG300" s="156">
        <f t="shared" si="470"/>
        <v>3.3183207167376903E-4</v>
      </c>
      <c r="AH300" s="156">
        <f t="shared" si="470"/>
        <v>8.3605404656536639E-4</v>
      </c>
      <c r="AI300" s="156">
        <f t="shared" ref="AI300:BN300" si="471">AI141/AI$84</f>
        <v>2.1187945984911492E-4</v>
      </c>
      <c r="AJ300" s="156">
        <f t="shared" si="471"/>
        <v>5.2586686375230519E-4</v>
      </c>
      <c r="AK300" s="156">
        <f t="shared" si="471"/>
        <v>9.6339928055323178E-4</v>
      </c>
      <c r="AL300" s="156">
        <f t="shared" si="471"/>
        <v>2.5842257683279424E-3</v>
      </c>
      <c r="AM300" s="156">
        <f t="shared" si="471"/>
        <v>2.6551488756162921E-3</v>
      </c>
      <c r="AN300" s="156">
        <f t="shared" si="471"/>
        <v>3.9002550463960761E-4</v>
      </c>
      <c r="AO300" s="156">
        <f t="shared" si="471"/>
        <v>3.0597592316232024E-4</v>
      </c>
      <c r="AP300" s="156">
        <f t="shared" si="471"/>
        <v>8.0572444207832963E-4</v>
      </c>
      <c r="AQ300" s="156">
        <f t="shared" si="471"/>
        <v>2.8813883298864649E-3</v>
      </c>
      <c r="AR300" s="156">
        <f t="shared" si="471"/>
        <v>8.7443319777689532E-4</v>
      </c>
      <c r="AS300" s="156">
        <f t="shared" si="471"/>
        <v>2.6820834643397607E-3</v>
      </c>
      <c r="AT300" s="156">
        <f t="shared" si="471"/>
        <v>6.1648234421664294E-4</v>
      </c>
      <c r="AU300" s="156">
        <f t="shared" si="471"/>
        <v>6.7282728189866161E-4</v>
      </c>
      <c r="AV300" s="156">
        <f t="shared" si="471"/>
        <v>2.5296365621046866E-3</v>
      </c>
      <c r="AW300" s="156">
        <f t="shared" si="471"/>
        <v>2.4527647978421587E-3</v>
      </c>
      <c r="AX300" s="156">
        <f t="shared" si="471"/>
        <v>8.1824899825975756E-3</v>
      </c>
      <c r="AY300" s="156">
        <f t="shared" si="471"/>
        <v>1.2899863539542556E-3</v>
      </c>
      <c r="AZ300" s="156">
        <f t="shared" si="471"/>
        <v>1.519960977371263E-3</v>
      </c>
      <c r="BA300" s="156">
        <f t="shared" si="471"/>
        <v>4.1753834901521354E-3</v>
      </c>
      <c r="BB300" s="156">
        <f t="shared" si="471"/>
        <v>1.2201585740837014E-3</v>
      </c>
      <c r="BC300" s="156">
        <f t="shared" si="471"/>
        <v>2.4563403945450672E-3</v>
      </c>
      <c r="BD300" s="156">
        <f t="shared" si="471"/>
        <v>8.6413080962265774E-3</v>
      </c>
      <c r="BE300" s="156">
        <f t="shared" si="471"/>
        <v>6.7642036408379431E-4</v>
      </c>
      <c r="BF300" s="156">
        <f t="shared" si="471"/>
        <v>9.172865828939033E-4</v>
      </c>
      <c r="BG300" s="156">
        <f t="shared" si="471"/>
        <v>8.8055387611017742E-4</v>
      </c>
      <c r="BH300" s="156">
        <f t="shared" si="471"/>
        <v>3.290172966324883E-3</v>
      </c>
      <c r="BI300" s="156">
        <f t="shared" si="471"/>
        <v>0</v>
      </c>
      <c r="BJ300" s="156">
        <f t="shared" si="471"/>
        <v>1.7028411398994395E-3</v>
      </c>
      <c r="BK300" s="156">
        <f t="shared" si="471"/>
        <v>2.2274425273949381E-3</v>
      </c>
      <c r="BL300" s="156">
        <f t="shared" si="471"/>
        <v>4.0132536730559047E-4</v>
      </c>
      <c r="BM300" s="156">
        <f t="shared" si="471"/>
        <v>4.9615317363175377E-4</v>
      </c>
      <c r="BN300" s="156">
        <f t="shared" si="471"/>
        <v>7.0708136175351227E-4</v>
      </c>
      <c r="BO300" s="156">
        <f t="shared" ref="BO300:BZ300" si="472">BO141/BO$84</f>
        <v>1.3100743627778909E-3</v>
      </c>
      <c r="BP300" s="156">
        <f t="shared" si="472"/>
        <v>1.9234118974314034E-4</v>
      </c>
      <c r="BQ300" s="156">
        <f t="shared" si="472"/>
        <v>3.287704271262534E-4</v>
      </c>
      <c r="BR300" s="156">
        <f t="shared" si="472"/>
        <v>4.1534836547155938E-4</v>
      </c>
      <c r="BS300" s="156">
        <f t="shared" si="472"/>
        <v>2.0625891697190869E-4</v>
      </c>
      <c r="BT300" s="156">
        <f t="shared" si="472"/>
        <v>0</v>
      </c>
      <c r="BU300" s="156">
        <f t="shared" si="472"/>
        <v>0</v>
      </c>
      <c r="BV300" s="156">
        <f t="shared" si="472"/>
        <v>2.5182444238873473E-3</v>
      </c>
      <c r="BW300" s="156">
        <f t="shared" si="472"/>
        <v>1.328043040719436E-3</v>
      </c>
      <c r="BX300" s="156">
        <f t="shared" si="472"/>
        <v>2.9693114144163467E-4</v>
      </c>
      <c r="BY300" s="156">
        <f t="shared" si="472"/>
        <v>6.7502667336243982E-4</v>
      </c>
      <c r="BZ300" s="156">
        <f t="shared" si="472"/>
        <v>2.7692912801933805E-4</v>
      </c>
      <c r="CA300" s="129">
        <f t="shared" si="408"/>
        <v>0</v>
      </c>
      <c r="CB300" s="18"/>
      <c r="CC300" s="250"/>
      <c r="CD300" s="130">
        <f t="shared" ref="CD300:CG300" si="473">CD141/(CD$79+CD$80)</f>
        <v>0</v>
      </c>
      <c r="CE300" s="130">
        <f t="shared" si="473"/>
        <v>0</v>
      </c>
      <c r="CF300" s="130">
        <f t="shared" si="473"/>
        <v>7.5866729704075987E-6</v>
      </c>
      <c r="CG300" s="131">
        <f t="shared" si="473"/>
        <v>0</v>
      </c>
      <c r="CH300" s="18"/>
      <c r="CI300" s="18"/>
      <c r="CJ300" s="18"/>
    </row>
    <row r="301" spans="1:88" ht="13.95" customHeight="1" x14ac:dyDescent="0.25">
      <c r="A301" s="153" t="s">
        <v>54</v>
      </c>
      <c r="B301" s="253"/>
      <c r="C301" s="128">
        <f t="shared" ref="C301:AH301" si="474">C142/C$84</f>
        <v>9.4431342426438175E-5</v>
      </c>
      <c r="D301" s="156">
        <f t="shared" si="474"/>
        <v>3.4562761517727489E-4</v>
      </c>
      <c r="E301" s="156">
        <f t="shared" si="474"/>
        <v>1.3866917730861374E-4</v>
      </c>
      <c r="F301" s="156">
        <f t="shared" si="474"/>
        <v>8.1847294889163312E-4</v>
      </c>
      <c r="G301" s="156">
        <f t="shared" si="474"/>
        <v>6.1656356293553606E-4</v>
      </c>
      <c r="H301" s="156">
        <f t="shared" si="474"/>
        <v>1.8554006303415232E-4</v>
      </c>
      <c r="I301" s="156">
        <f t="shared" si="474"/>
        <v>2.3096081969764551E-5</v>
      </c>
      <c r="J301" s="156">
        <f t="shared" si="474"/>
        <v>8.4331651096365912E-5</v>
      </c>
      <c r="K301" s="156">
        <f t="shared" si="474"/>
        <v>4.0318860338239078E-4</v>
      </c>
      <c r="L301" s="156">
        <f t="shared" si="474"/>
        <v>4.338347699943367E-4</v>
      </c>
      <c r="M301" s="156">
        <f t="shared" si="474"/>
        <v>5.5791796598167595E-4</v>
      </c>
      <c r="N301" s="156">
        <f t="shared" si="474"/>
        <v>2.5496270336161295E-4</v>
      </c>
      <c r="O301" s="156">
        <f t="shared" si="474"/>
        <v>4.0338507967305106E-4</v>
      </c>
      <c r="P301" s="156">
        <f t="shared" si="474"/>
        <v>1.7361778198247333E-3</v>
      </c>
      <c r="Q301" s="156">
        <f t="shared" si="474"/>
        <v>3.3735172124831558E-4</v>
      </c>
      <c r="R301" s="156">
        <f t="shared" si="474"/>
        <v>6.1929605328631858E-4</v>
      </c>
      <c r="S301" s="156">
        <f t="shared" si="474"/>
        <v>1.0377775814166793E-4</v>
      </c>
      <c r="T301" s="156">
        <f t="shared" si="474"/>
        <v>5.5377639090206979E-4</v>
      </c>
      <c r="U301" s="156">
        <f t="shared" si="474"/>
        <v>7.9743066712928217E-4</v>
      </c>
      <c r="V301" s="156">
        <f t="shared" si="474"/>
        <v>4.1683739604835571E-4</v>
      </c>
      <c r="W301" s="156">
        <f t="shared" si="474"/>
        <v>5.848300389700538E-4</v>
      </c>
      <c r="X301" s="156">
        <f t="shared" si="474"/>
        <v>5.1883267475850636E-5</v>
      </c>
      <c r="Y301" s="156">
        <f t="shared" si="474"/>
        <v>3.8533752870877742E-4</v>
      </c>
      <c r="Z301" s="156">
        <f t="shared" si="474"/>
        <v>1.8777178249374303E-3</v>
      </c>
      <c r="AA301" s="156">
        <f t="shared" si="474"/>
        <v>3.8730095238937199E-4</v>
      </c>
      <c r="AB301" s="156">
        <f t="shared" si="474"/>
        <v>9.5008118453224753E-4</v>
      </c>
      <c r="AC301" s="156">
        <f t="shared" si="474"/>
        <v>4.5786137324665537E-4</v>
      </c>
      <c r="AD301" s="156">
        <f t="shared" si="474"/>
        <v>1.4670788051553363E-4</v>
      </c>
      <c r="AE301" s="156">
        <f t="shared" si="474"/>
        <v>5.1744366800795096E-4</v>
      </c>
      <c r="AF301" s="156">
        <f t="shared" si="474"/>
        <v>7.8989727895834299E-4</v>
      </c>
      <c r="AG301" s="156">
        <f t="shared" si="474"/>
        <v>5.0796868220071619E-4</v>
      </c>
      <c r="AH301" s="156">
        <f t="shared" si="474"/>
        <v>7.2281661129394421E-4</v>
      </c>
      <c r="AI301" s="156">
        <f t="shared" ref="AI301:BN301" si="475">AI142/AI$84</f>
        <v>2.7593392777090997E-4</v>
      </c>
      <c r="AJ301" s="156">
        <f t="shared" si="475"/>
        <v>1.1722489216862502E-3</v>
      </c>
      <c r="AK301" s="156">
        <f t="shared" si="475"/>
        <v>4.4288736534702321E-5</v>
      </c>
      <c r="AL301" s="156">
        <f t="shared" si="475"/>
        <v>3.8938505880626488E-4</v>
      </c>
      <c r="AM301" s="156">
        <f t="shared" si="475"/>
        <v>2.5727510196120592E-4</v>
      </c>
      <c r="AN301" s="156">
        <f t="shared" si="475"/>
        <v>2.3492063374672042E-4</v>
      </c>
      <c r="AO301" s="156">
        <f t="shared" si="475"/>
        <v>2.6368037213988246E-4</v>
      </c>
      <c r="AP301" s="156">
        <f t="shared" si="475"/>
        <v>1.9472012515938373E-4</v>
      </c>
      <c r="AQ301" s="156">
        <f t="shared" si="475"/>
        <v>2.3167041332044521E-4</v>
      </c>
      <c r="AR301" s="156">
        <f t="shared" si="475"/>
        <v>3.186831929374625E-4</v>
      </c>
      <c r="AS301" s="156">
        <f t="shared" si="475"/>
        <v>1.3922454250235231E-6</v>
      </c>
      <c r="AT301" s="156">
        <f t="shared" si="475"/>
        <v>6.9250763941307867E-6</v>
      </c>
      <c r="AU301" s="156">
        <f t="shared" si="475"/>
        <v>0</v>
      </c>
      <c r="AV301" s="156">
        <f t="shared" si="475"/>
        <v>1.8308625002537821E-3</v>
      </c>
      <c r="AW301" s="156">
        <f t="shared" si="475"/>
        <v>1.7072799549986946E-4</v>
      </c>
      <c r="AX301" s="156">
        <f t="shared" si="475"/>
        <v>2.670669160567522E-5</v>
      </c>
      <c r="AY301" s="156">
        <f t="shared" si="475"/>
        <v>5.1750065346314693E-4</v>
      </c>
      <c r="AZ301" s="156">
        <f t="shared" si="475"/>
        <v>9.704382404950218E-4</v>
      </c>
      <c r="BA301" s="156">
        <f t="shared" si="475"/>
        <v>1.2821124747497499E-3</v>
      </c>
      <c r="BB301" s="156">
        <f t="shared" si="475"/>
        <v>5.1648692454678714E-4</v>
      </c>
      <c r="BC301" s="156">
        <f t="shared" si="475"/>
        <v>7.8238857115552773E-5</v>
      </c>
      <c r="BD301" s="156">
        <f t="shared" si="475"/>
        <v>1.9096355751161643E-4</v>
      </c>
      <c r="BE301" s="156">
        <f t="shared" si="475"/>
        <v>6.3114439701419589E-3</v>
      </c>
      <c r="BF301" s="156">
        <f t="shared" si="475"/>
        <v>7.3120064627030289E-4</v>
      </c>
      <c r="BG301" s="156">
        <f t="shared" si="475"/>
        <v>1.442310361661876E-5</v>
      </c>
      <c r="BH301" s="156">
        <f t="shared" si="475"/>
        <v>3.9544604433050301E-4</v>
      </c>
      <c r="BI301" s="156">
        <f t="shared" si="475"/>
        <v>0</v>
      </c>
      <c r="BJ301" s="156">
        <f t="shared" si="475"/>
        <v>2.4205242160030345E-4</v>
      </c>
      <c r="BK301" s="156">
        <f t="shared" si="475"/>
        <v>5.3576816246294727E-5</v>
      </c>
      <c r="BL301" s="156">
        <f t="shared" si="475"/>
        <v>2.0908662839171775E-5</v>
      </c>
      <c r="BM301" s="156">
        <f t="shared" si="475"/>
        <v>3.2681371202091608E-5</v>
      </c>
      <c r="BN301" s="156">
        <f t="shared" si="475"/>
        <v>1.1874010337792826E-3</v>
      </c>
      <c r="BO301" s="156">
        <f t="shared" ref="BO301:BZ301" si="476">BO142/BO$84</f>
        <v>1.5591481476329402E-4</v>
      </c>
      <c r="BP301" s="156">
        <f t="shared" si="476"/>
        <v>5.0375470793314887E-4</v>
      </c>
      <c r="BQ301" s="156">
        <f t="shared" si="476"/>
        <v>2.5952298899035173E-4</v>
      </c>
      <c r="BR301" s="156">
        <f t="shared" si="476"/>
        <v>2.9936810664945603E-4</v>
      </c>
      <c r="BS301" s="156">
        <f t="shared" si="476"/>
        <v>0</v>
      </c>
      <c r="BT301" s="156">
        <f t="shared" si="476"/>
        <v>8.2060131534864079E-5</v>
      </c>
      <c r="BU301" s="156">
        <f t="shared" si="476"/>
        <v>4.0480887238239662E-4</v>
      </c>
      <c r="BV301" s="156">
        <f t="shared" si="476"/>
        <v>6.3989003968325953E-5</v>
      </c>
      <c r="BW301" s="156">
        <f t="shared" si="476"/>
        <v>1.7948067523023098E-4</v>
      </c>
      <c r="BX301" s="156">
        <f t="shared" si="476"/>
        <v>3.5503980340314824E-4</v>
      </c>
      <c r="BY301" s="156">
        <f t="shared" si="476"/>
        <v>0</v>
      </c>
      <c r="BZ301" s="156">
        <f t="shared" si="476"/>
        <v>3.4592301650704024E-4</v>
      </c>
      <c r="CA301" s="129">
        <f t="shared" si="408"/>
        <v>0</v>
      </c>
      <c r="CB301" s="18"/>
      <c r="CC301" s="250"/>
      <c r="CD301" s="130">
        <f t="shared" ref="CD301:CG301" si="477">CD142/(CD$79+CD$80)</f>
        <v>0</v>
      </c>
      <c r="CE301" s="130">
        <f t="shared" si="477"/>
        <v>0</v>
      </c>
      <c r="CF301" s="130">
        <f t="shared" si="477"/>
        <v>5.5880401836748E-3</v>
      </c>
      <c r="CG301" s="131">
        <f t="shared" si="477"/>
        <v>0</v>
      </c>
      <c r="CH301" s="18"/>
      <c r="CI301" s="18"/>
      <c r="CJ301" s="18"/>
    </row>
    <row r="302" spans="1:88" ht="13.95" customHeight="1" x14ac:dyDescent="0.25">
      <c r="A302" s="153" t="s">
        <v>55</v>
      </c>
      <c r="B302" s="253"/>
      <c r="C302" s="128">
        <f t="shared" ref="C302:AH302" si="478">C143/C$84</f>
        <v>0</v>
      </c>
      <c r="D302" s="156">
        <f t="shared" si="478"/>
        <v>0</v>
      </c>
      <c r="E302" s="156">
        <f t="shared" si="478"/>
        <v>0</v>
      </c>
      <c r="F302" s="156">
        <f t="shared" si="478"/>
        <v>0</v>
      </c>
      <c r="G302" s="156">
        <f t="shared" si="478"/>
        <v>0</v>
      </c>
      <c r="H302" s="156">
        <f t="shared" si="478"/>
        <v>0</v>
      </c>
      <c r="I302" s="156">
        <f t="shared" si="478"/>
        <v>0</v>
      </c>
      <c r="J302" s="156">
        <f t="shared" si="478"/>
        <v>0</v>
      </c>
      <c r="K302" s="156">
        <f t="shared" si="478"/>
        <v>0</v>
      </c>
      <c r="L302" s="156">
        <f t="shared" si="478"/>
        <v>0</v>
      </c>
      <c r="M302" s="156">
        <f t="shared" si="478"/>
        <v>0</v>
      </c>
      <c r="N302" s="156">
        <f t="shared" si="478"/>
        <v>0</v>
      </c>
      <c r="O302" s="156">
        <f t="shared" si="478"/>
        <v>0</v>
      </c>
      <c r="P302" s="156">
        <f t="shared" si="478"/>
        <v>0</v>
      </c>
      <c r="Q302" s="156">
        <f t="shared" si="478"/>
        <v>0</v>
      </c>
      <c r="R302" s="156">
        <f t="shared" si="478"/>
        <v>0</v>
      </c>
      <c r="S302" s="156">
        <f t="shared" si="478"/>
        <v>0</v>
      </c>
      <c r="T302" s="156">
        <f t="shared" si="478"/>
        <v>0</v>
      </c>
      <c r="U302" s="156">
        <f t="shared" si="478"/>
        <v>0</v>
      </c>
      <c r="V302" s="156">
        <f t="shared" si="478"/>
        <v>0</v>
      </c>
      <c r="W302" s="156">
        <f t="shared" si="478"/>
        <v>0</v>
      </c>
      <c r="X302" s="156">
        <f t="shared" si="478"/>
        <v>0</v>
      </c>
      <c r="Y302" s="156">
        <f t="shared" si="478"/>
        <v>0</v>
      </c>
      <c r="Z302" s="156">
        <f t="shared" si="478"/>
        <v>0</v>
      </c>
      <c r="AA302" s="156">
        <f t="shared" si="478"/>
        <v>0</v>
      </c>
      <c r="AB302" s="156">
        <f t="shared" si="478"/>
        <v>0</v>
      </c>
      <c r="AC302" s="156">
        <f t="shared" si="478"/>
        <v>0</v>
      </c>
      <c r="AD302" s="156">
        <f t="shared" si="478"/>
        <v>0</v>
      </c>
      <c r="AE302" s="156">
        <f t="shared" si="478"/>
        <v>0</v>
      </c>
      <c r="AF302" s="156">
        <f t="shared" si="478"/>
        <v>0</v>
      </c>
      <c r="AG302" s="156">
        <f t="shared" si="478"/>
        <v>0</v>
      </c>
      <c r="AH302" s="156">
        <f t="shared" si="478"/>
        <v>0</v>
      </c>
      <c r="AI302" s="156">
        <f t="shared" ref="AI302:BN302" si="479">AI143/AI$84</f>
        <v>0</v>
      </c>
      <c r="AJ302" s="156">
        <f t="shared" si="479"/>
        <v>0</v>
      </c>
      <c r="AK302" s="156">
        <f t="shared" si="479"/>
        <v>0</v>
      </c>
      <c r="AL302" s="156">
        <f t="shared" si="479"/>
        <v>0</v>
      </c>
      <c r="AM302" s="156">
        <f t="shared" si="479"/>
        <v>0</v>
      </c>
      <c r="AN302" s="156">
        <f t="shared" si="479"/>
        <v>0</v>
      </c>
      <c r="AO302" s="156">
        <f t="shared" si="479"/>
        <v>0</v>
      </c>
      <c r="AP302" s="156">
        <f t="shared" si="479"/>
        <v>0</v>
      </c>
      <c r="AQ302" s="156">
        <f t="shared" si="479"/>
        <v>0</v>
      </c>
      <c r="AR302" s="156">
        <f t="shared" si="479"/>
        <v>0</v>
      </c>
      <c r="AS302" s="156">
        <f t="shared" si="479"/>
        <v>0</v>
      </c>
      <c r="AT302" s="156">
        <f t="shared" si="479"/>
        <v>0</v>
      </c>
      <c r="AU302" s="156">
        <f t="shared" si="479"/>
        <v>0</v>
      </c>
      <c r="AV302" s="156">
        <f t="shared" si="479"/>
        <v>0</v>
      </c>
      <c r="AW302" s="156">
        <f t="shared" si="479"/>
        <v>0</v>
      </c>
      <c r="AX302" s="156">
        <f t="shared" si="479"/>
        <v>0</v>
      </c>
      <c r="AY302" s="156">
        <f t="shared" si="479"/>
        <v>0</v>
      </c>
      <c r="AZ302" s="156">
        <f t="shared" si="479"/>
        <v>0</v>
      </c>
      <c r="BA302" s="156">
        <f t="shared" si="479"/>
        <v>0</v>
      </c>
      <c r="BB302" s="156">
        <f t="shared" si="479"/>
        <v>0</v>
      </c>
      <c r="BC302" s="156">
        <f t="shared" si="479"/>
        <v>0</v>
      </c>
      <c r="BD302" s="156">
        <f t="shared" si="479"/>
        <v>0</v>
      </c>
      <c r="BE302" s="156">
        <f t="shared" si="479"/>
        <v>0</v>
      </c>
      <c r="BF302" s="156">
        <f t="shared" si="479"/>
        <v>1.6572801483282162E-3</v>
      </c>
      <c r="BG302" s="156">
        <f t="shared" si="479"/>
        <v>0</v>
      </c>
      <c r="BH302" s="156">
        <f t="shared" si="479"/>
        <v>0</v>
      </c>
      <c r="BI302" s="156">
        <f t="shared" si="479"/>
        <v>0</v>
      </c>
      <c r="BJ302" s="156">
        <f t="shared" si="479"/>
        <v>0</v>
      </c>
      <c r="BK302" s="156">
        <f t="shared" si="479"/>
        <v>0</v>
      </c>
      <c r="BL302" s="156">
        <f t="shared" si="479"/>
        <v>0</v>
      </c>
      <c r="BM302" s="156">
        <f t="shared" si="479"/>
        <v>0</v>
      </c>
      <c r="BN302" s="156">
        <f t="shared" si="479"/>
        <v>0</v>
      </c>
      <c r="BO302" s="156">
        <f t="shared" ref="BO302:BZ302" si="480">BO143/BO$84</f>
        <v>0</v>
      </c>
      <c r="BP302" s="156">
        <f t="shared" si="480"/>
        <v>0</v>
      </c>
      <c r="BQ302" s="156">
        <f t="shared" si="480"/>
        <v>0</v>
      </c>
      <c r="BR302" s="156">
        <f t="shared" si="480"/>
        <v>0</v>
      </c>
      <c r="BS302" s="156">
        <f t="shared" si="480"/>
        <v>0</v>
      </c>
      <c r="BT302" s="156">
        <f t="shared" si="480"/>
        <v>0</v>
      </c>
      <c r="BU302" s="156">
        <f t="shared" si="480"/>
        <v>0</v>
      </c>
      <c r="BV302" s="156">
        <f t="shared" si="480"/>
        <v>0</v>
      </c>
      <c r="BW302" s="156">
        <f t="shared" si="480"/>
        <v>0</v>
      </c>
      <c r="BX302" s="156">
        <f t="shared" si="480"/>
        <v>0</v>
      </c>
      <c r="BY302" s="156">
        <f t="shared" si="480"/>
        <v>0</v>
      </c>
      <c r="BZ302" s="156">
        <f t="shared" si="480"/>
        <v>0</v>
      </c>
      <c r="CA302" s="129">
        <f t="shared" si="408"/>
        <v>0</v>
      </c>
      <c r="CB302" s="18"/>
      <c r="CC302" s="250"/>
      <c r="CD302" s="130">
        <f t="shared" ref="CD302:CG302" si="481">CD143/(CD$79+CD$80)</f>
        <v>0</v>
      </c>
      <c r="CE302" s="130">
        <f t="shared" si="481"/>
        <v>0</v>
      </c>
      <c r="CF302" s="130">
        <f t="shared" si="481"/>
        <v>2.7578535447646659E-4</v>
      </c>
      <c r="CG302" s="131">
        <f t="shared" si="481"/>
        <v>1.0330371264659132E-3</v>
      </c>
      <c r="CH302" s="18"/>
      <c r="CI302" s="18"/>
      <c r="CJ302" s="18"/>
    </row>
    <row r="303" spans="1:88" ht="13.95" customHeight="1" x14ac:dyDescent="0.25">
      <c r="A303" s="153" t="s">
        <v>56</v>
      </c>
      <c r="B303" s="253"/>
      <c r="C303" s="128">
        <f t="shared" ref="C303:AH303" si="482">C144/C$84</f>
        <v>3.8608470624581827E-5</v>
      </c>
      <c r="D303" s="156">
        <f t="shared" si="482"/>
        <v>7.1853704814380678E-5</v>
      </c>
      <c r="E303" s="156">
        <f t="shared" si="482"/>
        <v>0</v>
      </c>
      <c r="F303" s="156">
        <f t="shared" si="482"/>
        <v>1.7512928995873505E-4</v>
      </c>
      <c r="G303" s="156">
        <f t="shared" si="482"/>
        <v>3.9083790879843787E-4</v>
      </c>
      <c r="H303" s="156">
        <f t="shared" si="482"/>
        <v>4.1785934875963486E-4</v>
      </c>
      <c r="I303" s="156">
        <f t="shared" si="482"/>
        <v>4.5726158513537977E-3</v>
      </c>
      <c r="J303" s="156">
        <f t="shared" si="482"/>
        <v>2.146524852368189E-3</v>
      </c>
      <c r="K303" s="156">
        <f t="shared" si="482"/>
        <v>4.1087723768829974E-4</v>
      </c>
      <c r="L303" s="156">
        <f t="shared" si="482"/>
        <v>6.1852124277341684E-4</v>
      </c>
      <c r="M303" s="156">
        <f t="shared" si="482"/>
        <v>3.7838035063117123E-4</v>
      </c>
      <c r="N303" s="156">
        <f t="shared" si="482"/>
        <v>1.4885257099040068E-4</v>
      </c>
      <c r="O303" s="156">
        <f t="shared" si="482"/>
        <v>3.935785575401614E-4</v>
      </c>
      <c r="P303" s="156">
        <f t="shared" si="482"/>
        <v>7.4050558065150314E-4</v>
      </c>
      <c r="Q303" s="156">
        <f t="shared" si="482"/>
        <v>1.7422627529776601E-4</v>
      </c>
      <c r="R303" s="156">
        <f t="shared" si="482"/>
        <v>3.9998527121458166E-4</v>
      </c>
      <c r="S303" s="156">
        <f t="shared" si="482"/>
        <v>4.9340543272434782E-3</v>
      </c>
      <c r="T303" s="156">
        <f t="shared" si="482"/>
        <v>2.6905578085906727E-4</v>
      </c>
      <c r="U303" s="156">
        <f t="shared" si="482"/>
        <v>3.8352066338372609E-4</v>
      </c>
      <c r="V303" s="156">
        <f t="shared" si="482"/>
        <v>1.856923624050036E-4</v>
      </c>
      <c r="W303" s="156">
        <f t="shared" si="482"/>
        <v>3.8227532042113587E-4</v>
      </c>
      <c r="X303" s="156">
        <f t="shared" si="482"/>
        <v>8.5421383999648994E-5</v>
      </c>
      <c r="Y303" s="156">
        <f t="shared" si="482"/>
        <v>7.9385819036506577E-4</v>
      </c>
      <c r="Z303" s="156">
        <f t="shared" si="482"/>
        <v>2.5027679755212332E-4</v>
      </c>
      <c r="AA303" s="156">
        <f t="shared" si="482"/>
        <v>4.6363021541248951E-5</v>
      </c>
      <c r="AB303" s="156">
        <f t="shared" si="482"/>
        <v>9.4505519382500865E-4</v>
      </c>
      <c r="AC303" s="156">
        <f t="shared" si="482"/>
        <v>3.8249734145009084E-4</v>
      </c>
      <c r="AD303" s="156">
        <f t="shared" si="482"/>
        <v>3.226349530836918E-4</v>
      </c>
      <c r="AE303" s="156">
        <f t="shared" si="482"/>
        <v>4.5599151620597989E-5</v>
      </c>
      <c r="AF303" s="156">
        <f t="shared" si="482"/>
        <v>1.467832236686184E-4</v>
      </c>
      <c r="AG303" s="156">
        <f t="shared" si="482"/>
        <v>2.4994507206117165E-4</v>
      </c>
      <c r="AH303" s="156">
        <f t="shared" si="482"/>
        <v>5.2598422726951924E-4</v>
      </c>
      <c r="AI303" s="156">
        <f t="shared" ref="AI303:BN303" si="483">AI144/AI$84</f>
        <v>2.3713781741260292E-5</v>
      </c>
      <c r="AJ303" s="156">
        <f t="shared" si="483"/>
        <v>2.0597221173612428E-4</v>
      </c>
      <c r="AK303" s="156">
        <f t="shared" si="483"/>
        <v>1.4501365022366384E-3</v>
      </c>
      <c r="AL303" s="156">
        <f t="shared" si="483"/>
        <v>1.7835378186523844E-3</v>
      </c>
      <c r="AM303" s="156">
        <f t="shared" si="483"/>
        <v>3.0836219078788209E-4</v>
      </c>
      <c r="AN303" s="156">
        <f t="shared" si="483"/>
        <v>1.4026254355654054E-4</v>
      </c>
      <c r="AO303" s="156">
        <f t="shared" si="483"/>
        <v>1.5613154983282779E-4</v>
      </c>
      <c r="AP303" s="156">
        <f t="shared" si="483"/>
        <v>1.1283043609485806E-4</v>
      </c>
      <c r="AQ303" s="156">
        <f t="shared" si="483"/>
        <v>1.1233328916141943E-3</v>
      </c>
      <c r="AR303" s="156">
        <f t="shared" si="483"/>
        <v>1.0254038833701915E-3</v>
      </c>
      <c r="AS303" s="156">
        <f t="shared" si="483"/>
        <v>1.1490665574527478E-3</v>
      </c>
      <c r="AT303" s="156">
        <f t="shared" si="483"/>
        <v>7.0807400678597268E-3</v>
      </c>
      <c r="AU303" s="156">
        <f t="shared" si="483"/>
        <v>3.5809449369552965E-4</v>
      </c>
      <c r="AV303" s="156">
        <f t="shared" si="483"/>
        <v>3.8515240507631062E-3</v>
      </c>
      <c r="AW303" s="156">
        <f t="shared" si="483"/>
        <v>1.6957473656825585E-3</v>
      </c>
      <c r="AX303" s="156">
        <f t="shared" si="483"/>
        <v>1.9864418071719432E-3</v>
      </c>
      <c r="AY303" s="156">
        <f t="shared" si="483"/>
        <v>5.267725592647388E-4</v>
      </c>
      <c r="AZ303" s="156">
        <f t="shared" si="483"/>
        <v>5.6057623437516676E-4</v>
      </c>
      <c r="BA303" s="156">
        <f t="shared" si="483"/>
        <v>1.5785767717119122E-3</v>
      </c>
      <c r="BB303" s="156">
        <f t="shared" si="483"/>
        <v>1.7250319411181257E-4</v>
      </c>
      <c r="BC303" s="156">
        <f t="shared" si="483"/>
        <v>5.5867340232281871E-4</v>
      </c>
      <c r="BD303" s="156">
        <f t="shared" si="483"/>
        <v>1.8231289454841847E-3</v>
      </c>
      <c r="BE303" s="156">
        <f t="shared" si="483"/>
        <v>5.4893617251414387E-5</v>
      </c>
      <c r="BF303" s="156">
        <f t="shared" si="483"/>
        <v>2.2856961974234341E-4</v>
      </c>
      <c r="BG303" s="156">
        <f t="shared" si="483"/>
        <v>3.1973467956341733E-2</v>
      </c>
      <c r="BH303" s="156">
        <f t="shared" si="483"/>
        <v>2.3564741323981366E-3</v>
      </c>
      <c r="BI303" s="156">
        <f t="shared" si="483"/>
        <v>0</v>
      </c>
      <c r="BJ303" s="156">
        <f t="shared" si="483"/>
        <v>9.2883161114503776E-4</v>
      </c>
      <c r="BK303" s="156">
        <f t="shared" si="483"/>
        <v>3.2830379998818047E-4</v>
      </c>
      <c r="BL303" s="156">
        <f t="shared" si="483"/>
        <v>1.1513588470859631E-3</v>
      </c>
      <c r="BM303" s="156">
        <f t="shared" si="483"/>
        <v>2.825793720180851E-4</v>
      </c>
      <c r="BN303" s="156">
        <f t="shared" si="483"/>
        <v>1.6116498508313899E-4</v>
      </c>
      <c r="BO303" s="156">
        <f t="shared" ref="BO303:BZ303" si="484">BO144/BO$84</f>
        <v>2.7186295598892042E-3</v>
      </c>
      <c r="BP303" s="156">
        <f t="shared" si="484"/>
        <v>1.6062917177603369E-4</v>
      </c>
      <c r="BQ303" s="156">
        <f t="shared" si="484"/>
        <v>2.8502339547452289E-4</v>
      </c>
      <c r="BR303" s="156">
        <f t="shared" si="484"/>
        <v>2.7831018197745192E-4</v>
      </c>
      <c r="BS303" s="156">
        <f t="shared" si="484"/>
        <v>0</v>
      </c>
      <c r="BT303" s="156">
        <f t="shared" si="484"/>
        <v>9.8554768712509578E-4</v>
      </c>
      <c r="BU303" s="156">
        <f t="shared" si="484"/>
        <v>3.400592236863112E-4</v>
      </c>
      <c r="BV303" s="156">
        <f t="shared" si="484"/>
        <v>1.1900947037258732E-3</v>
      </c>
      <c r="BW303" s="156">
        <f t="shared" si="484"/>
        <v>5.317186226185763E-4</v>
      </c>
      <c r="BX303" s="156">
        <f t="shared" si="484"/>
        <v>1.1312643764847845E-4</v>
      </c>
      <c r="BY303" s="156">
        <f t="shared" si="484"/>
        <v>4.0052771570052297E-5</v>
      </c>
      <c r="BZ303" s="156">
        <f t="shared" si="484"/>
        <v>4.8385470089017823E-4</v>
      </c>
      <c r="CA303" s="129">
        <f t="shared" si="408"/>
        <v>0</v>
      </c>
      <c r="CB303" s="18"/>
      <c r="CC303" s="250"/>
      <c r="CD303" s="130">
        <f t="shared" ref="CD303:CG303" si="485">CD144/(CD$79+CD$80)</f>
        <v>0</v>
      </c>
      <c r="CE303" s="130">
        <f t="shared" si="485"/>
        <v>0</v>
      </c>
      <c r="CF303" s="130">
        <f t="shared" si="485"/>
        <v>2.298991809214424E-6</v>
      </c>
      <c r="CG303" s="131">
        <f t="shared" si="485"/>
        <v>0</v>
      </c>
      <c r="CH303" s="18"/>
      <c r="CI303" s="18"/>
      <c r="CJ303" s="18"/>
    </row>
    <row r="304" spans="1:88" ht="13.95" customHeight="1" x14ac:dyDescent="0.25">
      <c r="A304" s="153" t="s">
        <v>57</v>
      </c>
      <c r="B304" s="253"/>
      <c r="C304" s="128">
        <f t="shared" ref="C304:AH304" si="486">C145/C$84</f>
        <v>8.7879955417130993E-5</v>
      </c>
      <c r="D304" s="156">
        <f t="shared" si="486"/>
        <v>6.2122610571078822E-4</v>
      </c>
      <c r="E304" s="156">
        <f t="shared" si="486"/>
        <v>3.3937456551844938E-4</v>
      </c>
      <c r="F304" s="156">
        <f t="shared" si="486"/>
        <v>1.6796326955712654E-4</v>
      </c>
      <c r="G304" s="156">
        <f t="shared" si="486"/>
        <v>9.721847480162149E-4</v>
      </c>
      <c r="H304" s="156">
        <f t="shared" si="486"/>
        <v>2.4728884310798021E-4</v>
      </c>
      <c r="I304" s="156">
        <f t="shared" si="486"/>
        <v>8.0904350004106472E-4</v>
      </c>
      <c r="J304" s="156">
        <f t="shared" si="486"/>
        <v>4.8977693491834894E-4</v>
      </c>
      <c r="K304" s="156">
        <f t="shared" si="486"/>
        <v>6.8040189082950399E-4</v>
      </c>
      <c r="L304" s="156">
        <f t="shared" si="486"/>
        <v>1.4693875851581966E-3</v>
      </c>
      <c r="M304" s="156">
        <f t="shared" si="486"/>
        <v>1.233597163537339E-4</v>
      </c>
      <c r="N304" s="156">
        <f t="shared" si="486"/>
        <v>4.2402174257859872E-4</v>
      </c>
      <c r="O304" s="156">
        <f t="shared" si="486"/>
        <v>1.1159670148125616E-4</v>
      </c>
      <c r="P304" s="156">
        <f t="shared" si="486"/>
        <v>1.2198010819215541E-3</v>
      </c>
      <c r="Q304" s="156">
        <f t="shared" si="486"/>
        <v>3.0594665930914572E-4</v>
      </c>
      <c r="R304" s="156">
        <f t="shared" si="486"/>
        <v>2.5500250764115231E-4</v>
      </c>
      <c r="S304" s="156">
        <f t="shared" si="486"/>
        <v>9.7432725448921387E-4</v>
      </c>
      <c r="T304" s="156">
        <f t="shared" si="486"/>
        <v>1.3111176267217463E-4</v>
      </c>
      <c r="U304" s="156">
        <f t="shared" si="486"/>
        <v>8.9390983442781213E-5</v>
      </c>
      <c r="V304" s="156">
        <f t="shared" si="486"/>
        <v>1.8251454098922536E-3</v>
      </c>
      <c r="W304" s="156">
        <f t="shared" si="486"/>
        <v>2.2465591375905107E-4</v>
      </c>
      <c r="X304" s="156">
        <f t="shared" si="486"/>
        <v>1.5567820049404115E-4</v>
      </c>
      <c r="Y304" s="156">
        <f t="shared" si="486"/>
        <v>2.4148808902627094E-4</v>
      </c>
      <c r="Z304" s="156">
        <f t="shared" si="486"/>
        <v>3.4928901755403534E-4</v>
      </c>
      <c r="AA304" s="156">
        <f t="shared" si="486"/>
        <v>1.0478593319738296E-4</v>
      </c>
      <c r="AB304" s="156">
        <f t="shared" si="486"/>
        <v>1.588044122623361E-5</v>
      </c>
      <c r="AC304" s="156">
        <f t="shared" si="486"/>
        <v>2.0336074726377899E-4</v>
      </c>
      <c r="AD304" s="156">
        <f t="shared" si="486"/>
        <v>1.2284299067150521E-4</v>
      </c>
      <c r="AE304" s="156">
        <f t="shared" si="486"/>
        <v>6.7370895551005755E-4</v>
      </c>
      <c r="AF304" s="156">
        <f t="shared" si="486"/>
        <v>6.7379509992779004E-4</v>
      </c>
      <c r="AG304" s="156">
        <f t="shared" si="486"/>
        <v>4.9866612320137774E-4</v>
      </c>
      <c r="AH304" s="156">
        <f t="shared" si="486"/>
        <v>8.0515685162288692E-4</v>
      </c>
      <c r="AI304" s="156">
        <f t="shared" ref="AI304:BN304" si="487">AI145/AI$84</f>
        <v>6.2782464303489885E-5</v>
      </c>
      <c r="AJ304" s="156">
        <f t="shared" si="487"/>
        <v>7.2555006847568613E-5</v>
      </c>
      <c r="AK304" s="156">
        <f t="shared" si="487"/>
        <v>8.0038390949939203E-4</v>
      </c>
      <c r="AL304" s="156">
        <f t="shared" si="487"/>
        <v>7.4127848638245899E-4</v>
      </c>
      <c r="AM304" s="156">
        <f t="shared" si="487"/>
        <v>5.360982414909423E-4</v>
      </c>
      <c r="AN304" s="156">
        <f t="shared" si="487"/>
        <v>2.9724820764711772E-4</v>
      </c>
      <c r="AO304" s="156">
        <f t="shared" si="487"/>
        <v>9.3497935424600651E-4</v>
      </c>
      <c r="AP304" s="156">
        <f t="shared" si="487"/>
        <v>2.1927774733349601E-4</v>
      </c>
      <c r="AQ304" s="156">
        <f t="shared" si="487"/>
        <v>2.3598148599889609E-4</v>
      </c>
      <c r="AR304" s="156">
        <f t="shared" si="487"/>
        <v>4.5811117720642823E-5</v>
      </c>
      <c r="AS304" s="156">
        <f t="shared" si="487"/>
        <v>6.2078676562437761E-4</v>
      </c>
      <c r="AT304" s="156">
        <f t="shared" si="487"/>
        <v>6.0368600740140124E-5</v>
      </c>
      <c r="AU304" s="156">
        <f t="shared" si="487"/>
        <v>1.1156489955333008E-4</v>
      </c>
      <c r="AV304" s="156">
        <f t="shared" si="487"/>
        <v>9.7752985508074816E-4</v>
      </c>
      <c r="AW304" s="156">
        <f t="shared" si="487"/>
        <v>2.170182104381032E-4</v>
      </c>
      <c r="AX304" s="156">
        <f t="shared" si="487"/>
        <v>3.2258620326568275E-4</v>
      </c>
      <c r="AY304" s="156">
        <f t="shared" si="487"/>
        <v>2.3689948447592744E-4</v>
      </c>
      <c r="AZ304" s="156">
        <f t="shared" si="487"/>
        <v>5.4519380059339206E-4</v>
      </c>
      <c r="BA304" s="156">
        <f t="shared" si="487"/>
        <v>3.1964900693400638E-3</v>
      </c>
      <c r="BB304" s="156">
        <f t="shared" si="487"/>
        <v>3.460418292346338E-5</v>
      </c>
      <c r="BC304" s="156">
        <f t="shared" si="487"/>
        <v>6.6467056659890865E-4</v>
      </c>
      <c r="BD304" s="156">
        <f t="shared" si="487"/>
        <v>8.4728859709375006E-4</v>
      </c>
      <c r="BE304" s="156">
        <f t="shared" si="487"/>
        <v>4.6192362978831133E-4</v>
      </c>
      <c r="BF304" s="156">
        <f t="shared" si="487"/>
        <v>5.0017826486641981E-4</v>
      </c>
      <c r="BG304" s="156">
        <f t="shared" si="487"/>
        <v>2.965245447080367E-4</v>
      </c>
      <c r="BH304" s="156">
        <f t="shared" si="487"/>
        <v>8.6328875792571324E-3</v>
      </c>
      <c r="BI304" s="156">
        <f t="shared" si="487"/>
        <v>0</v>
      </c>
      <c r="BJ304" s="156">
        <f t="shared" si="487"/>
        <v>4.2081744983414805E-4</v>
      </c>
      <c r="BK304" s="156">
        <f t="shared" si="487"/>
        <v>4.391899247591765E-4</v>
      </c>
      <c r="BL304" s="156">
        <f t="shared" si="487"/>
        <v>1.2700716683298557E-5</v>
      </c>
      <c r="BM304" s="156">
        <f t="shared" si="487"/>
        <v>1.2916427280826651E-4</v>
      </c>
      <c r="BN304" s="156">
        <f t="shared" si="487"/>
        <v>8.0543769575427453E-6</v>
      </c>
      <c r="BO304" s="156">
        <f t="shared" ref="BO304:BZ304" si="488">BO145/BO$84</f>
        <v>1.8733489047919542E-3</v>
      </c>
      <c r="BP304" s="156">
        <f t="shared" si="488"/>
        <v>1.238111935364016E-5</v>
      </c>
      <c r="BQ304" s="156">
        <f t="shared" si="488"/>
        <v>4.6602607124381979E-4</v>
      </c>
      <c r="BR304" s="156">
        <f t="shared" si="488"/>
        <v>5.2155750473616375E-4</v>
      </c>
      <c r="BS304" s="156">
        <f t="shared" si="488"/>
        <v>0</v>
      </c>
      <c r="BT304" s="156">
        <f t="shared" si="488"/>
        <v>3.1254446071164678E-4</v>
      </c>
      <c r="BU304" s="156">
        <f t="shared" si="488"/>
        <v>3.7465827260788352E-4</v>
      </c>
      <c r="BV304" s="156">
        <f t="shared" si="488"/>
        <v>5.0485812579734331E-4</v>
      </c>
      <c r="BW304" s="156">
        <f t="shared" si="488"/>
        <v>5.9940847727683487E-4</v>
      </c>
      <c r="BX304" s="156">
        <f t="shared" si="488"/>
        <v>3.3814295843561591E-4</v>
      </c>
      <c r="BY304" s="156">
        <f t="shared" si="488"/>
        <v>0</v>
      </c>
      <c r="BZ304" s="156">
        <f t="shared" si="488"/>
        <v>5.5817738564319075E-4</v>
      </c>
      <c r="CA304" s="129">
        <f t="shared" si="408"/>
        <v>0</v>
      </c>
      <c r="CB304" s="18"/>
      <c r="CC304" s="250"/>
      <c r="CD304" s="130">
        <f t="shared" ref="CD304:CG304" si="489">CD145/(CD$79+CD$80)</f>
        <v>5.0187998973362069E-4</v>
      </c>
      <c r="CE304" s="130">
        <f t="shared" si="489"/>
        <v>0</v>
      </c>
      <c r="CF304" s="130">
        <f t="shared" si="489"/>
        <v>5.6992290776574855E-6</v>
      </c>
      <c r="CG304" s="131">
        <f t="shared" si="489"/>
        <v>0</v>
      </c>
      <c r="CH304" s="18"/>
      <c r="CI304" s="18"/>
      <c r="CJ304" s="18"/>
    </row>
    <row r="305" spans="1:88" ht="13.95" customHeight="1" x14ac:dyDescent="0.25">
      <c r="A305" s="153" t="s">
        <v>58</v>
      </c>
      <c r="B305" s="253"/>
      <c r="C305" s="128">
        <f t="shared" ref="C305:AH305" si="490">C146/C$84</f>
        <v>0</v>
      </c>
      <c r="D305" s="156">
        <f t="shared" si="490"/>
        <v>0</v>
      </c>
      <c r="E305" s="156">
        <f t="shared" si="490"/>
        <v>0</v>
      </c>
      <c r="F305" s="156">
        <f t="shared" si="490"/>
        <v>0</v>
      </c>
      <c r="G305" s="156">
        <f t="shared" si="490"/>
        <v>0</v>
      </c>
      <c r="H305" s="156">
        <f t="shared" si="490"/>
        <v>0</v>
      </c>
      <c r="I305" s="156">
        <f t="shared" si="490"/>
        <v>0</v>
      </c>
      <c r="J305" s="156">
        <f t="shared" si="490"/>
        <v>0</v>
      </c>
      <c r="K305" s="156">
        <f t="shared" si="490"/>
        <v>0</v>
      </c>
      <c r="L305" s="156">
        <f t="shared" si="490"/>
        <v>0</v>
      </c>
      <c r="M305" s="156">
        <f t="shared" si="490"/>
        <v>0</v>
      </c>
      <c r="N305" s="156">
        <f t="shared" si="490"/>
        <v>0</v>
      </c>
      <c r="O305" s="156">
        <f t="shared" si="490"/>
        <v>0</v>
      </c>
      <c r="P305" s="156">
        <f t="shared" si="490"/>
        <v>0</v>
      </c>
      <c r="Q305" s="156">
        <f t="shared" si="490"/>
        <v>0</v>
      </c>
      <c r="R305" s="156">
        <f t="shared" si="490"/>
        <v>0</v>
      </c>
      <c r="S305" s="156">
        <f t="shared" si="490"/>
        <v>0</v>
      </c>
      <c r="T305" s="156">
        <f t="shared" si="490"/>
        <v>0</v>
      </c>
      <c r="U305" s="156">
        <f t="shared" si="490"/>
        <v>0</v>
      </c>
      <c r="V305" s="156">
        <f t="shared" si="490"/>
        <v>0</v>
      </c>
      <c r="W305" s="156">
        <f t="shared" si="490"/>
        <v>0</v>
      </c>
      <c r="X305" s="156">
        <f t="shared" si="490"/>
        <v>0</v>
      </c>
      <c r="Y305" s="156">
        <f t="shared" si="490"/>
        <v>0</v>
      </c>
      <c r="Z305" s="156">
        <f t="shared" si="490"/>
        <v>0</v>
      </c>
      <c r="AA305" s="156">
        <f t="shared" si="490"/>
        <v>0</v>
      </c>
      <c r="AB305" s="156">
        <f t="shared" si="490"/>
        <v>0</v>
      </c>
      <c r="AC305" s="156">
        <f t="shared" si="490"/>
        <v>0</v>
      </c>
      <c r="AD305" s="156">
        <f t="shared" si="490"/>
        <v>0</v>
      </c>
      <c r="AE305" s="156">
        <f t="shared" si="490"/>
        <v>0</v>
      </c>
      <c r="AF305" s="156">
        <f t="shared" si="490"/>
        <v>0</v>
      </c>
      <c r="AG305" s="156">
        <f t="shared" si="490"/>
        <v>0</v>
      </c>
      <c r="AH305" s="156">
        <f t="shared" si="490"/>
        <v>0</v>
      </c>
      <c r="AI305" s="156">
        <f t="shared" ref="AI305:BN305" si="491">AI146/AI$84</f>
        <v>0</v>
      </c>
      <c r="AJ305" s="156">
        <f t="shared" si="491"/>
        <v>0</v>
      </c>
      <c r="AK305" s="156">
        <f t="shared" si="491"/>
        <v>0</v>
      </c>
      <c r="AL305" s="156">
        <f t="shared" si="491"/>
        <v>0</v>
      </c>
      <c r="AM305" s="156">
        <f t="shared" si="491"/>
        <v>0</v>
      </c>
      <c r="AN305" s="156">
        <f t="shared" si="491"/>
        <v>0</v>
      </c>
      <c r="AO305" s="156">
        <f t="shared" si="491"/>
        <v>0</v>
      </c>
      <c r="AP305" s="156">
        <f t="shared" si="491"/>
        <v>0</v>
      </c>
      <c r="AQ305" s="156">
        <f t="shared" si="491"/>
        <v>0</v>
      </c>
      <c r="AR305" s="156">
        <f t="shared" si="491"/>
        <v>0</v>
      </c>
      <c r="AS305" s="156">
        <f t="shared" si="491"/>
        <v>0</v>
      </c>
      <c r="AT305" s="156">
        <f t="shared" si="491"/>
        <v>0</v>
      </c>
      <c r="AU305" s="156">
        <f t="shared" si="491"/>
        <v>0</v>
      </c>
      <c r="AV305" s="156">
        <f t="shared" si="491"/>
        <v>0</v>
      </c>
      <c r="AW305" s="156">
        <f t="shared" si="491"/>
        <v>0</v>
      </c>
      <c r="AX305" s="156">
        <f t="shared" si="491"/>
        <v>0</v>
      </c>
      <c r="AY305" s="156">
        <f t="shared" si="491"/>
        <v>0</v>
      </c>
      <c r="AZ305" s="156">
        <f t="shared" si="491"/>
        <v>0</v>
      </c>
      <c r="BA305" s="156">
        <f t="shared" si="491"/>
        <v>0</v>
      </c>
      <c r="BB305" s="156">
        <f t="shared" si="491"/>
        <v>0</v>
      </c>
      <c r="BC305" s="156">
        <f t="shared" si="491"/>
        <v>0</v>
      </c>
      <c r="BD305" s="156">
        <f t="shared" si="491"/>
        <v>0</v>
      </c>
      <c r="BE305" s="156">
        <f t="shared" si="491"/>
        <v>0</v>
      </c>
      <c r="BF305" s="156">
        <f t="shared" si="491"/>
        <v>0</v>
      </c>
      <c r="BG305" s="156">
        <f t="shared" si="491"/>
        <v>0</v>
      </c>
      <c r="BH305" s="156">
        <f t="shared" si="491"/>
        <v>0</v>
      </c>
      <c r="BI305" s="156">
        <f t="shared" si="491"/>
        <v>0</v>
      </c>
      <c r="BJ305" s="156">
        <f t="shared" si="491"/>
        <v>0</v>
      </c>
      <c r="BK305" s="156">
        <f t="shared" si="491"/>
        <v>0</v>
      </c>
      <c r="BL305" s="156">
        <f t="shared" si="491"/>
        <v>0</v>
      </c>
      <c r="BM305" s="156">
        <f t="shared" si="491"/>
        <v>0</v>
      </c>
      <c r="BN305" s="156">
        <f t="shared" si="491"/>
        <v>0</v>
      </c>
      <c r="BO305" s="156">
        <f t="shared" ref="BO305:BZ305" si="492">BO146/BO$84</f>
        <v>0</v>
      </c>
      <c r="BP305" s="156">
        <f t="shared" si="492"/>
        <v>0</v>
      </c>
      <c r="BQ305" s="156">
        <f t="shared" si="492"/>
        <v>0</v>
      </c>
      <c r="BR305" s="156">
        <f t="shared" si="492"/>
        <v>0</v>
      </c>
      <c r="BS305" s="156">
        <f t="shared" si="492"/>
        <v>0</v>
      </c>
      <c r="BT305" s="156">
        <f t="shared" si="492"/>
        <v>0</v>
      </c>
      <c r="BU305" s="156">
        <f t="shared" si="492"/>
        <v>0</v>
      </c>
      <c r="BV305" s="156">
        <f t="shared" si="492"/>
        <v>0</v>
      </c>
      <c r="BW305" s="156">
        <f t="shared" si="492"/>
        <v>0</v>
      </c>
      <c r="BX305" s="156">
        <f t="shared" si="492"/>
        <v>0</v>
      </c>
      <c r="BY305" s="156">
        <f t="shared" si="492"/>
        <v>0</v>
      </c>
      <c r="BZ305" s="156">
        <f t="shared" si="492"/>
        <v>0</v>
      </c>
      <c r="CA305" s="129">
        <f t="shared" si="408"/>
        <v>0</v>
      </c>
      <c r="CB305" s="18"/>
      <c r="CC305" s="250"/>
      <c r="CD305" s="130">
        <f t="shared" ref="CD305:CG305" si="493">CD146/(CD$79+CD$80)</f>
        <v>0</v>
      </c>
      <c r="CE305" s="130">
        <f t="shared" si="493"/>
        <v>0</v>
      </c>
      <c r="CF305" s="130">
        <f t="shared" si="493"/>
        <v>0</v>
      </c>
      <c r="CG305" s="131">
        <f t="shared" si="493"/>
        <v>0</v>
      </c>
      <c r="CH305" s="18"/>
      <c r="CI305" s="18"/>
      <c r="CJ305" s="18"/>
    </row>
    <row r="306" spans="1:88" ht="13.95" customHeight="1" x14ac:dyDescent="0.25">
      <c r="A306" s="153" t="s">
        <v>59</v>
      </c>
      <c r="B306" s="253"/>
      <c r="C306" s="128">
        <f t="shared" ref="C306:AH306" si="494">C147/C$84</f>
        <v>1.4751312945585442E-4</v>
      </c>
      <c r="D306" s="156">
        <f t="shared" si="494"/>
        <v>6.8682410708304626E-4</v>
      </c>
      <c r="E306" s="156">
        <f t="shared" si="494"/>
        <v>4.1053374861102748E-4</v>
      </c>
      <c r="F306" s="156">
        <f t="shared" si="494"/>
        <v>1.3459745370157949E-3</v>
      </c>
      <c r="G306" s="156">
        <f t="shared" si="494"/>
        <v>7.3934802466687685E-4</v>
      </c>
      <c r="H306" s="156">
        <f t="shared" si="494"/>
        <v>2.927385835945998E-4</v>
      </c>
      <c r="I306" s="156">
        <f t="shared" si="494"/>
        <v>8.503804954722151E-4</v>
      </c>
      <c r="J306" s="156">
        <f t="shared" si="494"/>
        <v>6.4488909661926876E-5</v>
      </c>
      <c r="K306" s="156">
        <f t="shared" si="494"/>
        <v>5.4259790673128947E-4</v>
      </c>
      <c r="L306" s="156">
        <f t="shared" si="494"/>
        <v>4.2186435046235931E-4</v>
      </c>
      <c r="M306" s="156">
        <f t="shared" si="494"/>
        <v>1.0924767368478562E-3</v>
      </c>
      <c r="N306" s="156">
        <f t="shared" si="494"/>
        <v>7.8844487356142775E-4</v>
      </c>
      <c r="O306" s="156">
        <f t="shared" si="494"/>
        <v>5.4886116123615094E-4</v>
      </c>
      <c r="P306" s="156">
        <f t="shared" si="494"/>
        <v>1.3955079476580066E-3</v>
      </c>
      <c r="Q306" s="156">
        <f t="shared" si="494"/>
        <v>2.0598599632151143E-4</v>
      </c>
      <c r="R306" s="156">
        <f t="shared" si="494"/>
        <v>2.4552932881293665E-4</v>
      </c>
      <c r="S306" s="156">
        <f t="shared" si="494"/>
        <v>5.2288024294455768E-4</v>
      </c>
      <c r="T306" s="156">
        <f t="shared" si="494"/>
        <v>2.5089704852147068E-4</v>
      </c>
      <c r="U306" s="156">
        <f t="shared" si="494"/>
        <v>9.9843558790624863E-4</v>
      </c>
      <c r="V306" s="156">
        <f t="shared" si="494"/>
        <v>3.5052674846214706E-4</v>
      </c>
      <c r="W306" s="156">
        <f t="shared" si="494"/>
        <v>3.5168875273891976E-4</v>
      </c>
      <c r="X306" s="156">
        <f t="shared" si="494"/>
        <v>1.9574787231036589E-4</v>
      </c>
      <c r="Y306" s="156">
        <f t="shared" si="494"/>
        <v>3.0685692291105589E-4</v>
      </c>
      <c r="Z306" s="156">
        <f t="shared" si="494"/>
        <v>3.1980631399979969E-4</v>
      </c>
      <c r="AA306" s="156">
        <f t="shared" si="494"/>
        <v>2.8065516061963813E-4</v>
      </c>
      <c r="AB306" s="156">
        <f t="shared" si="494"/>
        <v>4.7371018296126643E-4</v>
      </c>
      <c r="AC306" s="156">
        <f t="shared" si="494"/>
        <v>6.8610220303631103E-4</v>
      </c>
      <c r="AD306" s="156">
        <f t="shared" si="494"/>
        <v>4.1885941277531918E-4</v>
      </c>
      <c r="AE306" s="156">
        <f t="shared" si="494"/>
        <v>4.477165985288895E-4</v>
      </c>
      <c r="AF306" s="156">
        <f t="shared" si="494"/>
        <v>3.6769383689618033E-4</v>
      </c>
      <c r="AG306" s="156">
        <f t="shared" si="494"/>
        <v>4.1408627756265611E-4</v>
      </c>
      <c r="AH306" s="156">
        <f t="shared" si="494"/>
        <v>1.2095389207939168E-3</v>
      </c>
      <c r="AI306" s="156">
        <f t="shared" ref="AI306:BN306" si="495">AI147/AI$84</f>
        <v>9.1375288494963504E-4</v>
      </c>
      <c r="AJ306" s="156">
        <f t="shared" si="495"/>
        <v>5.8933260655477746E-4</v>
      </c>
      <c r="AK306" s="156">
        <f t="shared" si="495"/>
        <v>4.5458447671960944E-4</v>
      </c>
      <c r="AL306" s="156">
        <f t="shared" si="495"/>
        <v>1.7762719542615841E-4</v>
      </c>
      <c r="AM306" s="156">
        <f t="shared" si="495"/>
        <v>1.2723428925682162E-4</v>
      </c>
      <c r="AN306" s="156">
        <f t="shared" si="495"/>
        <v>1.9215012131721804E-3</v>
      </c>
      <c r="AO306" s="156">
        <f t="shared" si="495"/>
        <v>2.9686904325748904E-3</v>
      </c>
      <c r="AP306" s="156">
        <f t="shared" si="495"/>
        <v>5.3142415848421627E-4</v>
      </c>
      <c r="AQ306" s="156">
        <f t="shared" si="495"/>
        <v>1.9697622688817358E-3</v>
      </c>
      <c r="AR306" s="156">
        <f t="shared" si="495"/>
        <v>5.707260875775159E-4</v>
      </c>
      <c r="AS306" s="156">
        <f t="shared" si="495"/>
        <v>2.4433907209162829E-4</v>
      </c>
      <c r="AT306" s="156">
        <f t="shared" si="495"/>
        <v>4.9017497259325746E-4</v>
      </c>
      <c r="AU306" s="156">
        <f t="shared" si="495"/>
        <v>9.4142587704594332E-4</v>
      </c>
      <c r="AV306" s="156">
        <f t="shared" si="495"/>
        <v>8.8843437011064538E-4</v>
      </c>
      <c r="AW306" s="156">
        <f t="shared" si="495"/>
        <v>4.4323965551858836E-4</v>
      </c>
      <c r="AX306" s="156">
        <f t="shared" si="495"/>
        <v>1.2517684807434224E-3</v>
      </c>
      <c r="AY306" s="156">
        <f t="shared" si="495"/>
        <v>1.2890545808835849E-4</v>
      </c>
      <c r="AZ306" s="156">
        <f t="shared" si="495"/>
        <v>3.8750284007640112E-5</v>
      </c>
      <c r="BA306" s="156">
        <f t="shared" si="495"/>
        <v>8.9172725542949606E-4</v>
      </c>
      <c r="BB306" s="156">
        <f t="shared" si="495"/>
        <v>1.466043856142371E-4</v>
      </c>
      <c r="BC306" s="156">
        <f t="shared" si="495"/>
        <v>1.4124961483849986E-3</v>
      </c>
      <c r="BD306" s="156">
        <f t="shared" si="495"/>
        <v>4.3736592076503621E-4</v>
      </c>
      <c r="BE306" s="156">
        <f t="shared" si="495"/>
        <v>2.8690703400862397E-4</v>
      </c>
      <c r="BF306" s="156">
        <f t="shared" si="495"/>
        <v>2.0978053984451158E-4</v>
      </c>
      <c r="BG306" s="156">
        <f t="shared" si="495"/>
        <v>3.5140892130224971E-4</v>
      </c>
      <c r="BH306" s="156">
        <f t="shared" si="495"/>
        <v>1.2591256074884144E-3</v>
      </c>
      <c r="BI306" s="156">
        <f t="shared" si="495"/>
        <v>1.6835246032012203E-4</v>
      </c>
      <c r="BJ306" s="156">
        <f t="shared" si="495"/>
        <v>2.3764382581372388E-3</v>
      </c>
      <c r="BK306" s="156">
        <f t="shared" si="495"/>
        <v>5.0886311395609968E-4</v>
      </c>
      <c r="BL306" s="156">
        <f t="shared" si="495"/>
        <v>2.6256787755472323E-4</v>
      </c>
      <c r="BM306" s="156">
        <f t="shared" si="495"/>
        <v>6.0699922563884799E-4</v>
      </c>
      <c r="BN306" s="156">
        <f t="shared" si="495"/>
        <v>1.4540473786333178E-3</v>
      </c>
      <c r="BO306" s="156">
        <f t="shared" ref="BO306:BZ306" si="496">BO147/BO$84</f>
        <v>1.1245994901970208E-3</v>
      </c>
      <c r="BP306" s="156">
        <f t="shared" si="496"/>
        <v>1.2765734988547716E-4</v>
      </c>
      <c r="BQ306" s="156">
        <f t="shared" si="496"/>
        <v>1.6002119343376604E-4</v>
      </c>
      <c r="BR306" s="156">
        <f t="shared" si="496"/>
        <v>3.1361555088531295E-4</v>
      </c>
      <c r="BS306" s="156">
        <f t="shared" si="496"/>
        <v>5.9186007184649071E-4</v>
      </c>
      <c r="BT306" s="156">
        <f t="shared" si="496"/>
        <v>1.8851800687506024E-3</v>
      </c>
      <c r="BU306" s="156">
        <f t="shared" si="496"/>
        <v>9.8409580575500801E-4</v>
      </c>
      <c r="BV306" s="156">
        <f t="shared" si="496"/>
        <v>9.6235431164962647E-4</v>
      </c>
      <c r="BW306" s="156">
        <f t="shared" si="496"/>
        <v>1.9336051411470217E-3</v>
      </c>
      <c r="BX306" s="156">
        <f t="shared" si="496"/>
        <v>7.2120679739467132E-6</v>
      </c>
      <c r="BY306" s="156">
        <f t="shared" si="496"/>
        <v>4.451133612330487E-4</v>
      </c>
      <c r="BZ306" s="156">
        <f t="shared" si="496"/>
        <v>9.7853527208777635E-4</v>
      </c>
      <c r="CA306" s="129">
        <f t="shared" si="408"/>
        <v>0</v>
      </c>
      <c r="CB306" s="18"/>
      <c r="CC306" s="250"/>
      <c r="CD306" s="130">
        <f t="shared" ref="CD306:CG306" si="497">CD147/(CD$79+CD$80)</f>
        <v>1.1708340239349189E-4</v>
      </c>
      <c r="CE306" s="130">
        <f t="shared" si="497"/>
        <v>0</v>
      </c>
      <c r="CF306" s="130">
        <f t="shared" si="497"/>
        <v>1.5014403297215188E-6</v>
      </c>
      <c r="CG306" s="131">
        <f t="shared" si="497"/>
        <v>0</v>
      </c>
      <c r="CH306" s="18"/>
      <c r="CI306" s="18"/>
      <c r="CJ306" s="18"/>
    </row>
    <row r="307" spans="1:88" ht="13.95" customHeight="1" x14ac:dyDescent="0.25">
      <c r="A307" s="153" t="s">
        <v>60</v>
      </c>
      <c r="B307" s="253"/>
      <c r="C307" s="128">
        <f t="shared" ref="C307:AH307" si="498">C148/C$84</f>
        <v>0</v>
      </c>
      <c r="D307" s="156">
        <f t="shared" si="498"/>
        <v>0</v>
      </c>
      <c r="E307" s="156">
        <f t="shared" si="498"/>
        <v>0</v>
      </c>
      <c r="F307" s="156">
        <f t="shared" si="498"/>
        <v>0</v>
      </c>
      <c r="G307" s="156">
        <f t="shared" si="498"/>
        <v>0</v>
      </c>
      <c r="H307" s="156">
        <f t="shared" si="498"/>
        <v>0</v>
      </c>
      <c r="I307" s="156">
        <f t="shared" si="498"/>
        <v>0</v>
      </c>
      <c r="J307" s="156">
        <f t="shared" si="498"/>
        <v>0</v>
      </c>
      <c r="K307" s="156">
        <f t="shared" si="498"/>
        <v>0</v>
      </c>
      <c r="L307" s="156">
        <f t="shared" si="498"/>
        <v>0</v>
      </c>
      <c r="M307" s="156">
        <f t="shared" si="498"/>
        <v>0</v>
      </c>
      <c r="N307" s="156">
        <f t="shared" si="498"/>
        <v>0</v>
      </c>
      <c r="O307" s="156">
        <f t="shared" si="498"/>
        <v>0</v>
      </c>
      <c r="P307" s="156">
        <f t="shared" si="498"/>
        <v>0</v>
      </c>
      <c r="Q307" s="156">
        <f t="shared" si="498"/>
        <v>0</v>
      </c>
      <c r="R307" s="156">
        <f t="shared" si="498"/>
        <v>0</v>
      </c>
      <c r="S307" s="156">
        <f t="shared" si="498"/>
        <v>0</v>
      </c>
      <c r="T307" s="156">
        <f t="shared" si="498"/>
        <v>0</v>
      </c>
      <c r="U307" s="156">
        <f t="shared" si="498"/>
        <v>0</v>
      </c>
      <c r="V307" s="156">
        <f t="shared" si="498"/>
        <v>0</v>
      </c>
      <c r="W307" s="156">
        <f t="shared" si="498"/>
        <v>0</v>
      </c>
      <c r="X307" s="156">
        <f t="shared" si="498"/>
        <v>0</v>
      </c>
      <c r="Y307" s="156">
        <f t="shared" si="498"/>
        <v>0</v>
      </c>
      <c r="Z307" s="156">
        <f t="shared" si="498"/>
        <v>0</v>
      </c>
      <c r="AA307" s="156">
        <f t="shared" si="498"/>
        <v>0</v>
      </c>
      <c r="AB307" s="156">
        <f t="shared" si="498"/>
        <v>0</v>
      </c>
      <c r="AC307" s="156">
        <f t="shared" si="498"/>
        <v>0</v>
      </c>
      <c r="AD307" s="156">
        <f t="shared" si="498"/>
        <v>0</v>
      </c>
      <c r="AE307" s="156">
        <f t="shared" si="498"/>
        <v>0</v>
      </c>
      <c r="AF307" s="156">
        <f t="shared" si="498"/>
        <v>0</v>
      </c>
      <c r="AG307" s="156">
        <f t="shared" si="498"/>
        <v>0</v>
      </c>
      <c r="AH307" s="156">
        <f t="shared" si="498"/>
        <v>0</v>
      </c>
      <c r="AI307" s="156">
        <f t="shared" ref="AI307:BN307" si="499">AI148/AI$84</f>
        <v>0</v>
      </c>
      <c r="AJ307" s="156">
        <f t="shared" si="499"/>
        <v>0</v>
      </c>
      <c r="AK307" s="156">
        <f t="shared" si="499"/>
        <v>0</v>
      </c>
      <c r="AL307" s="156">
        <f t="shared" si="499"/>
        <v>0</v>
      </c>
      <c r="AM307" s="156">
        <f t="shared" si="499"/>
        <v>0</v>
      </c>
      <c r="AN307" s="156">
        <f t="shared" si="499"/>
        <v>0</v>
      </c>
      <c r="AO307" s="156">
        <f t="shared" si="499"/>
        <v>0</v>
      </c>
      <c r="AP307" s="156">
        <f t="shared" si="499"/>
        <v>0</v>
      </c>
      <c r="AQ307" s="156">
        <f t="shared" si="499"/>
        <v>0</v>
      </c>
      <c r="AR307" s="156">
        <f t="shared" si="499"/>
        <v>0</v>
      </c>
      <c r="AS307" s="156">
        <f t="shared" si="499"/>
        <v>0</v>
      </c>
      <c r="AT307" s="156">
        <f t="shared" si="499"/>
        <v>0</v>
      </c>
      <c r="AU307" s="156">
        <f t="shared" si="499"/>
        <v>0</v>
      </c>
      <c r="AV307" s="156">
        <f t="shared" si="499"/>
        <v>0</v>
      </c>
      <c r="AW307" s="156">
        <f t="shared" si="499"/>
        <v>0</v>
      </c>
      <c r="AX307" s="156">
        <f t="shared" si="499"/>
        <v>0</v>
      </c>
      <c r="AY307" s="156">
        <f t="shared" si="499"/>
        <v>0</v>
      </c>
      <c r="AZ307" s="156">
        <f t="shared" si="499"/>
        <v>0</v>
      </c>
      <c r="BA307" s="156">
        <f t="shared" si="499"/>
        <v>0</v>
      </c>
      <c r="BB307" s="156">
        <f t="shared" si="499"/>
        <v>0</v>
      </c>
      <c r="BC307" s="156">
        <f t="shared" si="499"/>
        <v>0</v>
      </c>
      <c r="BD307" s="156">
        <f t="shared" si="499"/>
        <v>0</v>
      </c>
      <c r="BE307" s="156">
        <f t="shared" si="499"/>
        <v>0</v>
      </c>
      <c r="BF307" s="156">
        <f t="shared" si="499"/>
        <v>0</v>
      </c>
      <c r="BG307" s="156">
        <f t="shared" si="499"/>
        <v>0</v>
      </c>
      <c r="BH307" s="156">
        <f t="shared" si="499"/>
        <v>0</v>
      </c>
      <c r="BI307" s="156">
        <f t="shared" si="499"/>
        <v>0</v>
      </c>
      <c r="BJ307" s="156">
        <f t="shared" si="499"/>
        <v>0</v>
      </c>
      <c r="BK307" s="156">
        <f t="shared" si="499"/>
        <v>0</v>
      </c>
      <c r="BL307" s="156">
        <f t="shared" si="499"/>
        <v>0</v>
      </c>
      <c r="BM307" s="156">
        <f t="shared" si="499"/>
        <v>0</v>
      </c>
      <c r="BN307" s="156">
        <f t="shared" si="499"/>
        <v>0</v>
      </c>
      <c r="BO307" s="156">
        <f t="shared" ref="BO307:BZ307" si="500">BO148/BO$84</f>
        <v>0</v>
      </c>
      <c r="BP307" s="156">
        <f t="shared" si="500"/>
        <v>0</v>
      </c>
      <c r="BQ307" s="156">
        <f t="shared" si="500"/>
        <v>0</v>
      </c>
      <c r="BR307" s="156">
        <f t="shared" si="500"/>
        <v>0</v>
      </c>
      <c r="BS307" s="156">
        <f t="shared" si="500"/>
        <v>0</v>
      </c>
      <c r="BT307" s="156">
        <f t="shared" si="500"/>
        <v>0</v>
      </c>
      <c r="BU307" s="156">
        <f t="shared" si="500"/>
        <v>0</v>
      </c>
      <c r="BV307" s="156">
        <f t="shared" si="500"/>
        <v>0</v>
      </c>
      <c r="BW307" s="156">
        <f t="shared" si="500"/>
        <v>0</v>
      </c>
      <c r="BX307" s="156">
        <f t="shared" si="500"/>
        <v>0</v>
      </c>
      <c r="BY307" s="156">
        <f t="shared" si="500"/>
        <v>0</v>
      </c>
      <c r="BZ307" s="156">
        <f t="shared" si="500"/>
        <v>0</v>
      </c>
      <c r="CA307" s="129">
        <f t="shared" si="408"/>
        <v>0</v>
      </c>
      <c r="CB307" s="18"/>
      <c r="CC307" s="250"/>
      <c r="CD307" s="130">
        <f t="shared" ref="CD307:CG307" si="501">CD148/(CD$79+CD$80)</f>
        <v>0</v>
      </c>
      <c r="CE307" s="130">
        <f t="shared" si="501"/>
        <v>0</v>
      </c>
      <c r="CF307" s="130">
        <f t="shared" si="501"/>
        <v>0</v>
      </c>
      <c r="CG307" s="131">
        <f t="shared" si="501"/>
        <v>0</v>
      </c>
      <c r="CH307" s="18"/>
      <c r="CI307" s="18"/>
      <c r="CJ307" s="18"/>
    </row>
    <row r="308" spans="1:88" ht="13.95" customHeight="1" x14ac:dyDescent="0.25">
      <c r="A308" s="153" t="s">
        <v>61</v>
      </c>
      <c r="B308" s="253"/>
      <c r="C308" s="128">
        <f t="shared" ref="C308:AH308" si="502">C149/C$84</f>
        <v>6.8041111372626588E-8</v>
      </c>
      <c r="D308" s="156">
        <f t="shared" si="502"/>
        <v>1.0339287633508224E-5</v>
      </c>
      <c r="E308" s="156">
        <f t="shared" si="502"/>
        <v>0</v>
      </c>
      <c r="F308" s="156">
        <f t="shared" si="502"/>
        <v>0</v>
      </c>
      <c r="G308" s="156">
        <f t="shared" si="502"/>
        <v>0</v>
      </c>
      <c r="H308" s="156">
        <f t="shared" si="502"/>
        <v>5.9259865713846347E-7</v>
      </c>
      <c r="I308" s="156">
        <f t="shared" si="502"/>
        <v>1.6788900449534154E-6</v>
      </c>
      <c r="J308" s="156">
        <f t="shared" si="502"/>
        <v>2.6618311680345051E-5</v>
      </c>
      <c r="K308" s="156">
        <f t="shared" si="502"/>
        <v>3.3796194751248179E-7</v>
      </c>
      <c r="L308" s="156">
        <f t="shared" si="502"/>
        <v>5.9480345500508891E-7</v>
      </c>
      <c r="M308" s="156">
        <f t="shared" si="502"/>
        <v>5.4054335804453032E-6</v>
      </c>
      <c r="N308" s="156">
        <f t="shared" si="502"/>
        <v>3.4026436132850515E-7</v>
      </c>
      <c r="O308" s="156">
        <f t="shared" si="502"/>
        <v>1.5203910283549887E-6</v>
      </c>
      <c r="P308" s="156">
        <f t="shared" si="502"/>
        <v>2.3875242902617732E-6</v>
      </c>
      <c r="Q308" s="156">
        <f t="shared" si="502"/>
        <v>0</v>
      </c>
      <c r="R308" s="156">
        <f t="shared" si="502"/>
        <v>4.4019794868945632E-6</v>
      </c>
      <c r="S308" s="156">
        <f t="shared" si="502"/>
        <v>4.968669852671369E-5</v>
      </c>
      <c r="T308" s="156">
        <f t="shared" si="502"/>
        <v>3.0264553895994342E-6</v>
      </c>
      <c r="U308" s="156">
        <f t="shared" si="502"/>
        <v>9.7836903924419923E-7</v>
      </c>
      <c r="V308" s="156">
        <f t="shared" si="502"/>
        <v>0</v>
      </c>
      <c r="W308" s="156">
        <f t="shared" si="502"/>
        <v>2.9936228916107527E-7</v>
      </c>
      <c r="X308" s="156">
        <f t="shared" si="502"/>
        <v>1.4766994574407407E-6</v>
      </c>
      <c r="Y308" s="156">
        <f t="shared" si="502"/>
        <v>3.6104879180549843E-6</v>
      </c>
      <c r="Z308" s="156">
        <f t="shared" si="502"/>
        <v>9.2593787036857193E-7</v>
      </c>
      <c r="AA308" s="156">
        <f t="shared" si="502"/>
        <v>1.6680345940366595E-7</v>
      </c>
      <c r="AB308" s="156">
        <f t="shared" si="502"/>
        <v>4.4769328988850071E-6</v>
      </c>
      <c r="AC308" s="156">
        <f t="shared" si="502"/>
        <v>6.1069293472606301E-7</v>
      </c>
      <c r="AD308" s="156">
        <f t="shared" si="502"/>
        <v>0</v>
      </c>
      <c r="AE308" s="156">
        <f t="shared" si="502"/>
        <v>5.8795467705642106E-6</v>
      </c>
      <c r="AF308" s="156">
        <f t="shared" si="502"/>
        <v>6.6485938972982132E-7</v>
      </c>
      <c r="AG308" s="156">
        <f t="shared" si="502"/>
        <v>1.2240209209655811E-6</v>
      </c>
      <c r="AH308" s="156">
        <f t="shared" si="502"/>
        <v>1.5161060124059295E-6</v>
      </c>
      <c r="AI308" s="156">
        <f t="shared" ref="AI308:BN308" si="503">AI149/AI$84</f>
        <v>0</v>
      </c>
      <c r="AJ308" s="156">
        <f t="shared" si="503"/>
        <v>1.2178803828725483E-6</v>
      </c>
      <c r="AK308" s="156">
        <f t="shared" si="503"/>
        <v>2.0035835140645171E-6</v>
      </c>
      <c r="AL308" s="156">
        <f t="shared" si="503"/>
        <v>4.1740072032256548E-6</v>
      </c>
      <c r="AM308" s="156">
        <f t="shared" si="503"/>
        <v>1.6410584032303138E-6</v>
      </c>
      <c r="AN308" s="156">
        <f t="shared" si="503"/>
        <v>7.9567115617528449E-6</v>
      </c>
      <c r="AO308" s="156">
        <f t="shared" si="503"/>
        <v>2.1347822036325021E-4</v>
      </c>
      <c r="AP308" s="156">
        <f t="shared" si="503"/>
        <v>1.8325371178130104E-5</v>
      </c>
      <c r="AQ308" s="156">
        <f t="shared" si="503"/>
        <v>2.5806744295157522E-4</v>
      </c>
      <c r="AR308" s="156">
        <f t="shared" si="503"/>
        <v>8.0766210399705757E-6</v>
      </c>
      <c r="AS308" s="156">
        <f t="shared" si="503"/>
        <v>1.6242863291941104E-6</v>
      </c>
      <c r="AT308" s="156">
        <f t="shared" si="503"/>
        <v>0</v>
      </c>
      <c r="AU308" s="156">
        <f t="shared" si="503"/>
        <v>7.7629651776671024E-7</v>
      </c>
      <c r="AV308" s="156">
        <f t="shared" si="503"/>
        <v>2.0348826050789097E-6</v>
      </c>
      <c r="AW308" s="156">
        <f t="shared" si="503"/>
        <v>6.9423904002087103E-6</v>
      </c>
      <c r="AX308" s="156">
        <f t="shared" si="503"/>
        <v>4.5181213038991768E-5</v>
      </c>
      <c r="AY308" s="156">
        <f t="shared" si="503"/>
        <v>7.7138590276834968E-6</v>
      </c>
      <c r="AZ308" s="156">
        <f t="shared" si="503"/>
        <v>0</v>
      </c>
      <c r="BA308" s="156">
        <f t="shared" si="503"/>
        <v>3.2780438263532773E-6</v>
      </c>
      <c r="BB308" s="156">
        <f t="shared" si="503"/>
        <v>4.6722677718972538E-6</v>
      </c>
      <c r="BC308" s="156">
        <f t="shared" si="503"/>
        <v>1.2560184341538931E-5</v>
      </c>
      <c r="BD308" s="156">
        <f t="shared" si="503"/>
        <v>1.2289050338780811E-5</v>
      </c>
      <c r="BE308" s="156">
        <f t="shared" si="503"/>
        <v>8.5029522069788027E-6</v>
      </c>
      <c r="BF308" s="156">
        <f t="shared" si="503"/>
        <v>4.6278521915841953E-6</v>
      </c>
      <c r="BG308" s="156">
        <f t="shared" si="503"/>
        <v>1.7528963687454068E-5</v>
      </c>
      <c r="BH308" s="156">
        <f t="shared" si="503"/>
        <v>7.3275981037153121E-7</v>
      </c>
      <c r="BI308" s="156">
        <f t="shared" si="503"/>
        <v>0</v>
      </c>
      <c r="BJ308" s="156">
        <f t="shared" si="503"/>
        <v>4.2908987213390832E-5</v>
      </c>
      <c r="BK308" s="156">
        <f t="shared" si="503"/>
        <v>1.0886435812019247E-6</v>
      </c>
      <c r="BL308" s="156">
        <f t="shared" si="503"/>
        <v>1.8956035648406146E-3</v>
      </c>
      <c r="BM308" s="156">
        <f t="shared" si="503"/>
        <v>4.0591512002597859E-6</v>
      </c>
      <c r="BN308" s="156">
        <f t="shared" si="503"/>
        <v>4.6467559370438916E-7</v>
      </c>
      <c r="BO308" s="156">
        <f t="shared" ref="BO308:BZ308" si="504">BO149/BO$84</f>
        <v>4.2416838757841056E-5</v>
      </c>
      <c r="BP308" s="156">
        <f t="shared" si="504"/>
        <v>3.746039480986814E-6</v>
      </c>
      <c r="BQ308" s="156">
        <f t="shared" si="504"/>
        <v>9.1446786554044829E-6</v>
      </c>
      <c r="BR308" s="156">
        <f t="shared" si="504"/>
        <v>3.0111619732520301E-6</v>
      </c>
      <c r="BS308" s="156">
        <f t="shared" si="504"/>
        <v>0</v>
      </c>
      <c r="BT308" s="156">
        <f t="shared" si="504"/>
        <v>7.1504298060021392E-5</v>
      </c>
      <c r="BU308" s="156">
        <f t="shared" si="504"/>
        <v>1.0577423527452121E-3</v>
      </c>
      <c r="BV308" s="156">
        <f t="shared" si="504"/>
        <v>1.5115512748423452E-6</v>
      </c>
      <c r="BW308" s="156">
        <f t="shared" si="504"/>
        <v>2.6699887115201978E-4</v>
      </c>
      <c r="BX308" s="156">
        <f t="shared" si="504"/>
        <v>5.9757134641272768E-6</v>
      </c>
      <c r="BY308" s="156">
        <f t="shared" si="504"/>
        <v>0</v>
      </c>
      <c r="BZ308" s="156">
        <f t="shared" si="504"/>
        <v>2.636351836521954E-6</v>
      </c>
      <c r="CA308" s="129">
        <f t="shared" si="408"/>
        <v>0</v>
      </c>
      <c r="CB308" s="18"/>
      <c r="CC308" s="250"/>
      <c r="CD308" s="130">
        <f t="shared" ref="CD308:CG308" si="505">CD149/(CD$79+CD$80)</f>
        <v>5.6032725152238658E-4</v>
      </c>
      <c r="CE308" s="130">
        <f t="shared" si="505"/>
        <v>0</v>
      </c>
      <c r="CF308" s="130">
        <f t="shared" si="505"/>
        <v>5.6765229857146267E-9</v>
      </c>
      <c r="CG308" s="131">
        <f t="shared" si="505"/>
        <v>0</v>
      </c>
      <c r="CH308" s="18"/>
      <c r="CI308" s="18"/>
      <c r="CJ308" s="18"/>
    </row>
    <row r="309" spans="1:88" ht="13.95" customHeight="1" x14ac:dyDescent="0.25">
      <c r="A309" s="153" t="s">
        <v>62</v>
      </c>
      <c r="B309" s="253"/>
      <c r="C309" s="128">
        <f t="shared" ref="C309:AH309" si="506">C150/C$84</f>
        <v>6.3861443102593807E-6</v>
      </c>
      <c r="D309" s="156">
        <f t="shared" si="506"/>
        <v>4.3529269784769919E-5</v>
      </c>
      <c r="E309" s="156">
        <f t="shared" si="506"/>
        <v>0</v>
      </c>
      <c r="F309" s="156">
        <f t="shared" si="506"/>
        <v>6.4030196681998509E-5</v>
      </c>
      <c r="G309" s="156">
        <f t="shared" si="506"/>
        <v>6.1764715443454399E-5</v>
      </c>
      <c r="H309" s="156">
        <f t="shared" si="506"/>
        <v>1.9128054046069361E-5</v>
      </c>
      <c r="I309" s="156">
        <f t="shared" si="506"/>
        <v>3.2624917360040692E-5</v>
      </c>
      <c r="J309" s="156">
        <f t="shared" si="506"/>
        <v>2.7102280983624052E-5</v>
      </c>
      <c r="K309" s="156">
        <f t="shared" si="506"/>
        <v>4.748365362550369E-5</v>
      </c>
      <c r="L309" s="156">
        <f t="shared" si="506"/>
        <v>1.6580146308266853E-5</v>
      </c>
      <c r="M309" s="156">
        <f t="shared" si="506"/>
        <v>2.1621734321781213E-5</v>
      </c>
      <c r="N309" s="156">
        <f t="shared" si="506"/>
        <v>2.2431273666040685E-5</v>
      </c>
      <c r="O309" s="156">
        <f t="shared" si="506"/>
        <v>3.281510636199517E-5</v>
      </c>
      <c r="P309" s="156">
        <f t="shared" si="506"/>
        <v>5.2450924251688334E-5</v>
      </c>
      <c r="Q309" s="156">
        <f t="shared" si="506"/>
        <v>2.4116817751141146E-5</v>
      </c>
      <c r="R309" s="156">
        <f t="shared" si="506"/>
        <v>5.2615552110246509E-5</v>
      </c>
      <c r="S309" s="156">
        <f t="shared" si="506"/>
        <v>3.5647797557946938E-5</v>
      </c>
      <c r="T309" s="156">
        <f t="shared" si="506"/>
        <v>3.0095695869965189E-5</v>
      </c>
      <c r="U309" s="156">
        <f t="shared" si="506"/>
        <v>4.2808637145705364E-5</v>
      </c>
      <c r="V309" s="156">
        <f t="shared" si="506"/>
        <v>3.6610177790491209E-5</v>
      </c>
      <c r="W309" s="156">
        <f t="shared" si="506"/>
        <v>3.0266559717940437E-5</v>
      </c>
      <c r="X309" s="156">
        <f t="shared" si="506"/>
        <v>2.2207287994589601E-5</v>
      </c>
      <c r="Y309" s="156">
        <f t="shared" si="506"/>
        <v>2.2820356649524565E-5</v>
      </c>
      <c r="Z309" s="156">
        <f t="shared" si="506"/>
        <v>2.2874874206605402E-5</v>
      </c>
      <c r="AA309" s="156">
        <f t="shared" si="506"/>
        <v>1.9607746652900932E-5</v>
      </c>
      <c r="AB309" s="156">
        <f t="shared" si="506"/>
        <v>3.4759582790399629E-5</v>
      </c>
      <c r="AC309" s="156">
        <f t="shared" si="506"/>
        <v>3.1733414348913574E-5</v>
      </c>
      <c r="AD309" s="156">
        <f t="shared" si="506"/>
        <v>3.8933426059648914E-5</v>
      </c>
      <c r="AE309" s="156">
        <f t="shared" si="506"/>
        <v>2.131880106808282E-5</v>
      </c>
      <c r="AF309" s="156">
        <f t="shared" si="506"/>
        <v>4.0281614225764105E-5</v>
      </c>
      <c r="AG309" s="156">
        <f t="shared" si="506"/>
        <v>8.6905485388556262E-5</v>
      </c>
      <c r="AH309" s="156">
        <f t="shared" si="506"/>
        <v>8.5895247530446285E-5</v>
      </c>
      <c r="AI309" s="156">
        <f t="shared" ref="AI309:BN309" si="507">AI150/AI$84</f>
        <v>4.6791561673368006E-5</v>
      </c>
      <c r="AJ309" s="156">
        <f t="shared" si="507"/>
        <v>3.2836485097354622E-5</v>
      </c>
      <c r="AK309" s="156">
        <f t="shared" si="507"/>
        <v>3.280152438739909E-5</v>
      </c>
      <c r="AL309" s="156">
        <f t="shared" si="507"/>
        <v>5.4010164537760769E-5</v>
      </c>
      <c r="AM309" s="156">
        <f t="shared" si="507"/>
        <v>6.9692719130816036E-5</v>
      </c>
      <c r="AN309" s="156">
        <f t="shared" si="507"/>
        <v>4.0070458466038965E-5</v>
      </c>
      <c r="AO309" s="156">
        <f t="shared" si="507"/>
        <v>2.2290898511825321E-5</v>
      </c>
      <c r="AP309" s="156">
        <f t="shared" si="507"/>
        <v>7.2686383590011942E-5</v>
      </c>
      <c r="AQ309" s="156">
        <f t="shared" si="507"/>
        <v>1.2720980611182763E-4</v>
      </c>
      <c r="AR309" s="156">
        <f t="shared" si="507"/>
        <v>3.2698870607168325E-5</v>
      </c>
      <c r="AS309" s="156">
        <f t="shared" si="507"/>
        <v>1.3148984569666608E-5</v>
      </c>
      <c r="AT309" s="156">
        <f t="shared" si="507"/>
        <v>5.9013694489114531E-5</v>
      </c>
      <c r="AU309" s="156">
        <f t="shared" si="507"/>
        <v>2.0294608964472567E-5</v>
      </c>
      <c r="AV309" s="156">
        <f t="shared" si="507"/>
        <v>6.2734505767944113E-5</v>
      </c>
      <c r="AW309" s="156">
        <f t="shared" si="507"/>
        <v>1.4821090032024515E-5</v>
      </c>
      <c r="AX309" s="156">
        <f t="shared" si="507"/>
        <v>8.8065076262441584E-5</v>
      </c>
      <c r="AY309" s="156">
        <f t="shared" si="507"/>
        <v>2.0772429488607501E-4</v>
      </c>
      <c r="AZ309" s="156">
        <f t="shared" si="507"/>
        <v>4.9845810014166128E-5</v>
      </c>
      <c r="BA309" s="156">
        <f t="shared" si="507"/>
        <v>2.2553934871924591E-4</v>
      </c>
      <c r="BB309" s="156">
        <f t="shared" si="507"/>
        <v>1.0202928925143073E-4</v>
      </c>
      <c r="BC309" s="156">
        <f t="shared" si="507"/>
        <v>1.4658544494063335E-5</v>
      </c>
      <c r="BD309" s="156">
        <f t="shared" si="507"/>
        <v>4.3563993054891529E-5</v>
      </c>
      <c r="BE309" s="156">
        <f t="shared" si="507"/>
        <v>2.0340984608214308E-5</v>
      </c>
      <c r="BF309" s="156">
        <f t="shared" si="507"/>
        <v>8.242204753211452E-5</v>
      </c>
      <c r="BG309" s="156">
        <f t="shared" si="507"/>
        <v>2.8633477091399483E-5</v>
      </c>
      <c r="BH309" s="156">
        <f t="shared" si="507"/>
        <v>1.6202133584881636E-5</v>
      </c>
      <c r="BI309" s="156">
        <f t="shared" si="507"/>
        <v>5.3128981560590781E-6</v>
      </c>
      <c r="BJ309" s="156">
        <f t="shared" si="507"/>
        <v>6.4531619484715528E-5</v>
      </c>
      <c r="BK309" s="156">
        <f t="shared" si="507"/>
        <v>1.5474290904227357E-5</v>
      </c>
      <c r="BL309" s="156">
        <f t="shared" si="507"/>
        <v>2.073586397273234E-5</v>
      </c>
      <c r="BM309" s="156">
        <f t="shared" si="507"/>
        <v>3.46953346822205E-3</v>
      </c>
      <c r="BN309" s="156">
        <f t="shared" si="507"/>
        <v>3.260473749159131E-5</v>
      </c>
      <c r="BO309" s="156">
        <f t="shared" ref="BO309:BZ309" si="508">BO150/BO$84</f>
        <v>2.3447817698433874E-5</v>
      </c>
      <c r="BP309" s="156">
        <f t="shared" si="508"/>
        <v>1.2281002485551425E-5</v>
      </c>
      <c r="BQ309" s="156">
        <f t="shared" si="508"/>
        <v>4.1920232527812135E-5</v>
      </c>
      <c r="BR309" s="156">
        <f t="shared" si="508"/>
        <v>3.7103982435508237E-5</v>
      </c>
      <c r="BS309" s="156">
        <f t="shared" si="508"/>
        <v>6.0496770546489685E-6</v>
      </c>
      <c r="BT309" s="156">
        <f t="shared" si="508"/>
        <v>3.2869947542097121E-4</v>
      </c>
      <c r="BU309" s="156">
        <f t="shared" si="508"/>
        <v>5.5951604827457013E-4</v>
      </c>
      <c r="BV309" s="156">
        <f t="shared" si="508"/>
        <v>5.7438948444009116E-5</v>
      </c>
      <c r="BW309" s="156">
        <f t="shared" si="508"/>
        <v>3.0346478611943179E-4</v>
      </c>
      <c r="BX309" s="156">
        <f t="shared" si="508"/>
        <v>2.0605908496990609E-6</v>
      </c>
      <c r="BY309" s="156">
        <f t="shared" si="508"/>
        <v>2.5116580316656171E-5</v>
      </c>
      <c r="BZ309" s="156">
        <f t="shared" si="508"/>
        <v>9.8072288318616684E-4</v>
      </c>
      <c r="CA309" s="129">
        <f t="shared" si="408"/>
        <v>0</v>
      </c>
      <c r="CB309" s="18"/>
      <c r="CC309" s="250"/>
      <c r="CD309" s="130">
        <f t="shared" ref="CD309:CG309" si="509">CD150/(CD$79+CD$80)</f>
        <v>7.9457883714153431E-6</v>
      </c>
      <c r="CE309" s="130">
        <f t="shared" si="509"/>
        <v>0</v>
      </c>
      <c r="CF309" s="130">
        <f t="shared" si="509"/>
        <v>5.6765229857146267E-9</v>
      </c>
      <c r="CG309" s="131">
        <f t="shared" si="509"/>
        <v>0</v>
      </c>
      <c r="CH309" s="18"/>
      <c r="CI309" s="18"/>
      <c r="CJ309" s="18"/>
    </row>
    <row r="310" spans="1:88" ht="13.95" customHeight="1" x14ac:dyDescent="0.25">
      <c r="A310" s="153" t="s">
        <v>63</v>
      </c>
      <c r="B310" s="253"/>
      <c r="C310" s="128">
        <f t="shared" ref="C310:AH310" si="510">C151/C$84</f>
        <v>5.8029347842082955E-6</v>
      </c>
      <c r="D310" s="156">
        <f t="shared" si="510"/>
        <v>5.1262014317393711E-5</v>
      </c>
      <c r="E310" s="156">
        <f t="shared" si="510"/>
        <v>1.6421349944441098E-5</v>
      </c>
      <c r="F310" s="156">
        <f t="shared" si="510"/>
        <v>5.3977146478303094E-5</v>
      </c>
      <c r="G310" s="156">
        <f t="shared" si="510"/>
        <v>2.3026319353919404E-5</v>
      </c>
      <c r="H310" s="156">
        <f t="shared" si="510"/>
        <v>1.3913185863250882E-5</v>
      </c>
      <c r="I310" s="156">
        <f t="shared" si="510"/>
        <v>3.7797713714762025E-5</v>
      </c>
      <c r="J310" s="156">
        <f t="shared" si="510"/>
        <v>5.9891201280776361E-5</v>
      </c>
      <c r="K310" s="156">
        <f t="shared" si="510"/>
        <v>5.6270664260828215E-5</v>
      </c>
      <c r="L310" s="156">
        <f t="shared" si="510"/>
        <v>3.3680745639663162E-5</v>
      </c>
      <c r="M310" s="156">
        <f t="shared" si="510"/>
        <v>7.2201148538805125E-5</v>
      </c>
      <c r="N310" s="156">
        <f t="shared" si="510"/>
        <v>2.7221148906280412E-5</v>
      </c>
      <c r="O310" s="156">
        <f t="shared" si="510"/>
        <v>3.4310157539877575E-5</v>
      </c>
      <c r="P310" s="156">
        <f t="shared" si="510"/>
        <v>5.4092347201243304E-5</v>
      </c>
      <c r="Q310" s="156">
        <f t="shared" si="510"/>
        <v>7.1463805541984423E-6</v>
      </c>
      <c r="R310" s="156">
        <f t="shared" si="510"/>
        <v>2.0374026679207947E-5</v>
      </c>
      <c r="S310" s="156">
        <f t="shared" si="510"/>
        <v>5.7325512289130893E-5</v>
      </c>
      <c r="T310" s="156">
        <f t="shared" si="510"/>
        <v>2.453637008992846E-5</v>
      </c>
      <c r="U310" s="156">
        <f t="shared" si="510"/>
        <v>2.8792003154900716E-5</v>
      </c>
      <c r="V310" s="156">
        <f t="shared" si="510"/>
        <v>1.716957744155901E-5</v>
      </c>
      <c r="W310" s="156">
        <f t="shared" si="510"/>
        <v>2.8769748272135062E-5</v>
      </c>
      <c r="X310" s="156">
        <f t="shared" si="510"/>
        <v>1.5079373305789102E-5</v>
      </c>
      <c r="Y310" s="156">
        <f t="shared" si="510"/>
        <v>4.2807603162393544E-5</v>
      </c>
      <c r="Z310" s="156">
        <f t="shared" si="510"/>
        <v>3.3733600140927741E-5</v>
      </c>
      <c r="AA310" s="156">
        <f t="shared" si="510"/>
        <v>1.9566045788050016E-5</v>
      </c>
      <c r="AB310" s="156">
        <f t="shared" si="510"/>
        <v>3.9320986121339076E-5</v>
      </c>
      <c r="AC310" s="156">
        <f t="shared" si="510"/>
        <v>2.7277617751097482E-5</v>
      </c>
      <c r="AD310" s="156">
        <f t="shared" si="510"/>
        <v>1.7057277035956204E-5</v>
      </c>
      <c r="AE310" s="156">
        <f t="shared" si="510"/>
        <v>2.423679835421469E-5</v>
      </c>
      <c r="AF310" s="156">
        <f t="shared" si="510"/>
        <v>4.69833968742407E-5</v>
      </c>
      <c r="AG310" s="156">
        <f t="shared" si="510"/>
        <v>1.4112961218733152E-4</v>
      </c>
      <c r="AH310" s="156">
        <f t="shared" si="510"/>
        <v>9.4103131804505966E-5</v>
      </c>
      <c r="AI310" s="156">
        <f t="shared" ref="AI310:BN310" si="511">AI151/AI$84</f>
        <v>9.3128836340198464E-5</v>
      </c>
      <c r="AJ310" s="156">
        <f t="shared" si="511"/>
        <v>1.1458489778047896E-5</v>
      </c>
      <c r="AK310" s="156">
        <f t="shared" si="511"/>
        <v>1.7746025410285722E-5</v>
      </c>
      <c r="AL310" s="156">
        <f t="shared" si="511"/>
        <v>1.8700010323367609E-5</v>
      </c>
      <c r="AM310" s="156">
        <f t="shared" si="511"/>
        <v>2.3340658690530512E-5</v>
      </c>
      <c r="AN310" s="156">
        <f t="shared" si="511"/>
        <v>4.3462261792042585E-5</v>
      </c>
      <c r="AO310" s="156">
        <f t="shared" si="511"/>
        <v>4.3914975273296895E-5</v>
      </c>
      <c r="AP310" s="156">
        <f t="shared" si="511"/>
        <v>6.3192936076579112E-5</v>
      </c>
      <c r="AQ310" s="156">
        <f t="shared" si="511"/>
        <v>1.9021779141226364E-4</v>
      </c>
      <c r="AR310" s="156">
        <f t="shared" si="511"/>
        <v>2.0992674929802065E-5</v>
      </c>
      <c r="AS310" s="156">
        <f t="shared" si="511"/>
        <v>4.5944099025776266E-5</v>
      </c>
      <c r="AT310" s="156">
        <f t="shared" si="511"/>
        <v>9.5596163266805428E-5</v>
      </c>
      <c r="AU310" s="156">
        <f t="shared" si="511"/>
        <v>2.639408160406815E-5</v>
      </c>
      <c r="AV310" s="156">
        <f t="shared" si="511"/>
        <v>1.0074981261737284E-4</v>
      </c>
      <c r="AW310" s="156">
        <f t="shared" si="511"/>
        <v>6.4856541896686639E-5</v>
      </c>
      <c r="AX310" s="156">
        <f t="shared" si="511"/>
        <v>1.3822388056844093E-4</v>
      </c>
      <c r="AY310" s="156">
        <f t="shared" si="511"/>
        <v>3.2642607410217098E-5</v>
      </c>
      <c r="AZ310" s="156">
        <f t="shared" si="511"/>
        <v>7.691216890887354E-5</v>
      </c>
      <c r="BA310" s="156">
        <f t="shared" si="511"/>
        <v>1.9002720726708541E-4</v>
      </c>
      <c r="BB310" s="156">
        <f t="shared" si="511"/>
        <v>1.179635759208423E-4</v>
      </c>
      <c r="BC310" s="156">
        <f t="shared" si="511"/>
        <v>3.9059475410561402E-5</v>
      </c>
      <c r="BD310" s="156">
        <f t="shared" si="511"/>
        <v>9.0856124976604205E-5</v>
      </c>
      <c r="BE310" s="156">
        <f t="shared" si="511"/>
        <v>2.2504279869353793E-5</v>
      </c>
      <c r="BF310" s="156">
        <f t="shared" si="511"/>
        <v>1.023680904778424E-4</v>
      </c>
      <c r="BG310" s="156">
        <f t="shared" si="511"/>
        <v>1.7231141488880818E-5</v>
      </c>
      <c r="BH310" s="156">
        <f t="shared" si="511"/>
        <v>5.4549896994325097E-6</v>
      </c>
      <c r="BI310" s="156">
        <f t="shared" si="511"/>
        <v>0</v>
      </c>
      <c r="BJ310" s="156">
        <f t="shared" si="511"/>
        <v>8.1412741413494671E-5</v>
      </c>
      <c r="BK310" s="156">
        <f t="shared" si="511"/>
        <v>2.4338960065443032E-5</v>
      </c>
      <c r="BL310" s="156">
        <f t="shared" si="511"/>
        <v>3.205418972451541E-5</v>
      </c>
      <c r="BM310" s="156">
        <f t="shared" si="511"/>
        <v>1.4175804960907251E-4</v>
      </c>
      <c r="BN310" s="156">
        <f t="shared" si="511"/>
        <v>1.8775991822948686E-3</v>
      </c>
      <c r="BO310" s="156">
        <f t="shared" ref="BO310:BZ310" si="512">BO151/BO$84</f>
        <v>2.9507366092411168E-5</v>
      </c>
      <c r="BP310" s="156">
        <f t="shared" si="512"/>
        <v>7.2184261891977531E-5</v>
      </c>
      <c r="BQ310" s="156">
        <f t="shared" si="512"/>
        <v>4.1225835200006891E-5</v>
      </c>
      <c r="BR310" s="156">
        <f t="shared" si="512"/>
        <v>4.5854540384623196E-5</v>
      </c>
      <c r="BS310" s="156">
        <f t="shared" si="512"/>
        <v>2.0191893125879093E-4</v>
      </c>
      <c r="BT310" s="156">
        <f t="shared" si="512"/>
        <v>1.2933190753089876E-4</v>
      </c>
      <c r="BU310" s="156">
        <f t="shared" si="512"/>
        <v>2.7876947988238302E-4</v>
      </c>
      <c r="BV310" s="156">
        <f t="shared" si="512"/>
        <v>2.7207922947162214E-5</v>
      </c>
      <c r="BW310" s="156">
        <f t="shared" si="512"/>
        <v>1.2911213018149313E-4</v>
      </c>
      <c r="BX310" s="156">
        <f t="shared" si="512"/>
        <v>8.2423633987962443E-7</v>
      </c>
      <c r="BY310" s="156">
        <f t="shared" si="512"/>
        <v>2.7122934365619831E-5</v>
      </c>
      <c r="BZ310" s="156">
        <f t="shared" si="512"/>
        <v>3.371164795212116E-5</v>
      </c>
      <c r="CA310" s="129">
        <f t="shared" si="408"/>
        <v>0</v>
      </c>
      <c r="CB310" s="18"/>
      <c r="CC310" s="250"/>
      <c r="CD310" s="130">
        <f t="shared" ref="CD310:CG310" si="513">CD151/(CD$79+CD$80)</f>
        <v>2.2314100390530883E-4</v>
      </c>
      <c r="CE310" s="130">
        <f t="shared" si="513"/>
        <v>0</v>
      </c>
      <c r="CF310" s="130">
        <f t="shared" si="513"/>
        <v>5.1088706871431639E-8</v>
      </c>
      <c r="CG310" s="131">
        <f t="shared" si="513"/>
        <v>0</v>
      </c>
      <c r="CH310" s="18"/>
      <c r="CI310" s="18"/>
      <c r="CJ310" s="18"/>
    </row>
    <row r="311" spans="1:88" ht="13.95" customHeight="1" x14ac:dyDescent="0.25">
      <c r="A311" s="153" t="s">
        <v>64</v>
      </c>
      <c r="B311" s="253"/>
      <c r="C311" s="128">
        <f t="shared" ref="C311:AH311" si="514">C152/C$84</f>
        <v>2.9743685828605334E-6</v>
      </c>
      <c r="D311" s="156">
        <f t="shared" si="514"/>
        <v>1.2598291654274726E-5</v>
      </c>
      <c r="E311" s="156">
        <f t="shared" si="514"/>
        <v>0</v>
      </c>
      <c r="F311" s="156">
        <f t="shared" si="514"/>
        <v>1.2888525902173614E-6</v>
      </c>
      <c r="G311" s="156">
        <f t="shared" si="514"/>
        <v>5.4856819637278579E-5</v>
      </c>
      <c r="H311" s="156">
        <f t="shared" si="514"/>
        <v>1.3217526570088338E-5</v>
      </c>
      <c r="I311" s="156">
        <f t="shared" si="514"/>
        <v>8.4579757940355841E-5</v>
      </c>
      <c r="J311" s="156">
        <f t="shared" si="514"/>
        <v>1.6333963985666283E-5</v>
      </c>
      <c r="K311" s="156">
        <f t="shared" si="514"/>
        <v>1.2335611084205584E-5</v>
      </c>
      <c r="L311" s="156">
        <f t="shared" si="514"/>
        <v>2.1338573948307566E-5</v>
      </c>
      <c r="M311" s="156">
        <f t="shared" si="514"/>
        <v>1.5637147143431055E-5</v>
      </c>
      <c r="N311" s="156">
        <f t="shared" si="514"/>
        <v>1.6803824613300022E-5</v>
      </c>
      <c r="O311" s="156">
        <f t="shared" si="514"/>
        <v>1.3050022993380319E-5</v>
      </c>
      <c r="P311" s="156">
        <f t="shared" si="514"/>
        <v>3.6260525158350686E-5</v>
      </c>
      <c r="Q311" s="156">
        <f t="shared" si="514"/>
        <v>2.1226346211849967E-5</v>
      </c>
      <c r="R311" s="156">
        <f t="shared" si="514"/>
        <v>8.328069299530255E-6</v>
      </c>
      <c r="S311" s="156">
        <f t="shared" si="514"/>
        <v>1.4114600924970883E-4</v>
      </c>
      <c r="T311" s="156">
        <f t="shared" si="514"/>
        <v>5.4813913064848122E-6</v>
      </c>
      <c r="U311" s="156">
        <f t="shared" si="514"/>
        <v>2.3560723802207245E-6</v>
      </c>
      <c r="V311" s="156">
        <f t="shared" si="514"/>
        <v>9.7283534471872816E-6</v>
      </c>
      <c r="W311" s="156">
        <f t="shared" si="514"/>
        <v>1.2346113718505036E-5</v>
      </c>
      <c r="X311" s="156">
        <f t="shared" si="514"/>
        <v>2.2377676393525072E-5</v>
      </c>
      <c r="Y311" s="156">
        <f t="shared" si="514"/>
        <v>9.9331605401034257E-6</v>
      </c>
      <c r="Z311" s="156">
        <f t="shared" si="514"/>
        <v>1.1216474656964746E-5</v>
      </c>
      <c r="AA311" s="156">
        <f t="shared" si="514"/>
        <v>4.153406139151282E-6</v>
      </c>
      <c r="AB311" s="156">
        <f t="shared" si="514"/>
        <v>1.816114289170333E-5</v>
      </c>
      <c r="AC311" s="156">
        <f t="shared" si="514"/>
        <v>8.5723193430065895E-6</v>
      </c>
      <c r="AD311" s="156">
        <f t="shared" si="514"/>
        <v>5.8897324294557295E-6</v>
      </c>
      <c r="AE311" s="156">
        <f t="shared" si="514"/>
        <v>8.7975440566960779E-6</v>
      </c>
      <c r="AF311" s="156">
        <f t="shared" si="514"/>
        <v>8.5093137093554059E-5</v>
      </c>
      <c r="AG311" s="156">
        <f t="shared" si="514"/>
        <v>3.9168669470898594E-6</v>
      </c>
      <c r="AH311" s="156">
        <f t="shared" si="514"/>
        <v>3.910507921653915E-5</v>
      </c>
      <c r="AI311" s="156">
        <f t="shared" ref="AI311:BN311" si="515">AI152/AI$84</f>
        <v>3.407152549031651E-5</v>
      </c>
      <c r="AJ311" s="156">
        <f t="shared" si="515"/>
        <v>5.7740837154717497E-6</v>
      </c>
      <c r="AK311" s="156">
        <f t="shared" si="515"/>
        <v>3.131314806266545E-5</v>
      </c>
      <c r="AL311" s="156">
        <f t="shared" si="515"/>
        <v>4.3881469417724847E-5</v>
      </c>
      <c r="AM311" s="156">
        <f t="shared" si="515"/>
        <v>3.7326239222518789E-5</v>
      </c>
      <c r="AN311" s="156">
        <f t="shared" si="515"/>
        <v>1.686338307759317E-5</v>
      </c>
      <c r="AO311" s="156">
        <f t="shared" si="515"/>
        <v>4.4772317523751713E-6</v>
      </c>
      <c r="AP311" s="156">
        <f t="shared" si="515"/>
        <v>1.2174359953045269E-5</v>
      </c>
      <c r="AQ311" s="156">
        <f t="shared" si="515"/>
        <v>1.512191647210464E-5</v>
      </c>
      <c r="AR311" s="156">
        <f t="shared" si="515"/>
        <v>1.013664988822218E-5</v>
      </c>
      <c r="AS311" s="156">
        <f t="shared" si="515"/>
        <v>2.3822866161513617E-5</v>
      </c>
      <c r="AT311" s="156">
        <f t="shared" si="515"/>
        <v>1.4000697927264418E-5</v>
      </c>
      <c r="AU311" s="156">
        <f t="shared" si="515"/>
        <v>3.1273659715744615E-5</v>
      </c>
      <c r="AV311" s="156">
        <f t="shared" si="515"/>
        <v>2.8842148560396863E-4</v>
      </c>
      <c r="AW311" s="156">
        <f t="shared" si="515"/>
        <v>6.0289179791286166E-5</v>
      </c>
      <c r="AX311" s="156">
        <f t="shared" si="515"/>
        <v>4.7191394127590979E-5</v>
      </c>
      <c r="AY311" s="156">
        <f t="shared" si="515"/>
        <v>8.798381782070682E-6</v>
      </c>
      <c r="AZ311" s="156">
        <f t="shared" si="515"/>
        <v>1.1011468991325064E-5</v>
      </c>
      <c r="BA311" s="156">
        <f t="shared" si="515"/>
        <v>7.6388354620171824E-5</v>
      </c>
      <c r="BB311" s="156">
        <f t="shared" si="515"/>
        <v>2.6991774009195766E-5</v>
      </c>
      <c r="BC311" s="156">
        <f t="shared" si="515"/>
        <v>1.2722057839019386E-4</v>
      </c>
      <c r="BD311" s="156">
        <f t="shared" si="515"/>
        <v>7.5253173422871257E-5</v>
      </c>
      <c r="BE311" s="156">
        <f t="shared" si="515"/>
        <v>3.2840023894797989E-5</v>
      </c>
      <c r="BF311" s="156">
        <f t="shared" si="515"/>
        <v>2.0084878511475409E-5</v>
      </c>
      <c r="BG311" s="156">
        <f t="shared" si="515"/>
        <v>3.0399137268655174E-5</v>
      </c>
      <c r="BH311" s="156">
        <f t="shared" si="515"/>
        <v>2.1982794311145935E-5</v>
      </c>
      <c r="BI311" s="156">
        <f t="shared" si="515"/>
        <v>2.9885052127832316E-6</v>
      </c>
      <c r="BJ311" s="156">
        <f t="shared" si="515"/>
        <v>3.2013601745413853E-5</v>
      </c>
      <c r="BK311" s="156">
        <f t="shared" si="515"/>
        <v>2.9548897204052242E-5</v>
      </c>
      <c r="BL311" s="156">
        <f t="shared" si="515"/>
        <v>1.0972728018904196E-5</v>
      </c>
      <c r="BM311" s="156">
        <f t="shared" si="515"/>
        <v>6.2864803204023352E-5</v>
      </c>
      <c r="BN311" s="156">
        <f t="shared" si="515"/>
        <v>1.5752502626578793E-4</v>
      </c>
      <c r="BO311" s="156">
        <f t="shared" ref="BO311:BZ311" si="516">BO152/BO$84</f>
        <v>2.2499366645463518E-4</v>
      </c>
      <c r="BP311" s="156">
        <f t="shared" si="516"/>
        <v>2.1441695915670628E-6</v>
      </c>
      <c r="BQ311" s="156">
        <f t="shared" si="516"/>
        <v>2.4132977900185428E-5</v>
      </c>
      <c r="BR311" s="156">
        <f t="shared" si="516"/>
        <v>2.0956878968203727E-5</v>
      </c>
      <c r="BS311" s="156">
        <f t="shared" si="516"/>
        <v>2.8056473296922753E-6</v>
      </c>
      <c r="BT311" s="156">
        <f t="shared" si="516"/>
        <v>7.5818421306261442E-5</v>
      </c>
      <c r="BU311" s="156">
        <f t="shared" si="516"/>
        <v>5.7829838911770941E-5</v>
      </c>
      <c r="BV311" s="156">
        <f t="shared" si="516"/>
        <v>1.7130914448213244E-5</v>
      </c>
      <c r="BW311" s="156">
        <f t="shared" si="516"/>
        <v>3.4186795281948759E-6</v>
      </c>
      <c r="BX311" s="156">
        <f t="shared" si="516"/>
        <v>4.3272407843680277E-6</v>
      </c>
      <c r="BY311" s="156">
        <f t="shared" si="516"/>
        <v>2.7494481411724211E-6</v>
      </c>
      <c r="BZ311" s="156">
        <f t="shared" si="516"/>
        <v>8.077333286365136E-6</v>
      </c>
      <c r="CA311" s="129">
        <f t="shared" si="408"/>
        <v>0</v>
      </c>
      <c r="CB311" s="18"/>
      <c r="CC311" s="250"/>
      <c r="CD311" s="130">
        <f t="shared" ref="CD311:CG311" si="517">CD152/(CD$79+CD$80)</f>
        <v>8.0219838028538201E-6</v>
      </c>
      <c r="CE311" s="130">
        <f t="shared" si="517"/>
        <v>0</v>
      </c>
      <c r="CF311" s="130">
        <f t="shared" si="517"/>
        <v>6.8118275828575523E-8</v>
      </c>
      <c r="CG311" s="131">
        <f t="shared" si="517"/>
        <v>0</v>
      </c>
      <c r="CH311" s="18"/>
      <c r="CI311" s="18"/>
      <c r="CJ311" s="18"/>
    </row>
    <row r="312" spans="1:88" ht="13.95" customHeight="1" x14ac:dyDescent="0.25">
      <c r="A312" s="153" t="s">
        <v>65</v>
      </c>
      <c r="B312" s="253"/>
      <c r="C312" s="128">
        <f t="shared" ref="C312:AH312" si="518">C153/C$84</f>
        <v>0</v>
      </c>
      <c r="D312" s="156">
        <f t="shared" si="518"/>
        <v>0</v>
      </c>
      <c r="E312" s="156">
        <f t="shared" si="518"/>
        <v>0</v>
      </c>
      <c r="F312" s="156">
        <f t="shared" si="518"/>
        <v>0</v>
      </c>
      <c r="G312" s="156">
        <f t="shared" si="518"/>
        <v>0</v>
      </c>
      <c r="H312" s="156">
        <f t="shared" si="518"/>
        <v>0</v>
      </c>
      <c r="I312" s="156">
        <f t="shared" si="518"/>
        <v>0</v>
      </c>
      <c r="J312" s="156">
        <f t="shared" si="518"/>
        <v>0</v>
      </c>
      <c r="K312" s="156">
        <f t="shared" si="518"/>
        <v>0</v>
      </c>
      <c r="L312" s="156">
        <f t="shared" si="518"/>
        <v>0</v>
      </c>
      <c r="M312" s="156">
        <f t="shared" si="518"/>
        <v>0</v>
      </c>
      <c r="N312" s="156">
        <f t="shared" si="518"/>
        <v>0</v>
      </c>
      <c r="O312" s="156">
        <f t="shared" si="518"/>
        <v>0</v>
      </c>
      <c r="P312" s="156">
        <f t="shared" si="518"/>
        <v>0</v>
      </c>
      <c r="Q312" s="156">
        <f t="shared" si="518"/>
        <v>0</v>
      </c>
      <c r="R312" s="156">
        <f t="shared" si="518"/>
        <v>0</v>
      </c>
      <c r="S312" s="156">
        <f t="shared" si="518"/>
        <v>0</v>
      </c>
      <c r="T312" s="156">
        <f t="shared" si="518"/>
        <v>0</v>
      </c>
      <c r="U312" s="156">
        <f t="shared" si="518"/>
        <v>0</v>
      </c>
      <c r="V312" s="156">
        <f t="shared" si="518"/>
        <v>0</v>
      </c>
      <c r="W312" s="156">
        <f t="shared" si="518"/>
        <v>0</v>
      </c>
      <c r="X312" s="156">
        <f t="shared" si="518"/>
        <v>0</v>
      </c>
      <c r="Y312" s="156">
        <f t="shared" si="518"/>
        <v>0</v>
      </c>
      <c r="Z312" s="156">
        <f t="shared" si="518"/>
        <v>0</v>
      </c>
      <c r="AA312" s="156">
        <f t="shared" si="518"/>
        <v>0</v>
      </c>
      <c r="AB312" s="156">
        <f t="shared" si="518"/>
        <v>0</v>
      </c>
      <c r="AC312" s="156">
        <f t="shared" si="518"/>
        <v>0</v>
      </c>
      <c r="AD312" s="156">
        <f t="shared" si="518"/>
        <v>0</v>
      </c>
      <c r="AE312" s="156">
        <f t="shared" si="518"/>
        <v>0</v>
      </c>
      <c r="AF312" s="156">
        <f t="shared" si="518"/>
        <v>0</v>
      </c>
      <c r="AG312" s="156">
        <f t="shared" si="518"/>
        <v>0</v>
      </c>
      <c r="AH312" s="156">
        <f t="shared" si="518"/>
        <v>0</v>
      </c>
      <c r="AI312" s="156">
        <f t="shared" ref="AI312:BN312" si="519">AI153/AI$84</f>
        <v>0</v>
      </c>
      <c r="AJ312" s="156">
        <f t="shared" si="519"/>
        <v>0</v>
      </c>
      <c r="AK312" s="156">
        <f t="shared" si="519"/>
        <v>0</v>
      </c>
      <c r="AL312" s="156">
        <f t="shared" si="519"/>
        <v>0</v>
      </c>
      <c r="AM312" s="156">
        <f t="shared" si="519"/>
        <v>0</v>
      </c>
      <c r="AN312" s="156">
        <f t="shared" si="519"/>
        <v>0</v>
      </c>
      <c r="AO312" s="156">
        <f t="shared" si="519"/>
        <v>0</v>
      </c>
      <c r="AP312" s="156">
        <f t="shared" si="519"/>
        <v>0</v>
      </c>
      <c r="AQ312" s="156">
        <f t="shared" si="519"/>
        <v>0</v>
      </c>
      <c r="AR312" s="156">
        <f t="shared" si="519"/>
        <v>0</v>
      </c>
      <c r="AS312" s="156">
        <f t="shared" si="519"/>
        <v>0</v>
      </c>
      <c r="AT312" s="156">
        <f t="shared" si="519"/>
        <v>0</v>
      </c>
      <c r="AU312" s="156">
        <f t="shared" si="519"/>
        <v>0</v>
      </c>
      <c r="AV312" s="156">
        <f t="shared" si="519"/>
        <v>0</v>
      </c>
      <c r="AW312" s="156">
        <f t="shared" si="519"/>
        <v>0</v>
      </c>
      <c r="AX312" s="156">
        <f t="shared" si="519"/>
        <v>0</v>
      </c>
      <c r="AY312" s="156">
        <f t="shared" si="519"/>
        <v>0</v>
      </c>
      <c r="AZ312" s="156">
        <f t="shared" si="519"/>
        <v>0</v>
      </c>
      <c r="BA312" s="156">
        <f t="shared" si="519"/>
        <v>0</v>
      </c>
      <c r="BB312" s="156">
        <f t="shared" si="519"/>
        <v>0</v>
      </c>
      <c r="BC312" s="156">
        <f t="shared" si="519"/>
        <v>0</v>
      </c>
      <c r="BD312" s="156">
        <f t="shared" si="519"/>
        <v>0</v>
      </c>
      <c r="BE312" s="156">
        <f t="shared" si="519"/>
        <v>0</v>
      </c>
      <c r="BF312" s="156">
        <f t="shared" si="519"/>
        <v>0</v>
      </c>
      <c r="BG312" s="156">
        <f t="shared" si="519"/>
        <v>0</v>
      </c>
      <c r="BH312" s="156">
        <f t="shared" si="519"/>
        <v>0</v>
      </c>
      <c r="BI312" s="156">
        <f t="shared" si="519"/>
        <v>0</v>
      </c>
      <c r="BJ312" s="156">
        <f t="shared" si="519"/>
        <v>0</v>
      </c>
      <c r="BK312" s="156">
        <f t="shared" si="519"/>
        <v>0</v>
      </c>
      <c r="BL312" s="156">
        <f t="shared" si="519"/>
        <v>0</v>
      </c>
      <c r="BM312" s="156">
        <f t="shared" si="519"/>
        <v>0</v>
      </c>
      <c r="BN312" s="156">
        <f t="shared" si="519"/>
        <v>0</v>
      </c>
      <c r="BO312" s="156">
        <f t="shared" ref="BO312:BZ312" si="520">BO153/BO$84</f>
        <v>0</v>
      </c>
      <c r="BP312" s="156">
        <f t="shared" si="520"/>
        <v>0</v>
      </c>
      <c r="BQ312" s="156">
        <f t="shared" si="520"/>
        <v>0</v>
      </c>
      <c r="BR312" s="156">
        <f t="shared" si="520"/>
        <v>0</v>
      </c>
      <c r="BS312" s="156">
        <f t="shared" si="520"/>
        <v>0</v>
      </c>
      <c r="BT312" s="156">
        <f t="shared" si="520"/>
        <v>0</v>
      </c>
      <c r="BU312" s="156">
        <f t="shared" si="520"/>
        <v>0</v>
      </c>
      <c r="BV312" s="156">
        <f t="shared" si="520"/>
        <v>0</v>
      </c>
      <c r="BW312" s="156">
        <f t="shared" si="520"/>
        <v>0</v>
      </c>
      <c r="BX312" s="156">
        <f t="shared" si="520"/>
        <v>0</v>
      </c>
      <c r="BY312" s="156">
        <f t="shared" si="520"/>
        <v>0</v>
      </c>
      <c r="BZ312" s="156">
        <f t="shared" si="520"/>
        <v>0</v>
      </c>
      <c r="CA312" s="129">
        <f t="shared" si="408"/>
        <v>0</v>
      </c>
      <c r="CB312" s="18"/>
      <c r="CC312" s="250"/>
      <c r="CD312" s="130">
        <f t="shared" ref="CD312:CG312" si="521">CD153/(CD$79+CD$80)</f>
        <v>0</v>
      </c>
      <c r="CE312" s="130">
        <f t="shared" si="521"/>
        <v>0</v>
      </c>
      <c r="CF312" s="130">
        <f t="shared" si="521"/>
        <v>0</v>
      </c>
      <c r="CG312" s="131">
        <f t="shared" si="521"/>
        <v>0</v>
      </c>
      <c r="CH312" s="18"/>
      <c r="CI312" s="18"/>
      <c r="CJ312" s="18"/>
    </row>
    <row r="313" spans="1:88" ht="13.95" customHeight="1" x14ac:dyDescent="0.25">
      <c r="A313" s="153" t="s">
        <v>66</v>
      </c>
      <c r="B313" s="253"/>
      <c r="C313" s="128">
        <f t="shared" ref="C313:AH313" si="522">C154/C$84</f>
        <v>0</v>
      </c>
      <c r="D313" s="156">
        <f t="shared" si="522"/>
        <v>0</v>
      </c>
      <c r="E313" s="156">
        <f t="shared" si="522"/>
        <v>0</v>
      </c>
      <c r="F313" s="156">
        <f t="shared" si="522"/>
        <v>0</v>
      </c>
      <c r="G313" s="156">
        <f t="shared" si="522"/>
        <v>0</v>
      </c>
      <c r="H313" s="156">
        <f t="shared" si="522"/>
        <v>0</v>
      </c>
      <c r="I313" s="156">
        <f t="shared" si="522"/>
        <v>0</v>
      </c>
      <c r="J313" s="156">
        <f t="shared" si="522"/>
        <v>0</v>
      </c>
      <c r="K313" s="156">
        <f t="shared" si="522"/>
        <v>0</v>
      </c>
      <c r="L313" s="156">
        <f t="shared" si="522"/>
        <v>0</v>
      </c>
      <c r="M313" s="156">
        <f t="shared" si="522"/>
        <v>0</v>
      </c>
      <c r="N313" s="156">
        <f t="shared" si="522"/>
        <v>0</v>
      </c>
      <c r="O313" s="156">
        <f t="shared" si="522"/>
        <v>0</v>
      </c>
      <c r="P313" s="156">
        <f t="shared" si="522"/>
        <v>0</v>
      </c>
      <c r="Q313" s="156">
        <f t="shared" si="522"/>
        <v>0</v>
      </c>
      <c r="R313" s="156">
        <f t="shared" si="522"/>
        <v>0</v>
      </c>
      <c r="S313" s="156">
        <f t="shared" si="522"/>
        <v>0</v>
      </c>
      <c r="T313" s="156">
        <f t="shared" si="522"/>
        <v>0</v>
      </c>
      <c r="U313" s="156">
        <f t="shared" si="522"/>
        <v>0</v>
      </c>
      <c r="V313" s="156">
        <f t="shared" si="522"/>
        <v>0</v>
      </c>
      <c r="W313" s="156">
        <f t="shared" si="522"/>
        <v>0</v>
      </c>
      <c r="X313" s="156">
        <f t="shared" si="522"/>
        <v>0</v>
      </c>
      <c r="Y313" s="156">
        <f t="shared" si="522"/>
        <v>0</v>
      </c>
      <c r="Z313" s="156">
        <f t="shared" si="522"/>
        <v>0</v>
      </c>
      <c r="AA313" s="156">
        <f t="shared" si="522"/>
        <v>0</v>
      </c>
      <c r="AB313" s="156">
        <f t="shared" si="522"/>
        <v>0</v>
      </c>
      <c r="AC313" s="156">
        <f t="shared" si="522"/>
        <v>0</v>
      </c>
      <c r="AD313" s="156">
        <f t="shared" si="522"/>
        <v>0</v>
      </c>
      <c r="AE313" s="156">
        <f t="shared" si="522"/>
        <v>0</v>
      </c>
      <c r="AF313" s="156">
        <f t="shared" si="522"/>
        <v>0</v>
      </c>
      <c r="AG313" s="156">
        <f t="shared" si="522"/>
        <v>0</v>
      </c>
      <c r="AH313" s="156">
        <f t="shared" si="522"/>
        <v>0</v>
      </c>
      <c r="AI313" s="156">
        <f t="shared" ref="AI313:BN313" si="523">AI154/AI$84</f>
        <v>0</v>
      </c>
      <c r="AJ313" s="156">
        <f t="shared" si="523"/>
        <v>0</v>
      </c>
      <c r="AK313" s="156">
        <f t="shared" si="523"/>
        <v>0</v>
      </c>
      <c r="AL313" s="156">
        <f t="shared" si="523"/>
        <v>0</v>
      </c>
      <c r="AM313" s="156">
        <f t="shared" si="523"/>
        <v>0</v>
      </c>
      <c r="AN313" s="156">
        <f t="shared" si="523"/>
        <v>0</v>
      </c>
      <c r="AO313" s="156">
        <f t="shared" si="523"/>
        <v>0</v>
      </c>
      <c r="AP313" s="156">
        <f t="shared" si="523"/>
        <v>0</v>
      </c>
      <c r="AQ313" s="156">
        <f t="shared" si="523"/>
        <v>0</v>
      </c>
      <c r="AR313" s="156">
        <f t="shared" si="523"/>
        <v>0</v>
      </c>
      <c r="AS313" s="156">
        <f t="shared" si="523"/>
        <v>0</v>
      </c>
      <c r="AT313" s="156">
        <f t="shared" si="523"/>
        <v>0</v>
      </c>
      <c r="AU313" s="156">
        <f t="shared" si="523"/>
        <v>0</v>
      </c>
      <c r="AV313" s="156">
        <f t="shared" si="523"/>
        <v>0</v>
      </c>
      <c r="AW313" s="156">
        <f t="shared" si="523"/>
        <v>0</v>
      </c>
      <c r="AX313" s="156">
        <f t="shared" si="523"/>
        <v>0</v>
      </c>
      <c r="AY313" s="156">
        <f t="shared" si="523"/>
        <v>0</v>
      </c>
      <c r="AZ313" s="156">
        <f t="shared" si="523"/>
        <v>0</v>
      </c>
      <c r="BA313" s="156">
        <f t="shared" si="523"/>
        <v>0</v>
      </c>
      <c r="BB313" s="156">
        <f t="shared" si="523"/>
        <v>0</v>
      </c>
      <c r="BC313" s="156">
        <f t="shared" si="523"/>
        <v>0</v>
      </c>
      <c r="BD313" s="156">
        <f t="shared" si="523"/>
        <v>0</v>
      </c>
      <c r="BE313" s="156">
        <f t="shared" si="523"/>
        <v>0</v>
      </c>
      <c r="BF313" s="156">
        <f t="shared" si="523"/>
        <v>0</v>
      </c>
      <c r="BG313" s="156">
        <f t="shared" si="523"/>
        <v>0</v>
      </c>
      <c r="BH313" s="156">
        <f t="shared" si="523"/>
        <v>0</v>
      </c>
      <c r="BI313" s="156">
        <f t="shared" si="523"/>
        <v>0</v>
      </c>
      <c r="BJ313" s="156">
        <f t="shared" si="523"/>
        <v>0</v>
      </c>
      <c r="BK313" s="156">
        <f t="shared" si="523"/>
        <v>0</v>
      </c>
      <c r="BL313" s="156">
        <f t="shared" si="523"/>
        <v>0</v>
      </c>
      <c r="BM313" s="156">
        <f t="shared" si="523"/>
        <v>0</v>
      </c>
      <c r="BN313" s="156">
        <f t="shared" si="523"/>
        <v>0</v>
      </c>
      <c r="BO313" s="156">
        <f t="shared" ref="BO313:BZ313" si="524">BO154/BO$84</f>
        <v>0</v>
      </c>
      <c r="BP313" s="156">
        <f t="shared" si="524"/>
        <v>0</v>
      </c>
      <c r="BQ313" s="156">
        <f t="shared" si="524"/>
        <v>0</v>
      </c>
      <c r="BR313" s="156">
        <f t="shared" si="524"/>
        <v>0</v>
      </c>
      <c r="BS313" s="156">
        <f t="shared" si="524"/>
        <v>0</v>
      </c>
      <c r="BT313" s="156">
        <f t="shared" si="524"/>
        <v>0</v>
      </c>
      <c r="BU313" s="156">
        <f t="shared" si="524"/>
        <v>0</v>
      </c>
      <c r="BV313" s="156">
        <f t="shared" si="524"/>
        <v>0</v>
      </c>
      <c r="BW313" s="156">
        <f t="shared" si="524"/>
        <v>0</v>
      </c>
      <c r="BX313" s="156">
        <f t="shared" si="524"/>
        <v>0</v>
      </c>
      <c r="BY313" s="156">
        <f t="shared" si="524"/>
        <v>0</v>
      </c>
      <c r="BZ313" s="156">
        <f t="shared" si="524"/>
        <v>0</v>
      </c>
      <c r="CA313" s="129">
        <f t="shared" si="408"/>
        <v>0</v>
      </c>
      <c r="CB313" s="18"/>
      <c r="CC313" s="250"/>
      <c r="CD313" s="130">
        <f t="shared" ref="CD313:CG313" si="525">CD154/(CD$79+CD$80)</f>
        <v>5.8958307766949006E-4</v>
      </c>
      <c r="CE313" s="130">
        <f t="shared" si="525"/>
        <v>0</v>
      </c>
      <c r="CF313" s="130">
        <f t="shared" si="525"/>
        <v>0</v>
      </c>
      <c r="CG313" s="131">
        <f t="shared" si="525"/>
        <v>0</v>
      </c>
      <c r="CH313" s="18"/>
      <c r="CI313" s="18"/>
      <c r="CJ313" s="18"/>
    </row>
    <row r="314" spans="1:88" ht="13.95" customHeight="1" x14ac:dyDescent="0.25">
      <c r="A314" s="153" t="s">
        <v>67</v>
      </c>
      <c r="B314" s="253"/>
      <c r="C314" s="128">
        <f t="shared" ref="C314:AH314" si="526">C155/C$84</f>
        <v>0</v>
      </c>
      <c r="D314" s="156">
        <f t="shared" si="526"/>
        <v>0</v>
      </c>
      <c r="E314" s="156">
        <f t="shared" si="526"/>
        <v>0</v>
      </c>
      <c r="F314" s="156">
        <f t="shared" si="526"/>
        <v>0</v>
      </c>
      <c r="G314" s="156">
        <f t="shared" si="526"/>
        <v>0</v>
      </c>
      <c r="H314" s="156">
        <f t="shared" si="526"/>
        <v>0</v>
      </c>
      <c r="I314" s="156">
        <f t="shared" si="526"/>
        <v>0</v>
      </c>
      <c r="J314" s="156">
        <f t="shared" si="526"/>
        <v>0</v>
      </c>
      <c r="K314" s="156">
        <f t="shared" si="526"/>
        <v>0</v>
      </c>
      <c r="L314" s="156">
        <f t="shared" si="526"/>
        <v>0</v>
      </c>
      <c r="M314" s="156">
        <f t="shared" si="526"/>
        <v>0</v>
      </c>
      <c r="N314" s="156">
        <f t="shared" si="526"/>
        <v>0</v>
      </c>
      <c r="O314" s="156">
        <f t="shared" si="526"/>
        <v>0</v>
      </c>
      <c r="P314" s="156">
        <f t="shared" si="526"/>
        <v>0</v>
      </c>
      <c r="Q314" s="156">
        <f t="shared" si="526"/>
        <v>0</v>
      </c>
      <c r="R314" s="156">
        <f t="shared" si="526"/>
        <v>0</v>
      </c>
      <c r="S314" s="156">
        <f t="shared" si="526"/>
        <v>0</v>
      </c>
      <c r="T314" s="156">
        <f t="shared" si="526"/>
        <v>0</v>
      </c>
      <c r="U314" s="156">
        <f t="shared" si="526"/>
        <v>0</v>
      </c>
      <c r="V314" s="156">
        <f t="shared" si="526"/>
        <v>0</v>
      </c>
      <c r="W314" s="156">
        <f t="shared" si="526"/>
        <v>0</v>
      </c>
      <c r="X314" s="156">
        <f t="shared" si="526"/>
        <v>0</v>
      </c>
      <c r="Y314" s="156">
        <f t="shared" si="526"/>
        <v>0</v>
      </c>
      <c r="Z314" s="156">
        <f t="shared" si="526"/>
        <v>0</v>
      </c>
      <c r="AA314" s="156">
        <f t="shared" si="526"/>
        <v>0</v>
      </c>
      <c r="AB314" s="156">
        <f t="shared" si="526"/>
        <v>0</v>
      </c>
      <c r="AC314" s="156">
        <f t="shared" si="526"/>
        <v>0</v>
      </c>
      <c r="AD314" s="156">
        <f t="shared" si="526"/>
        <v>0</v>
      </c>
      <c r="AE314" s="156">
        <f t="shared" si="526"/>
        <v>0</v>
      </c>
      <c r="AF314" s="156">
        <f t="shared" si="526"/>
        <v>0</v>
      </c>
      <c r="AG314" s="156">
        <f t="shared" si="526"/>
        <v>0</v>
      </c>
      <c r="AH314" s="156">
        <f t="shared" si="526"/>
        <v>0</v>
      </c>
      <c r="AI314" s="156">
        <f t="shared" ref="AI314:BN314" si="527">AI155/AI$84</f>
        <v>0</v>
      </c>
      <c r="AJ314" s="156">
        <f t="shared" si="527"/>
        <v>0</v>
      </c>
      <c r="AK314" s="156">
        <f t="shared" si="527"/>
        <v>0</v>
      </c>
      <c r="AL314" s="156">
        <f t="shared" si="527"/>
        <v>0</v>
      </c>
      <c r="AM314" s="156">
        <f t="shared" si="527"/>
        <v>0</v>
      </c>
      <c r="AN314" s="156">
        <f t="shared" si="527"/>
        <v>0</v>
      </c>
      <c r="AO314" s="156">
        <f t="shared" si="527"/>
        <v>0</v>
      </c>
      <c r="AP314" s="156">
        <f t="shared" si="527"/>
        <v>0</v>
      </c>
      <c r="AQ314" s="156">
        <f t="shared" si="527"/>
        <v>0</v>
      </c>
      <c r="AR314" s="156">
        <f t="shared" si="527"/>
        <v>0</v>
      </c>
      <c r="AS314" s="156">
        <f t="shared" si="527"/>
        <v>0</v>
      </c>
      <c r="AT314" s="156">
        <f t="shared" si="527"/>
        <v>0</v>
      </c>
      <c r="AU314" s="156">
        <f t="shared" si="527"/>
        <v>0</v>
      </c>
      <c r="AV314" s="156">
        <f t="shared" si="527"/>
        <v>0</v>
      </c>
      <c r="AW314" s="156">
        <f t="shared" si="527"/>
        <v>0</v>
      </c>
      <c r="AX314" s="156">
        <f t="shared" si="527"/>
        <v>0</v>
      </c>
      <c r="AY314" s="156">
        <f t="shared" si="527"/>
        <v>0</v>
      </c>
      <c r="AZ314" s="156">
        <f t="shared" si="527"/>
        <v>0</v>
      </c>
      <c r="BA314" s="156">
        <f t="shared" si="527"/>
        <v>0</v>
      </c>
      <c r="BB314" s="156">
        <f t="shared" si="527"/>
        <v>0</v>
      </c>
      <c r="BC314" s="156">
        <f t="shared" si="527"/>
        <v>0</v>
      </c>
      <c r="BD314" s="156">
        <f t="shared" si="527"/>
        <v>0</v>
      </c>
      <c r="BE314" s="156">
        <f t="shared" si="527"/>
        <v>0</v>
      </c>
      <c r="BF314" s="156">
        <f t="shared" si="527"/>
        <v>0</v>
      </c>
      <c r="BG314" s="156">
        <f t="shared" si="527"/>
        <v>0</v>
      </c>
      <c r="BH314" s="156">
        <f t="shared" si="527"/>
        <v>0</v>
      </c>
      <c r="BI314" s="156">
        <f t="shared" si="527"/>
        <v>0</v>
      </c>
      <c r="BJ314" s="156">
        <f t="shared" si="527"/>
        <v>0</v>
      </c>
      <c r="BK314" s="156">
        <f t="shared" si="527"/>
        <v>0</v>
      </c>
      <c r="BL314" s="156">
        <f t="shared" si="527"/>
        <v>0</v>
      </c>
      <c r="BM314" s="156">
        <f t="shared" si="527"/>
        <v>0</v>
      </c>
      <c r="BN314" s="156">
        <f t="shared" si="527"/>
        <v>0</v>
      </c>
      <c r="BO314" s="156">
        <f t="shared" ref="BO314:BZ314" si="528">BO155/BO$84</f>
        <v>0</v>
      </c>
      <c r="BP314" s="156">
        <f t="shared" si="528"/>
        <v>0</v>
      </c>
      <c r="BQ314" s="156">
        <f t="shared" si="528"/>
        <v>0</v>
      </c>
      <c r="BR314" s="156">
        <f t="shared" si="528"/>
        <v>0</v>
      </c>
      <c r="BS314" s="156">
        <f t="shared" si="528"/>
        <v>0</v>
      </c>
      <c r="BT314" s="156">
        <f t="shared" si="528"/>
        <v>0</v>
      </c>
      <c r="BU314" s="156">
        <f t="shared" si="528"/>
        <v>0</v>
      </c>
      <c r="BV314" s="156">
        <f t="shared" si="528"/>
        <v>0</v>
      </c>
      <c r="BW314" s="156">
        <f t="shared" si="528"/>
        <v>0</v>
      </c>
      <c r="BX314" s="156">
        <f t="shared" si="528"/>
        <v>0</v>
      </c>
      <c r="BY314" s="156">
        <f t="shared" si="528"/>
        <v>0</v>
      </c>
      <c r="BZ314" s="156">
        <f t="shared" si="528"/>
        <v>0</v>
      </c>
      <c r="CA314" s="129">
        <f t="shared" si="408"/>
        <v>0</v>
      </c>
      <c r="CB314" s="18"/>
      <c r="CC314" s="250"/>
      <c r="CD314" s="130">
        <f t="shared" ref="CD314:CG314" si="529">CD155/(CD$79+CD$80)</f>
        <v>4.5601463270801985E-4</v>
      </c>
      <c r="CE314" s="130">
        <f t="shared" si="529"/>
        <v>0</v>
      </c>
      <c r="CF314" s="130">
        <f t="shared" si="529"/>
        <v>0</v>
      </c>
      <c r="CG314" s="131">
        <f t="shared" si="529"/>
        <v>0</v>
      </c>
      <c r="CH314" s="18"/>
      <c r="CI314" s="18"/>
      <c r="CJ314" s="18"/>
    </row>
    <row r="315" spans="1:88" ht="13.95" customHeight="1" x14ac:dyDescent="0.25">
      <c r="A315" s="153" t="s">
        <v>68</v>
      </c>
      <c r="B315" s="253"/>
      <c r="C315" s="128">
        <f t="shared" ref="C315:AH315" si="530">C156/C$84</f>
        <v>0</v>
      </c>
      <c r="D315" s="156">
        <f t="shared" si="530"/>
        <v>0</v>
      </c>
      <c r="E315" s="156">
        <f t="shared" si="530"/>
        <v>0</v>
      </c>
      <c r="F315" s="156">
        <f t="shared" si="530"/>
        <v>0</v>
      </c>
      <c r="G315" s="156">
        <f t="shared" si="530"/>
        <v>0</v>
      </c>
      <c r="H315" s="156">
        <f t="shared" si="530"/>
        <v>0</v>
      </c>
      <c r="I315" s="156">
        <f t="shared" si="530"/>
        <v>0</v>
      </c>
      <c r="J315" s="156">
        <f t="shared" si="530"/>
        <v>0</v>
      </c>
      <c r="K315" s="156">
        <f t="shared" si="530"/>
        <v>0</v>
      </c>
      <c r="L315" s="156">
        <f t="shared" si="530"/>
        <v>0</v>
      </c>
      <c r="M315" s="156">
        <f t="shared" si="530"/>
        <v>0</v>
      </c>
      <c r="N315" s="156">
        <f t="shared" si="530"/>
        <v>0</v>
      </c>
      <c r="O315" s="156">
        <f t="shared" si="530"/>
        <v>0</v>
      </c>
      <c r="P315" s="156">
        <f t="shared" si="530"/>
        <v>0</v>
      </c>
      <c r="Q315" s="156">
        <f t="shared" si="530"/>
        <v>0</v>
      </c>
      <c r="R315" s="156">
        <f t="shared" si="530"/>
        <v>0</v>
      </c>
      <c r="S315" s="156">
        <f t="shared" si="530"/>
        <v>0</v>
      </c>
      <c r="T315" s="156">
        <f t="shared" si="530"/>
        <v>0</v>
      </c>
      <c r="U315" s="156">
        <f t="shared" si="530"/>
        <v>0</v>
      </c>
      <c r="V315" s="156">
        <f t="shared" si="530"/>
        <v>0</v>
      </c>
      <c r="W315" s="156">
        <f t="shared" si="530"/>
        <v>0</v>
      </c>
      <c r="X315" s="156">
        <f t="shared" si="530"/>
        <v>0</v>
      </c>
      <c r="Y315" s="156">
        <f t="shared" si="530"/>
        <v>0</v>
      </c>
      <c r="Z315" s="156">
        <f t="shared" si="530"/>
        <v>0</v>
      </c>
      <c r="AA315" s="156">
        <f t="shared" si="530"/>
        <v>0</v>
      </c>
      <c r="AB315" s="156">
        <f t="shared" si="530"/>
        <v>0</v>
      </c>
      <c r="AC315" s="156">
        <f t="shared" si="530"/>
        <v>0</v>
      </c>
      <c r="AD315" s="156">
        <f t="shared" si="530"/>
        <v>0</v>
      </c>
      <c r="AE315" s="156">
        <f t="shared" si="530"/>
        <v>0</v>
      </c>
      <c r="AF315" s="156">
        <f t="shared" si="530"/>
        <v>0</v>
      </c>
      <c r="AG315" s="156">
        <f t="shared" si="530"/>
        <v>0</v>
      </c>
      <c r="AH315" s="156">
        <f t="shared" si="530"/>
        <v>0</v>
      </c>
      <c r="AI315" s="156">
        <f t="shared" ref="AI315:BN315" si="531">AI156/AI$84</f>
        <v>0</v>
      </c>
      <c r="AJ315" s="156">
        <f t="shared" si="531"/>
        <v>0</v>
      </c>
      <c r="AK315" s="156">
        <f t="shared" si="531"/>
        <v>0</v>
      </c>
      <c r="AL315" s="156">
        <f t="shared" si="531"/>
        <v>0</v>
      </c>
      <c r="AM315" s="156">
        <f t="shared" si="531"/>
        <v>0</v>
      </c>
      <c r="AN315" s="156">
        <f t="shared" si="531"/>
        <v>0</v>
      </c>
      <c r="AO315" s="156">
        <f t="shared" si="531"/>
        <v>0</v>
      </c>
      <c r="AP315" s="156">
        <f t="shared" si="531"/>
        <v>0</v>
      </c>
      <c r="AQ315" s="156">
        <f t="shared" si="531"/>
        <v>0</v>
      </c>
      <c r="AR315" s="156">
        <f t="shared" si="531"/>
        <v>0</v>
      </c>
      <c r="AS315" s="156">
        <f t="shared" si="531"/>
        <v>0</v>
      </c>
      <c r="AT315" s="156">
        <f t="shared" si="531"/>
        <v>0</v>
      </c>
      <c r="AU315" s="156">
        <f t="shared" si="531"/>
        <v>0</v>
      </c>
      <c r="AV315" s="156">
        <f t="shared" si="531"/>
        <v>0</v>
      </c>
      <c r="AW315" s="156">
        <f t="shared" si="531"/>
        <v>0</v>
      </c>
      <c r="AX315" s="156">
        <f t="shared" si="531"/>
        <v>0</v>
      </c>
      <c r="AY315" s="156">
        <f t="shared" si="531"/>
        <v>0</v>
      </c>
      <c r="AZ315" s="156">
        <f t="shared" si="531"/>
        <v>0</v>
      </c>
      <c r="BA315" s="156">
        <f t="shared" si="531"/>
        <v>0</v>
      </c>
      <c r="BB315" s="156">
        <f t="shared" si="531"/>
        <v>0</v>
      </c>
      <c r="BC315" s="156">
        <f t="shared" si="531"/>
        <v>0</v>
      </c>
      <c r="BD315" s="156">
        <f t="shared" si="531"/>
        <v>0</v>
      </c>
      <c r="BE315" s="156">
        <f t="shared" si="531"/>
        <v>0</v>
      </c>
      <c r="BF315" s="156">
        <f t="shared" si="531"/>
        <v>0</v>
      </c>
      <c r="BG315" s="156">
        <f t="shared" si="531"/>
        <v>0</v>
      </c>
      <c r="BH315" s="156">
        <f t="shared" si="531"/>
        <v>0</v>
      </c>
      <c r="BI315" s="156">
        <f t="shared" si="531"/>
        <v>0</v>
      </c>
      <c r="BJ315" s="156">
        <f t="shared" si="531"/>
        <v>0</v>
      </c>
      <c r="BK315" s="156">
        <f t="shared" si="531"/>
        <v>0</v>
      </c>
      <c r="BL315" s="156">
        <f t="shared" si="531"/>
        <v>0</v>
      </c>
      <c r="BM315" s="156">
        <f t="shared" si="531"/>
        <v>0</v>
      </c>
      <c r="BN315" s="156">
        <f t="shared" si="531"/>
        <v>0</v>
      </c>
      <c r="BO315" s="156">
        <f t="shared" ref="BO315:BZ315" si="532">BO156/BO$84</f>
        <v>0</v>
      </c>
      <c r="BP315" s="156">
        <f t="shared" si="532"/>
        <v>0</v>
      </c>
      <c r="BQ315" s="156">
        <f t="shared" si="532"/>
        <v>0</v>
      </c>
      <c r="BR315" s="156">
        <f t="shared" si="532"/>
        <v>0</v>
      </c>
      <c r="BS315" s="156">
        <f t="shared" si="532"/>
        <v>0</v>
      </c>
      <c r="BT315" s="156">
        <f t="shared" si="532"/>
        <v>0</v>
      </c>
      <c r="BU315" s="156">
        <f t="shared" si="532"/>
        <v>0</v>
      </c>
      <c r="BV315" s="156">
        <f t="shared" si="532"/>
        <v>0</v>
      </c>
      <c r="BW315" s="156">
        <f t="shared" si="532"/>
        <v>0</v>
      </c>
      <c r="BX315" s="156">
        <f t="shared" si="532"/>
        <v>0</v>
      </c>
      <c r="BY315" s="156">
        <f t="shared" si="532"/>
        <v>0</v>
      </c>
      <c r="BZ315" s="156">
        <f t="shared" si="532"/>
        <v>0</v>
      </c>
      <c r="CA315" s="129">
        <f t="shared" si="408"/>
        <v>0</v>
      </c>
      <c r="CB315" s="18"/>
      <c r="CC315" s="250"/>
      <c r="CD315" s="130">
        <f t="shared" ref="CD315:CG315" si="533">CD156/(CD$79+CD$80)</f>
        <v>0</v>
      </c>
      <c r="CE315" s="130">
        <f t="shared" si="533"/>
        <v>0</v>
      </c>
      <c r="CF315" s="130">
        <f t="shared" si="533"/>
        <v>0</v>
      </c>
      <c r="CG315" s="131">
        <f t="shared" si="533"/>
        <v>0</v>
      </c>
      <c r="CH315" s="18"/>
      <c r="CI315" s="18"/>
      <c r="CJ315" s="18"/>
    </row>
    <row r="316" spans="1:88" ht="13.95" customHeight="1" x14ac:dyDescent="0.25">
      <c r="A316" s="153" t="s">
        <v>69</v>
      </c>
      <c r="B316" s="253"/>
      <c r="C316" s="128">
        <f t="shared" ref="C316:AH316" si="534">C157/C$84</f>
        <v>2.0801139762488698E-6</v>
      </c>
      <c r="D316" s="156">
        <f t="shared" si="534"/>
        <v>1.1468789643891474E-5</v>
      </c>
      <c r="E316" s="156">
        <f t="shared" si="534"/>
        <v>0</v>
      </c>
      <c r="F316" s="156">
        <f t="shared" si="534"/>
        <v>1.0826361757825835E-6</v>
      </c>
      <c r="G316" s="156">
        <f t="shared" si="534"/>
        <v>4.3343659960318877E-6</v>
      </c>
      <c r="H316" s="156">
        <f t="shared" si="534"/>
        <v>2.2822777847532651E-5</v>
      </c>
      <c r="I316" s="156">
        <f t="shared" si="534"/>
        <v>0</v>
      </c>
      <c r="J316" s="156">
        <f t="shared" si="534"/>
        <v>3.2667927971332563E-6</v>
      </c>
      <c r="K316" s="156">
        <f t="shared" si="534"/>
        <v>2.281243145709252E-6</v>
      </c>
      <c r="L316" s="156">
        <f t="shared" si="534"/>
        <v>0</v>
      </c>
      <c r="M316" s="156">
        <f t="shared" si="534"/>
        <v>0</v>
      </c>
      <c r="N316" s="156">
        <f t="shared" si="534"/>
        <v>3.2979468867224342E-6</v>
      </c>
      <c r="O316" s="156">
        <f t="shared" si="534"/>
        <v>1.434235536748206E-5</v>
      </c>
      <c r="P316" s="156">
        <f t="shared" si="534"/>
        <v>1.0087290126355992E-4</v>
      </c>
      <c r="Q316" s="156">
        <f t="shared" si="534"/>
        <v>1.2945056587009586E-6</v>
      </c>
      <c r="R316" s="156">
        <f t="shared" si="534"/>
        <v>8.1644822240037687E-6</v>
      </c>
      <c r="S316" s="156">
        <f t="shared" si="534"/>
        <v>3.9157522800138628E-5</v>
      </c>
      <c r="T316" s="156">
        <f t="shared" si="534"/>
        <v>1.1560280243534319E-6</v>
      </c>
      <c r="U316" s="156">
        <f t="shared" si="534"/>
        <v>9.1846889398435022E-7</v>
      </c>
      <c r="V316" s="156">
        <f t="shared" si="534"/>
        <v>0</v>
      </c>
      <c r="W316" s="156">
        <f t="shared" si="534"/>
        <v>5.0375447279518878E-6</v>
      </c>
      <c r="X316" s="156">
        <f t="shared" si="534"/>
        <v>1.1643207260590456E-6</v>
      </c>
      <c r="Y316" s="156">
        <f t="shared" si="534"/>
        <v>1.5720306246076725E-6</v>
      </c>
      <c r="Z316" s="156">
        <f t="shared" si="534"/>
        <v>5.6398033922449376E-6</v>
      </c>
      <c r="AA316" s="156">
        <f t="shared" si="534"/>
        <v>2.2518467019494904E-7</v>
      </c>
      <c r="AB316" s="156">
        <f t="shared" si="534"/>
        <v>9.5324882573428874E-5</v>
      </c>
      <c r="AC316" s="156">
        <f t="shared" si="534"/>
        <v>8.6175558566900009E-6</v>
      </c>
      <c r="AD316" s="156">
        <f t="shared" si="534"/>
        <v>0</v>
      </c>
      <c r="AE316" s="156">
        <f t="shared" si="534"/>
        <v>4.0721305410944714E-6</v>
      </c>
      <c r="AF316" s="156">
        <f t="shared" si="534"/>
        <v>1.8084175400651138E-6</v>
      </c>
      <c r="AG316" s="156">
        <f t="shared" si="534"/>
        <v>0</v>
      </c>
      <c r="AH316" s="156">
        <f t="shared" si="534"/>
        <v>0</v>
      </c>
      <c r="AI316" s="156">
        <f t="shared" ref="AI316:BN316" si="535">AI157/AI$84</f>
        <v>3.9068682562229601E-6</v>
      </c>
      <c r="AJ316" s="156">
        <f t="shared" si="535"/>
        <v>1.0119110639639368E-5</v>
      </c>
      <c r="AK316" s="156">
        <f t="shared" si="535"/>
        <v>1.6257649085552082E-5</v>
      </c>
      <c r="AL316" s="156">
        <f t="shared" si="535"/>
        <v>2.5576529734991767E-5</v>
      </c>
      <c r="AM316" s="156">
        <f t="shared" si="535"/>
        <v>6.83600124657723E-6</v>
      </c>
      <c r="AN316" s="156">
        <f t="shared" si="535"/>
        <v>2.39083881062285E-6</v>
      </c>
      <c r="AO316" s="156">
        <f t="shared" si="535"/>
        <v>3.0769060766322986E-5</v>
      </c>
      <c r="AP316" s="156">
        <f t="shared" si="535"/>
        <v>1.8012017776097481E-5</v>
      </c>
      <c r="AQ316" s="156">
        <f t="shared" si="535"/>
        <v>2.1024769831829698E-4</v>
      </c>
      <c r="AR316" s="156">
        <f t="shared" si="535"/>
        <v>9.4205446219251948E-5</v>
      </c>
      <c r="AS316" s="156">
        <f t="shared" si="535"/>
        <v>3.0938787222744958E-7</v>
      </c>
      <c r="AT316" s="156">
        <f t="shared" si="535"/>
        <v>9.7026342087332444E-4</v>
      </c>
      <c r="AU316" s="156">
        <f t="shared" si="535"/>
        <v>3.4168136731989063E-4</v>
      </c>
      <c r="AV316" s="156">
        <f t="shared" si="535"/>
        <v>3.4916735609876745E-6</v>
      </c>
      <c r="AW316" s="156">
        <f t="shared" si="535"/>
        <v>5.4191751380576543E-5</v>
      </c>
      <c r="AX316" s="156">
        <f t="shared" si="535"/>
        <v>1.7440714016322671E-4</v>
      </c>
      <c r="AY316" s="156">
        <f t="shared" si="535"/>
        <v>2.5814696548089329E-5</v>
      </c>
      <c r="AZ316" s="156">
        <f t="shared" si="535"/>
        <v>0</v>
      </c>
      <c r="BA316" s="156">
        <f t="shared" si="535"/>
        <v>6.9534262983251331E-7</v>
      </c>
      <c r="BB316" s="156">
        <f t="shared" si="535"/>
        <v>1.9935435267506887E-5</v>
      </c>
      <c r="BC316" s="156">
        <f t="shared" si="535"/>
        <v>1.8195780179747328E-5</v>
      </c>
      <c r="BD316" s="156">
        <f t="shared" si="535"/>
        <v>5.7889711848695001E-5</v>
      </c>
      <c r="BE316" s="156">
        <f t="shared" si="535"/>
        <v>3.8759040095415743E-6</v>
      </c>
      <c r="BF316" s="156">
        <f t="shared" si="535"/>
        <v>1.9344422160821935E-5</v>
      </c>
      <c r="BG316" s="156">
        <f t="shared" si="535"/>
        <v>1.4746453432212573E-4</v>
      </c>
      <c r="BH316" s="156">
        <f t="shared" si="535"/>
        <v>3.3137026980134799E-5</v>
      </c>
      <c r="BI316" s="156">
        <f t="shared" si="535"/>
        <v>0</v>
      </c>
      <c r="BJ316" s="156">
        <f t="shared" si="535"/>
        <v>1.1894129135874873E-4</v>
      </c>
      <c r="BK316" s="156">
        <f t="shared" si="535"/>
        <v>6.0030917477706133E-5</v>
      </c>
      <c r="BL316" s="156">
        <f t="shared" si="535"/>
        <v>1.6018454918935733E-4</v>
      </c>
      <c r="BM316" s="156">
        <f t="shared" si="535"/>
        <v>8.5346256005462152E-6</v>
      </c>
      <c r="BN316" s="156">
        <f t="shared" si="535"/>
        <v>1.0532646790632822E-5</v>
      </c>
      <c r="BO316" s="156">
        <f t="shared" ref="BO316:BZ316" si="536">BO157/BO$84</f>
        <v>1.6597893426981282E-5</v>
      </c>
      <c r="BP316" s="156">
        <f t="shared" si="536"/>
        <v>2.7673970954194346E-5</v>
      </c>
      <c r="BQ316" s="156">
        <f t="shared" si="536"/>
        <v>1.030806125537358E-4</v>
      </c>
      <c r="BR316" s="156">
        <f t="shared" si="536"/>
        <v>2.3947831800695674E-5</v>
      </c>
      <c r="BS316" s="156">
        <f t="shared" si="536"/>
        <v>1.0301986288713823E-5</v>
      </c>
      <c r="BT316" s="156">
        <f t="shared" si="536"/>
        <v>2.5997090261555195E-2</v>
      </c>
      <c r="BU316" s="156">
        <f t="shared" si="536"/>
        <v>5.4987774178927497E-3</v>
      </c>
      <c r="BV316" s="156">
        <f t="shared" si="536"/>
        <v>0</v>
      </c>
      <c r="BW316" s="156">
        <f t="shared" si="536"/>
        <v>3.3400498990463936E-3</v>
      </c>
      <c r="BX316" s="156">
        <f t="shared" si="536"/>
        <v>1.854531764729155E-6</v>
      </c>
      <c r="BY316" s="156">
        <f t="shared" si="536"/>
        <v>0</v>
      </c>
      <c r="BZ316" s="156">
        <f t="shared" si="536"/>
        <v>4.9417573786720033E-5</v>
      </c>
      <c r="CA316" s="129">
        <f t="shared" ref="CA316:CA321" si="537">CA157/CA$84</f>
        <v>0</v>
      </c>
      <c r="CB316" s="18"/>
      <c r="CC316" s="250"/>
      <c r="CD316" s="130">
        <f t="shared" ref="CD316:CG316" si="538">CD157/(CD$79+CD$80)</f>
        <v>3.2475136784133635E-4</v>
      </c>
      <c r="CE316" s="130">
        <f t="shared" si="538"/>
        <v>0</v>
      </c>
      <c r="CF316" s="130">
        <f t="shared" si="538"/>
        <v>6.4498640946734594E-4</v>
      </c>
      <c r="CG316" s="131">
        <f t="shared" si="538"/>
        <v>0</v>
      </c>
      <c r="CH316" s="18"/>
      <c r="CI316" s="18"/>
      <c r="CJ316" s="18"/>
    </row>
    <row r="317" spans="1:88" ht="13.95" customHeight="1" x14ac:dyDescent="0.25">
      <c r="A317" s="153" t="s">
        <v>70</v>
      </c>
      <c r="B317" s="253"/>
      <c r="C317" s="128">
        <f t="shared" ref="C317:AH317" si="539">C158/C$84</f>
        <v>1.866270483363472E-6</v>
      </c>
      <c r="D317" s="156">
        <f t="shared" si="539"/>
        <v>7.9933988427122406E-6</v>
      </c>
      <c r="E317" s="156">
        <f t="shared" si="539"/>
        <v>0</v>
      </c>
      <c r="F317" s="156">
        <f t="shared" si="539"/>
        <v>6.5473711583041958E-6</v>
      </c>
      <c r="G317" s="156">
        <f t="shared" si="539"/>
        <v>6.8401713374878231E-6</v>
      </c>
      <c r="H317" s="156">
        <f t="shared" si="539"/>
        <v>2.9526872220899097E-6</v>
      </c>
      <c r="I317" s="156">
        <f t="shared" si="539"/>
        <v>1.9965178912959534E-6</v>
      </c>
      <c r="J317" s="156">
        <f t="shared" si="539"/>
        <v>3.0248081454937559E-6</v>
      </c>
      <c r="K317" s="156">
        <f t="shared" si="539"/>
        <v>4.9004482389309862E-6</v>
      </c>
      <c r="L317" s="156">
        <f t="shared" si="539"/>
        <v>5.3532310950458004E-6</v>
      </c>
      <c r="M317" s="156">
        <f t="shared" si="539"/>
        <v>5.4054335804453032E-6</v>
      </c>
      <c r="N317" s="156">
        <f t="shared" si="539"/>
        <v>2.4603730742214988E-6</v>
      </c>
      <c r="O317" s="156">
        <f t="shared" si="539"/>
        <v>4.0543760756133029E-6</v>
      </c>
      <c r="P317" s="156">
        <f t="shared" si="539"/>
        <v>4.7899706073376826E-5</v>
      </c>
      <c r="Q317" s="156">
        <f t="shared" si="539"/>
        <v>1.7200965601916847E-6</v>
      </c>
      <c r="R317" s="156">
        <f t="shared" si="539"/>
        <v>3.6137872139033074E-6</v>
      </c>
      <c r="S317" s="156">
        <f t="shared" si="539"/>
        <v>0</v>
      </c>
      <c r="T317" s="156">
        <f t="shared" si="539"/>
        <v>3.2342806524045453E-6</v>
      </c>
      <c r="U317" s="156">
        <f t="shared" si="539"/>
        <v>2.8153068272128995E-6</v>
      </c>
      <c r="V317" s="156">
        <f t="shared" si="539"/>
        <v>1.1757778172925026E-6</v>
      </c>
      <c r="W317" s="156">
        <f t="shared" si="539"/>
        <v>2.6839377648923992E-6</v>
      </c>
      <c r="X317" s="156">
        <f t="shared" si="539"/>
        <v>0</v>
      </c>
      <c r="Y317" s="156">
        <f t="shared" si="539"/>
        <v>3.541387670819482E-6</v>
      </c>
      <c r="Z317" s="156">
        <f t="shared" si="539"/>
        <v>1.5572591456198708E-6</v>
      </c>
      <c r="AA317" s="156">
        <f t="shared" si="539"/>
        <v>1.6596944210664764E-6</v>
      </c>
      <c r="AB317" s="156">
        <f t="shared" si="539"/>
        <v>0</v>
      </c>
      <c r="AC317" s="156">
        <f t="shared" si="539"/>
        <v>3.9355766904568506E-6</v>
      </c>
      <c r="AD317" s="156">
        <f t="shared" si="539"/>
        <v>0</v>
      </c>
      <c r="AE317" s="156">
        <f t="shared" si="539"/>
        <v>5.4440247875594537E-7</v>
      </c>
      <c r="AF317" s="156">
        <f t="shared" si="539"/>
        <v>4.4146663478060131E-6</v>
      </c>
      <c r="AG317" s="156">
        <f t="shared" si="539"/>
        <v>8.078538078372836E-6</v>
      </c>
      <c r="AH317" s="156">
        <f t="shared" si="539"/>
        <v>8.8352384860897268E-6</v>
      </c>
      <c r="AI317" s="156">
        <f t="shared" ref="AI317:BN317" si="540">AI158/AI$84</f>
        <v>7.2685921046008556E-7</v>
      </c>
      <c r="AJ317" s="156">
        <f t="shared" si="540"/>
        <v>1.157131005104559E-6</v>
      </c>
      <c r="AK317" s="156">
        <f t="shared" si="540"/>
        <v>1.3166405949566825E-6</v>
      </c>
      <c r="AL317" s="156">
        <f t="shared" si="540"/>
        <v>1.8951939427540352E-6</v>
      </c>
      <c r="AM317" s="156">
        <f t="shared" si="540"/>
        <v>1.243859554040811E-6</v>
      </c>
      <c r="AN317" s="156">
        <f t="shared" si="540"/>
        <v>6.0567916535778873E-7</v>
      </c>
      <c r="AO317" s="156">
        <f t="shared" si="540"/>
        <v>6.2871765033353468E-6</v>
      </c>
      <c r="AP317" s="156">
        <f t="shared" si="540"/>
        <v>3.1335340203262373E-7</v>
      </c>
      <c r="AQ317" s="156">
        <f t="shared" si="540"/>
        <v>1.3264839010618106E-5</v>
      </c>
      <c r="AR317" s="156">
        <f t="shared" si="540"/>
        <v>1.2752559536795647E-6</v>
      </c>
      <c r="AS317" s="156">
        <f t="shared" si="540"/>
        <v>1.546939361137248E-5</v>
      </c>
      <c r="AT317" s="156">
        <f t="shared" si="540"/>
        <v>0</v>
      </c>
      <c r="AU317" s="156">
        <f t="shared" si="540"/>
        <v>3.3269850761430439E-7</v>
      </c>
      <c r="AV317" s="156">
        <f t="shared" si="540"/>
        <v>6.9370997900417377E-7</v>
      </c>
      <c r="AW317" s="156">
        <f t="shared" si="540"/>
        <v>0</v>
      </c>
      <c r="AX317" s="156">
        <f t="shared" si="540"/>
        <v>1.005090544299605E-5</v>
      </c>
      <c r="AY317" s="156">
        <f t="shared" si="540"/>
        <v>2.3217951924908745E-6</v>
      </c>
      <c r="AZ317" s="156">
        <f t="shared" si="540"/>
        <v>4.0767652372463024E-6</v>
      </c>
      <c r="BA317" s="156">
        <f t="shared" si="540"/>
        <v>1.4403525903673491E-6</v>
      </c>
      <c r="BB317" s="156">
        <f t="shared" si="540"/>
        <v>8.1812623092044944E-7</v>
      </c>
      <c r="BC317" s="156">
        <f t="shared" si="540"/>
        <v>5.7555021326383646E-6</v>
      </c>
      <c r="BD317" s="156">
        <f t="shared" si="540"/>
        <v>7.5046054596936753E-5</v>
      </c>
      <c r="BE317" s="156">
        <f t="shared" si="540"/>
        <v>2.4036614012660925E-6</v>
      </c>
      <c r="BF317" s="156">
        <f t="shared" si="540"/>
        <v>1.5133076666480319E-5</v>
      </c>
      <c r="BG317" s="156">
        <f t="shared" si="540"/>
        <v>2.0592277729921769E-5</v>
      </c>
      <c r="BH317" s="156">
        <f t="shared" si="540"/>
        <v>0</v>
      </c>
      <c r="BI317" s="156">
        <f t="shared" si="540"/>
        <v>0</v>
      </c>
      <c r="BJ317" s="156">
        <f t="shared" si="540"/>
        <v>1.9705851494550964E-5</v>
      </c>
      <c r="BK317" s="156">
        <f t="shared" si="540"/>
        <v>6.2208204640109989E-7</v>
      </c>
      <c r="BL317" s="156">
        <f t="shared" si="540"/>
        <v>9.3311387877295517E-6</v>
      </c>
      <c r="BM317" s="156">
        <f t="shared" si="540"/>
        <v>2.2897776001465457E-6</v>
      </c>
      <c r="BN317" s="156">
        <f t="shared" si="540"/>
        <v>3.8722966142032432E-7</v>
      </c>
      <c r="BO317" s="156">
        <f t="shared" ref="BO317:BZ317" si="541">BO158/BO$84</f>
        <v>0</v>
      </c>
      <c r="BP317" s="156">
        <f t="shared" si="541"/>
        <v>7.3502467321812541E-6</v>
      </c>
      <c r="BQ317" s="156">
        <f t="shared" si="541"/>
        <v>8.9630670465938784E-6</v>
      </c>
      <c r="BR317" s="156">
        <f t="shared" si="541"/>
        <v>5.628245701682486E-6</v>
      </c>
      <c r="BS317" s="156">
        <f t="shared" si="541"/>
        <v>7.7155301566537576E-6</v>
      </c>
      <c r="BT317" s="156">
        <f t="shared" si="541"/>
        <v>1.7917379950341687E-4</v>
      </c>
      <c r="BU317" s="156">
        <f t="shared" si="541"/>
        <v>3.2048604743925026E-3</v>
      </c>
      <c r="BV317" s="156">
        <f t="shared" si="541"/>
        <v>6.0462050993693807E-6</v>
      </c>
      <c r="BW317" s="156">
        <f t="shared" si="541"/>
        <v>1.5953837798242753E-5</v>
      </c>
      <c r="BX317" s="156">
        <f t="shared" si="541"/>
        <v>0</v>
      </c>
      <c r="BY317" s="156">
        <f t="shared" si="541"/>
        <v>0</v>
      </c>
      <c r="BZ317" s="156">
        <f t="shared" si="541"/>
        <v>1.1162425861018486E-5</v>
      </c>
      <c r="CA317" s="129">
        <f t="shared" si="537"/>
        <v>0</v>
      </c>
      <c r="CB317" s="18"/>
      <c r="CC317" s="250"/>
      <c r="CD317" s="130">
        <f t="shared" ref="CD317:CG317" si="542">CD158/(CD$79+CD$80)</f>
        <v>5.5783641213691184E-5</v>
      </c>
      <c r="CE317" s="130">
        <f t="shared" si="542"/>
        <v>0</v>
      </c>
      <c r="CF317" s="130">
        <f t="shared" si="542"/>
        <v>1.2062611344643581E-6</v>
      </c>
      <c r="CG317" s="131">
        <f t="shared" si="542"/>
        <v>0</v>
      </c>
      <c r="CH317" s="18"/>
      <c r="CI317" s="18"/>
      <c r="CJ317" s="18"/>
    </row>
    <row r="318" spans="1:88" ht="13.95" customHeight="1" x14ac:dyDescent="0.25">
      <c r="A318" s="153" t="s">
        <v>71</v>
      </c>
      <c r="B318" s="253"/>
      <c r="C318" s="128">
        <f t="shared" ref="C318:AH318" si="543">C159/C$84</f>
        <v>0</v>
      </c>
      <c r="D318" s="156">
        <f t="shared" si="543"/>
        <v>0</v>
      </c>
      <c r="E318" s="156">
        <f t="shared" si="543"/>
        <v>0</v>
      </c>
      <c r="F318" s="156">
        <f t="shared" si="543"/>
        <v>0</v>
      </c>
      <c r="G318" s="156">
        <f t="shared" si="543"/>
        <v>0</v>
      </c>
      <c r="H318" s="156">
        <f t="shared" si="543"/>
        <v>0</v>
      </c>
      <c r="I318" s="156">
        <f t="shared" si="543"/>
        <v>0</v>
      </c>
      <c r="J318" s="156">
        <f t="shared" si="543"/>
        <v>0</v>
      </c>
      <c r="K318" s="156">
        <f t="shared" si="543"/>
        <v>0</v>
      </c>
      <c r="L318" s="156">
        <f t="shared" si="543"/>
        <v>0</v>
      </c>
      <c r="M318" s="156">
        <f t="shared" si="543"/>
        <v>0</v>
      </c>
      <c r="N318" s="156">
        <f t="shared" si="543"/>
        <v>0</v>
      </c>
      <c r="O318" s="156">
        <f t="shared" si="543"/>
        <v>0</v>
      </c>
      <c r="P318" s="156">
        <f t="shared" si="543"/>
        <v>0</v>
      </c>
      <c r="Q318" s="156">
        <f t="shared" si="543"/>
        <v>0</v>
      </c>
      <c r="R318" s="156">
        <f t="shared" si="543"/>
        <v>0</v>
      </c>
      <c r="S318" s="156">
        <f t="shared" si="543"/>
        <v>0</v>
      </c>
      <c r="T318" s="156">
        <f t="shared" si="543"/>
        <v>0</v>
      </c>
      <c r="U318" s="156">
        <f t="shared" si="543"/>
        <v>0</v>
      </c>
      <c r="V318" s="156">
        <f t="shared" si="543"/>
        <v>0</v>
      </c>
      <c r="W318" s="156">
        <f t="shared" si="543"/>
        <v>0</v>
      </c>
      <c r="X318" s="156">
        <f t="shared" si="543"/>
        <v>0</v>
      </c>
      <c r="Y318" s="156">
        <f t="shared" si="543"/>
        <v>0</v>
      </c>
      <c r="Z318" s="156">
        <f t="shared" si="543"/>
        <v>0</v>
      </c>
      <c r="AA318" s="156">
        <f t="shared" si="543"/>
        <v>0</v>
      </c>
      <c r="AB318" s="156">
        <f t="shared" si="543"/>
        <v>0</v>
      </c>
      <c r="AC318" s="156">
        <f t="shared" si="543"/>
        <v>0</v>
      </c>
      <c r="AD318" s="156">
        <f t="shared" si="543"/>
        <v>0</v>
      </c>
      <c r="AE318" s="156">
        <f t="shared" si="543"/>
        <v>0</v>
      </c>
      <c r="AF318" s="156">
        <f t="shared" si="543"/>
        <v>0</v>
      </c>
      <c r="AG318" s="156">
        <f t="shared" si="543"/>
        <v>0</v>
      </c>
      <c r="AH318" s="156">
        <f t="shared" si="543"/>
        <v>0</v>
      </c>
      <c r="AI318" s="156">
        <f t="shared" ref="AI318:BN318" si="544">AI159/AI$84</f>
        <v>0</v>
      </c>
      <c r="AJ318" s="156">
        <f t="shared" si="544"/>
        <v>0</v>
      </c>
      <c r="AK318" s="156">
        <f t="shared" si="544"/>
        <v>0</v>
      </c>
      <c r="AL318" s="156">
        <f t="shared" si="544"/>
        <v>0</v>
      </c>
      <c r="AM318" s="156">
        <f t="shared" si="544"/>
        <v>0</v>
      </c>
      <c r="AN318" s="156">
        <f t="shared" si="544"/>
        <v>0</v>
      </c>
      <c r="AO318" s="156">
        <f t="shared" si="544"/>
        <v>0</v>
      </c>
      <c r="AP318" s="156">
        <f t="shared" si="544"/>
        <v>0</v>
      </c>
      <c r="AQ318" s="156">
        <f t="shared" si="544"/>
        <v>0</v>
      </c>
      <c r="AR318" s="156">
        <f t="shared" si="544"/>
        <v>0</v>
      </c>
      <c r="AS318" s="156">
        <f t="shared" si="544"/>
        <v>0</v>
      </c>
      <c r="AT318" s="156">
        <f t="shared" si="544"/>
        <v>0</v>
      </c>
      <c r="AU318" s="156">
        <f t="shared" si="544"/>
        <v>0</v>
      </c>
      <c r="AV318" s="156">
        <f t="shared" si="544"/>
        <v>0</v>
      </c>
      <c r="AW318" s="156">
        <f t="shared" si="544"/>
        <v>0</v>
      </c>
      <c r="AX318" s="156">
        <f t="shared" si="544"/>
        <v>0</v>
      </c>
      <c r="AY318" s="156">
        <f t="shared" si="544"/>
        <v>0</v>
      </c>
      <c r="AZ318" s="156">
        <f t="shared" si="544"/>
        <v>0</v>
      </c>
      <c r="BA318" s="156">
        <f t="shared" si="544"/>
        <v>0</v>
      </c>
      <c r="BB318" s="156">
        <f t="shared" si="544"/>
        <v>0</v>
      </c>
      <c r="BC318" s="156">
        <f t="shared" si="544"/>
        <v>0</v>
      </c>
      <c r="BD318" s="156">
        <f t="shared" si="544"/>
        <v>0</v>
      </c>
      <c r="BE318" s="156">
        <f t="shared" si="544"/>
        <v>0</v>
      </c>
      <c r="BF318" s="156">
        <f t="shared" si="544"/>
        <v>0</v>
      </c>
      <c r="BG318" s="156">
        <f t="shared" si="544"/>
        <v>0</v>
      </c>
      <c r="BH318" s="156">
        <f t="shared" si="544"/>
        <v>0</v>
      </c>
      <c r="BI318" s="156">
        <f t="shared" si="544"/>
        <v>0</v>
      </c>
      <c r="BJ318" s="156">
        <f t="shared" si="544"/>
        <v>0</v>
      </c>
      <c r="BK318" s="156">
        <f t="shared" si="544"/>
        <v>0</v>
      </c>
      <c r="BL318" s="156">
        <f t="shared" si="544"/>
        <v>0</v>
      </c>
      <c r="BM318" s="156">
        <f t="shared" si="544"/>
        <v>0</v>
      </c>
      <c r="BN318" s="156">
        <f t="shared" si="544"/>
        <v>0</v>
      </c>
      <c r="BO318" s="156">
        <f t="shared" ref="BO318:BZ318" si="545">BO159/BO$84</f>
        <v>0</v>
      </c>
      <c r="BP318" s="156">
        <f t="shared" si="545"/>
        <v>0</v>
      </c>
      <c r="BQ318" s="156">
        <f t="shared" si="545"/>
        <v>0</v>
      </c>
      <c r="BR318" s="156">
        <f t="shared" si="545"/>
        <v>0</v>
      </c>
      <c r="BS318" s="156">
        <f t="shared" si="545"/>
        <v>0</v>
      </c>
      <c r="BT318" s="156">
        <f t="shared" si="545"/>
        <v>0</v>
      </c>
      <c r="BU318" s="156">
        <f t="shared" si="545"/>
        <v>0</v>
      </c>
      <c r="BV318" s="156">
        <f t="shared" si="545"/>
        <v>0</v>
      </c>
      <c r="BW318" s="156">
        <f t="shared" si="545"/>
        <v>0</v>
      </c>
      <c r="BX318" s="156">
        <f t="shared" si="545"/>
        <v>0</v>
      </c>
      <c r="BY318" s="156">
        <f t="shared" si="545"/>
        <v>0</v>
      </c>
      <c r="BZ318" s="156">
        <f t="shared" si="545"/>
        <v>0</v>
      </c>
      <c r="CA318" s="129">
        <f t="shared" si="537"/>
        <v>0</v>
      </c>
      <c r="CB318" s="18"/>
      <c r="CC318" s="250"/>
      <c r="CD318" s="130">
        <f t="shared" ref="CD318:CG318" si="546">CD159/(CD$79+CD$80)</f>
        <v>0</v>
      </c>
      <c r="CE318" s="130">
        <f t="shared" si="546"/>
        <v>0</v>
      </c>
      <c r="CF318" s="130">
        <f t="shared" si="546"/>
        <v>0</v>
      </c>
      <c r="CG318" s="131">
        <f t="shared" si="546"/>
        <v>0</v>
      </c>
      <c r="CH318" s="18"/>
      <c r="CI318" s="18"/>
      <c r="CJ318" s="18"/>
    </row>
    <row r="319" spans="1:88" ht="13.95" customHeight="1" x14ac:dyDescent="0.25">
      <c r="A319" s="153" t="s">
        <v>72</v>
      </c>
      <c r="B319" s="253"/>
      <c r="C319" s="128">
        <f t="shared" ref="C319:AH319" si="547">C160/C$84</f>
        <v>1.4774641326627486E-6</v>
      </c>
      <c r="D319" s="156">
        <f t="shared" si="547"/>
        <v>5.2130862017688522E-6</v>
      </c>
      <c r="E319" s="156">
        <f t="shared" si="547"/>
        <v>0</v>
      </c>
      <c r="F319" s="156">
        <f t="shared" si="547"/>
        <v>3.6912738183825232E-5</v>
      </c>
      <c r="G319" s="156">
        <f t="shared" si="547"/>
        <v>1.354489373759965E-6</v>
      </c>
      <c r="H319" s="156">
        <f t="shared" si="547"/>
        <v>7.1421020764687863E-6</v>
      </c>
      <c r="I319" s="156">
        <f t="shared" si="547"/>
        <v>5.8988028606471355E-7</v>
      </c>
      <c r="J319" s="156">
        <f t="shared" si="547"/>
        <v>1.004236304303927E-5</v>
      </c>
      <c r="K319" s="156">
        <f t="shared" si="547"/>
        <v>6.5057674896152743E-6</v>
      </c>
      <c r="L319" s="156">
        <f t="shared" si="547"/>
        <v>2.3792138200203557E-6</v>
      </c>
      <c r="M319" s="156">
        <f t="shared" si="547"/>
        <v>5.7915359790485398E-6</v>
      </c>
      <c r="N319" s="156">
        <f t="shared" si="547"/>
        <v>5.3395330546934652E-6</v>
      </c>
      <c r="O319" s="156">
        <f t="shared" si="547"/>
        <v>5.6761265058586242E-6</v>
      </c>
      <c r="P319" s="156">
        <f t="shared" si="547"/>
        <v>1.6861890299973775E-5</v>
      </c>
      <c r="Q319" s="156">
        <f t="shared" si="547"/>
        <v>1.3299715671585191E-6</v>
      </c>
      <c r="R319" s="156">
        <f t="shared" si="547"/>
        <v>5.1455571029240502E-6</v>
      </c>
      <c r="S319" s="156">
        <f t="shared" si="547"/>
        <v>1.7204535500939643E-6</v>
      </c>
      <c r="T319" s="156">
        <f t="shared" si="547"/>
        <v>5.7801401217671595E-6</v>
      </c>
      <c r="U319" s="156">
        <f t="shared" si="547"/>
        <v>1.0622292426079876E-5</v>
      </c>
      <c r="V319" s="156">
        <f t="shared" si="547"/>
        <v>4.0910625423602147E-6</v>
      </c>
      <c r="W319" s="156">
        <f t="shared" si="547"/>
        <v>7.2982461529958697E-6</v>
      </c>
      <c r="X319" s="156">
        <f t="shared" si="547"/>
        <v>3.5213602446663816E-6</v>
      </c>
      <c r="Y319" s="156">
        <f t="shared" si="547"/>
        <v>7.8256029994206125E-6</v>
      </c>
      <c r="Z319" s="156">
        <f t="shared" si="547"/>
        <v>7.1339304103396784E-6</v>
      </c>
      <c r="AA319" s="156">
        <f t="shared" si="547"/>
        <v>3.2443272854013028E-6</v>
      </c>
      <c r="AB319" s="156">
        <f t="shared" si="547"/>
        <v>9.2917475259877504E-7</v>
      </c>
      <c r="AC319" s="156">
        <f t="shared" si="547"/>
        <v>6.2426388883108668E-6</v>
      </c>
      <c r="AD319" s="156">
        <f t="shared" si="547"/>
        <v>1.7592707256815816E-6</v>
      </c>
      <c r="AE319" s="156">
        <f t="shared" si="547"/>
        <v>2.4171470056763976E-6</v>
      </c>
      <c r="AF319" s="156">
        <f t="shared" si="547"/>
        <v>4.2107761349555349E-6</v>
      </c>
      <c r="AG319" s="156">
        <f t="shared" si="547"/>
        <v>7.3441255257934868E-6</v>
      </c>
      <c r="AH319" s="156">
        <f t="shared" si="547"/>
        <v>1.3958631217668386E-5</v>
      </c>
      <c r="AI319" s="156">
        <f t="shared" ref="AI319:BN319" si="548">AI160/AI$84</f>
        <v>4.997157071913088E-6</v>
      </c>
      <c r="AJ319" s="156">
        <f t="shared" si="548"/>
        <v>5.8897968159822058E-6</v>
      </c>
      <c r="AK319" s="156">
        <f t="shared" si="548"/>
        <v>2.0054916888398164E-5</v>
      </c>
      <c r="AL319" s="156">
        <f t="shared" si="548"/>
        <v>1.0936013385680385E-5</v>
      </c>
      <c r="AM319" s="156">
        <f t="shared" si="548"/>
        <v>5.6705362022448738E-6</v>
      </c>
      <c r="AN319" s="156">
        <f t="shared" si="548"/>
        <v>3.0666492477589089E-6</v>
      </c>
      <c r="AO319" s="156">
        <f t="shared" si="548"/>
        <v>2.7625472514655312E-6</v>
      </c>
      <c r="AP319" s="156">
        <f t="shared" si="548"/>
        <v>9.7487725076816257E-7</v>
      </c>
      <c r="AQ319" s="156">
        <f t="shared" si="548"/>
        <v>9.8226132873627077E-5</v>
      </c>
      <c r="AR319" s="156">
        <f t="shared" si="548"/>
        <v>2.4818442790840759E-5</v>
      </c>
      <c r="AS319" s="156">
        <f t="shared" si="548"/>
        <v>4.0993893070137071E-6</v>
      </c>
      <c r="AT319" s="156">
        <f t="shared" si="548"/>
        <v>8.5359093814612092E-5</v>
      </c>
      <c r="AU319" s="156">
        <f t="shared" si="548"/>
        <v>2.2179900507620293E-7</v>
      </c>
      <c r="AV319" s="156">
        <f t="shared" si="548"/>
        <v>3.8154048845229559E-6</v>
      </c>
      <c r="AW319" s="156">
        <f t="shared" si="548"/>
        <v>2.8865728506130952E-5</v>
      </c>
      <c r="AX319" s="156">
        <f t="shared" si="548"/>
        <v>4.4989767221029938E-6</v>
      </c>
      <c r="AY319" s="156">
        <f t="shared" si="548"/>
        <v>5.7281131393689334E-6</v>
      </c>
      <c r="AZ319" s="156">
        <f t="shared" si="548"/>
        <v>0</v>
      </c>
      <c r="BA319" s="156">
        <f t="shared" si="548"/>
        <v>2.5330338658184414E-6</v>
      </c>
      <c r="BB319" s="156">
        <f t="shared" si="548"/>
        <v>8.5839338134856529E-6</v>
      </c>
      <c r="BC319" s="156">
        <f t="shared" si="548"/>
        <v>1.8435592768607263E-5</v>
      </c>
      <c r="BD319" s="156">
        <f t="shared" si="548"/>
        <v>1.9400130029198923E-5</v>
      </c>
      <c r="BE319" s="156">
        <f t="shared" si="548"/>
        <v>6.4898857834184496E-6</v>
      </c>
      <c r="BF319" s="156">
        <f t="shared" si="548"/>
        <v>6.9417782873762926E-6</v>
      </c>
      <c r="BG319" s="156">
        <f t="shared" si="548"/>
        <v>2.8718569148134699E-6</v>
      </c>
      <c r="BH319" s="156">
        <f t="shared" si="548"/>
        <v>1.0584308372033229E-6</v>
      </c>
      <c r="BI319" s="156">
        <f t="shared" si="548"/>
        <v>0</v>
      </c>
      <c r="BJ319" s="156">
        <f t="shared" si="548"/>
        <v>3.3291455596596335E-5</v>
      </c>
      <c r="BK319" s="156">
        <f t="shared" si="548"/>
        <v>1.3919085788224609E-5</v>
      </c>
      <c r="BL319" s="156">
        <f t="shared" si="548"/>
        <v>9.3224988444075803E-5</v>
      </c>
      <c r="BM319" s="156">
        <f t="shared" si="548"/>
        <v>4.0591512002597859E-6</v>
      </c>
      <c r="BN319" s="156">
        <f t="shared" si="548"/>
        <v>3.0978372913625946E-6</v>
      </c>
      <c r="BO319" s="156">
        <f t="shared" ref="BO319:BZ319" si="549">BO160/BO$84</f>
        <v>7.7983753244229511E-6</v>
      </c>
      <c r="BP319" s="156">
        <f t="shared" si="549"/>
        <v>2.8074438426549286E-5</v>
      </c>
      <c r="BQ319" s="156">
        <f t="shared" si="549"/>
        <v>9.9459063413336124E-6</v>
      </c>
      <c r="BR319" s="156">
        <f t="shared" si="549"/>
        <v>8.7707670898750413E-6</v>
      </c>
      <c r="BS319" s="156">
        <f t="shared" si="549"/>
        <v>1.4685810241358003E-5</v>
      </c>
      <c r="BT319" s="156">
        <f t="shared" si="549"/>
        <v>2.3030074946417671E-4</v>
      </c>
      <c r="BU319" s="156">
        <f t="shared" si="549"/>
        <v>1.482816382353101E-5</v>
      </c>
      <c r="BV319" s="156">
        <f t="shared" si="549"/>
        <v>8.5654572241066222E-6</v>
      </c>
      <c r="BW319" s="156">
        <f t="shared" si="549"/>
        <v>1.1605163482394598E-2</v>
      </c>
      <c r="BX319" s="156">
        <f t="shared" si="549"/>
        <v>1.2363545098194366E-6</v>
      </c>
      <c r="BY319" s="156">
        <f t="shared" si="549"/>
        <v>8.1740350142963872E-6</v>
      </c>
      <c r="BZ319" s="156">
        <f t="shared" si="549"/>
        <v>6.5791001469289365E-4</v>
      </c>
      <c r="CA319" s="129">
        <f t="shared" si="537"/>
        <v>0</v>
      </c>
      <c r="CB319" s="18"/>
      <c r="CC319" s="250"/>
      <c r="CD319" s="130">
        <f t="shared" ref="CD319:CG319" si="550">CD160/(CD$79+CD$80)</f>
        <v>2.6810167432946415E-4</v>
      </c>
      <c r="CE319" s="130">
        <f t="shared" si="550"/>
        <v>0</v>
      </c>
      <c r="CF319" s="130">
        <f t="shared" si="550"/>
        <v>6.8118275828575523E-8</v>
      </c>
      <c r="CG319" s="131">
        <f t="shared" si="550"/>
        <v>0</v>
      </c>
      <c r="CH319" s="18"/>
      <c r="CI319" s="18"/>
      <c r="CJ319" s="18"/>
    </row>
    <row r="320" spans="1:88" ht="13.95" customHeight="1" x14ac:dyDescent="0.25">
      <c r="A320" s="153" t="s">
        <v>73</v>
      </c>
      <c r="B320" s="253"/>
      <c r="C320" s="128">
        <f t="shared" ref="C320:AH320" si="551">C161/C$84</f>
        <v>0</v>
      </c>
      <c r="D320" s="156">
        <f t="shared" si="551"/>
        <v>0</v>
      </c>
      <c r="E320" s="156">
        <f t="shared" si="551"/>
        <v>0</v>
      </c>
      <c r="F320" s="156">
        <f t="shared" si="551"/>
        <v>0</v>
      </c>
      <c r="G320" s="156">
        <f t="shared" si="551"/>
        <v>0</v>
      </c>
      <c r="H320" s="156">
        <f t="shared" si="551"/>
        <v>0</v>
      </c>
      <c r="I320" s="156">
        <f t="shared" si="551"/>
        <v>0</v>
      </c>
      <c r="J320" s="156">
        <f t="shared" si="551"/>
        <v>0</v>
      </c>
      <c r="K320" s="156">
        <f t="shared" si="551"/>
        <v>0</v>
      </c>
      <c r="L320" s="156">
        <f t="shared" si="551"/>
        <v>0</v>
      </c>
      <c r="M320" s="156">
        <f t="shared" si="551"/>
        <v>0</v>
      </c>
      <c r="N320" s="156">
        <f t="shared" si="551"/>
        <v>0</v>
      </c>
      <c r="O320" s="156">
        <f t="shared" si="551"/>
        <v>0</v>
      </c>
      <c r="P320" s="156">
        <f t="shared" si="551"/>
        <v>0</v>
      </c>
      <c r="Q320" s="156">
        <f t="shared" si="551"/>
        <v>0</v>
      </c>
      <c r="R320" s="156">
        <f t="shared" si="551"/>
        <v>0</v>
      </c>
      <c r="S320" s="156">
        <f t="shared" si="551"/>
        <v>0</v>
      </c>
      <c r="T320" s="156">
        <f t="shared" si="551"/>
        <v>0</v>
      </c>
      <c r="U320" s="156">
        <f t="shared" si="551"/>
        <v>0</v>
      </c>
      <c r="V320" s="156">
        <f t="shared" si="551"/>
        <v>0</v>
      </c>
      <c r="W320" s="156">
        <f t="shared" si="551"/>
        <v>0</v>
      </c>
      <c r="X320" s="156">
        <f t="shared" si="551"/>
        <v>0</v>
      </c>
      <c r="Y320" s="156">
        <f t="shared" si="551"/>
        <v>0</v>
      </c>
      <c r="Z320" s="156">
        <f t="shared" si="551"/>
        <v>0</v>
      </c>
      <c r="AA320" s="156">
        <f t="shared" si="551"/>
        <v>0</v>
      </c>
      <c r="AB320" s="156">
        <f t="shared" si="551"/>
        <v>0</v>
      </c>
      <c r="AC320" s="156">
        <f t="shared" si="551"/>
        <v>0</v>
      </c>
      <c r="AD320" s="156">
        <f t="shared" si="551"/>
        <v>0</v>
      </c>
      <c r="AE320" s="156">
        <f t="shared" si="551"/>
        <v>0</v>
      </c>
      <c r="AF320" s="156">
        <f t="shared" si="551"/>
        <v>0</v>
      </c>
      <c r="AG320" s="156">
        <f t="shared" si="551"/>
        <v>0</v>
      </c>
      <c r="AH320" s="156">
        <f t="shared" si="551"/>
        <v>0</v>
      </c>
      <c r="AI320" s="156">
        <f t="shared" ref="AI320:BN320" si="552">AI161/AI$84</f>
        <v>0</v>
      </c>
      <c r="AJ320" s="156">
        <f t="shared" si="552"/>
        <v>0</v>
      </c>
      <c r="AK320" s="156">
        <f t="shared" si="552"/>
        <v>0</v>
      </c>
      <c r="AL320" s="156">
        <f t="shared" si="552"/>
        <v>0</v>
      </c>
      <c r="AM320" s="156">
        <f t="shared" si="552"/>
        <v>0</v>
      </c>
      <c r="AN320" s="156">
        <f t="shared" si="552"/>
        <v>0</v>
      </c>
      <c r="AO320" s="156">
        <f t="shared" si="552"/>
        <v>0</v>
      </c>
      <c r="AP320" s="156">
        <f t="shared" si="552"/>
        <v>0</v>
      </c>
      <c r="AQ320" s="156">
        <f t="shared" si="552"/>
        <v>0</v>
      </c>
      <c r="AR320" s="156">
        <f t="shared" si="552"/>
        <v>0</v>
      </c>
      <c r="AS320" s="156">
        <f t="shared" si="552"/>
        <v>0</v>
      </c>
      <c r="AT320" s="156">
        <f t="shared" si="552"/>
        <v>0</v>
      </c>
      <c r="AU320" s="156">
        <f t="shared" si="552"/>
        <v>0</v>
      </c>
      <c r="AV320" s="156">
        <f t="shared" si="552"/>
        <v>0</v>
      </c>
      <c r="AW320" s="156">
        <f t="shared" si="552"/>
        <v>0</v>
      </c>
      <c r="AX320" s="156">
        <f t="shared" si="552"/>
        <v>0</v>
      </c>
      <c r="AY320" s="156">
        <f t="shared" si="552"/>
        <v>0</v>
      </c>
      <c r="AZ320" s="156">
        <f t="shared" si="552"/>
        <v>0</v>
      </c>
      <c r="BA320" s="156">
        <f t="shared" si="552"/>
        <v>0</v>
      </c>
      <c r="BB320" s="156">
        <f t="shared" si="552"/>
        <v>0</v>
      </c>
      <c r="BC320" s="156">
        <f t="shared" si="552"/>
        <v>0</v>
      </c>
      <c r="BD320" s="156">
        <f t="shared" si="552"/>
        <v>0</v>
      </c>
      <c r="BE320" s="156">
        <f t="shared" si="552"/>
        <v>0</v>
      </c>
      <c r="BF320" s="156">
        <f t="shared" si="552"/>
        <v>0</v>
      </c>
      <c r="BG320" s="156">
        <f t="shared" si="552"/>
        <v>0</v>
      </c>
      <c r="BH320" s="156">
        <f t="shared" si="552"/>
        <v>0</v>
      </c>
      <c r="BI320" s="156">
        <f t="shared" si="552"/>
        <v>0</v>
      </c>
      <c r="BJ320" s="156">
        <f t="shared" si="552"/>
        <v>0</v>
      </c>
      <c r="BK320" s="156">
        <f t="shared" si="552"/>
        <v>0</v>
      </c>
      <c r="BL320" s="156">
        <f t="shared" si="552"/>
        <v>0</v>
      </c>
      <c r="BM320" s="156">
        <f t="shared" si="552"/>
        <v>0</v>
      </c>
      <c r="BN320" s="156">
        <f t="shared" si="552"/>
        <v>0</v>
      </c>
      <c r="BO320" s="156">
        <f t="shared" ref="BO320:BZ320" si="553">BO161/BO$84</f>
        <v>0</v>
      </c>
      <c r="BP320" s="156">
        <f t="shared" si="553"/>
        <v>0</v>
      </c>
      <c r="BQ320" s="156">
        <f t="shared" si="553"/>
        <v>0</v>
      </c>
      <c r="BR320" s="156">
        <f t="shared" si="553"/>
        <v>0</v>
      </c>
      <c r="BS320" s="156">
        <f t="shared" si="553"/>
        <v>0</v>
      </c>
      <c r="BT320" s="156">
        <f t="shared" si="553"/>
        <v>0</v>
      </c>
      <c r="BU320" s="156">
        <f t="shared" si="553"/>
        <v>0</v>
      </c>
      <c r="BV320" s="156">
        <f t="shared" si="553"/>
        <v>0</v>
      </c>
      <c r="BW320" s="156">
        <f t="shared" si="553"/>
        <v>0</v>
      </c>
      <c r="BX320" s="156">
        <f t="shared" si="553"/>
        <v>0</v>
      </c>
      <c r="BY320" s="156">
        <f t="shared" si="553"/>
        <v>0</v>
      </c>
      <c r="BZ320" s="156">
        <f t="shared" si="553"/>
        <v>0</v>
      </c>
      <c r="CA320" s="129">
        <f t="shared" si="537"/>
        <v>0</v>
      </c>
      <c r="CB320" s="18"/>
      <c r="CC320" s="250"/>
      <c r="CD320" s="130">
        <f t="shared" ref="CD320:CG320" si="554">CD161/(CD$79+CD$80)</f>
        <v>0</v>
      </c>
      <c r="CE320" s="130">
        <f t="shared" si="554"/>
        <v>0</v>
      </c>
      <c r="CF320" s="130">
        <f t="shared" si="554"/>
        <v>0</v>
      </c>
      <c r="CG320" s="131">
        <f t="shared" si="554"/>
        <v>0</v>
      </c>
      <c r="CH320" s="18"/>
      <c r="CI320" s="18"/>
      <c r="CJ320" s="18"/>
    </row>
    <row r="321" spans="1:88" ht="13.95" customHeight="1" x14ac:dyDescent="0.25">
      <c r="A321" s="153" t="s">
        <v>74</v>
      </c>
      <c r="B321" s="253"/>
      <c r="C321" s="128">
        <f t="shared" ref="C321:AH321" si="555">C162/C$84</f>
        <v>0</v>
      </c>
      <c r="D321" s="156">
        <f t="shared" si="555"/>
        <v>0</v>
      </c>
      <c r="E321" s="156">
        <f t="shared" si="555"/>
        <v>0</v>
      </c>
      <c r="F321" s="156">
        <f t="shared" si="555"/>
        <v>0</v>
      </c>
      <c r="G321" s="156">
        <f t="shared" si="555"/>
        <v>0</v>
      </c>
      <c r="H321" s="156">
        <f t="shared" si="555"/>
        <v>0</v>
      </c>
      <c r="I321" s="156">
        <f t="shared" si="555"/>
        <v>0</v>
      </c>
      <c r="J321" s="156">
        <f t="shared" si="555"/>
        <v>0</v>
      </c>
      <c r="K321" s="156">
        <f t="shared" si="555"/>
        <v>0</v>
      </c>
      <c r="L321" s="156">
        <f t="shared" si="555"/>
        <v>0</v>
      </c>
      <c r="M321" s="156">
        <f t="shared" si="555"/>
        <v>0</v>
      </c>
      <c r="N321" s="156">
        <f t="shared" si="555"/>
        <v>0</v>
      </c>
      <c r="O321" s="156">
        <f t="shared" si="555"/>
        <v>0</v>
      </c>
      <c r="P321" s="156">
        <f t="shared" si="555"/>
        <v>0</v>
      </c>
      <c r="Q321" s="156">
        <f t="shared" si="555"/>
        <v>0</v>
      </c>
      <c r="R321" s="156">
        <f t="shared" si="555"/>
        <v>0</v>
      </c>
      <c r="S321" s="156">
        <f t="shared" si="555"/>
        <v>0</v>
      </c>
      <c r="T321" s="156">
        <f t="shared" si="555"/>
        <v>0</v>
      </c>
      <c r="U321" s="156">
        <f t="shared" si="555"/>
        <v>0</v>
      </c>
      <c r="V321" s="156">
        <f t="shared" si="555"/>
        <v>0</v>
      </c>
      <c r="W321" s="156">
        <f t="shared" si="555"/>
        <v>0</v>
      </c>
      <c r="X321" s="156">
        <f t="shared" si="555"/>
        <v>0</v>
      </c>
      <c r="Y321" s="156">
        <f t="shared" si="555"/>
        <v>0</v>
      </c>
      <c r="Z321" s="156">
        <f t="shared" si="555"/>
        <v>0</v>
      </c>
      <c r="AA321" s="156">
        <f t="shared" si="555"/>
        <v>0</v>
      </c>
      <c r="AB321" s="156">
        <f t="shared" si="555"/>
        <v>0</v>
      </c>
      <c r="AC321" s="156">
        <f t="shared" si="555"/>
        <v>0</v>
      </c>
      <c r="AD321" s="156">
        <f t="shared" si="555"/>
        <v>0</v>
      </c>
      <c r="AE321" s="156">
        <f t="shared" si="555"/>
        <v>0</v>
      </c>
      <c r="AF321" s="156">
        <f t="shared" si="555"/>
        <v>0</v>
      </c>
      <c r="AG321" s="156">
        <f t="shared" si="555"/>
        <v>0</v>
      </c>
      <c r="AH321" s="156">
        <f t="shared" si="555"/>
        <v>0</v>
      </c>
      <c r="AI321" s="156">
        <f t="shared" ref="AI321:BN321" si="556">AI162/AI$84</f>
        <v>0</v>
      </c>
      <c r="AJ321" s="156">
        <f t="shared" si="556"/>
        <v>0</v>
      </c>
      <c r="AK321" s="156">
        <f t="shared" si="556"/>
        <v>0</v>
      </c>
      <c r="AL321" s="156">
        <f t="shared" si="556"/>
        <v>0</v>
      </c>
      <c r="AM321" s="156">
        <f t="shared" si="556"/>
        <v>0</v>
      </c>
      <c r="AN321" s="156">
        <f t="shared" si="556"/>
        <v>0</v>
      </c>
      <c r="AO321" s="156">
        <f t="shared" si="556"/>
        <v>0</v>
      </c>
      <c r="AP321" s="156">
        <f t="shared" si="556"/>
        <v>0</v>
      </c>
      <c r="AQ321" s="156">
        <f t="shared" si="556"/>
        <v>0</v>
      </c>
      <c r="AR321" s="156">
        <f t="shared" si="556"/>
        <v>0</v>
      </c>
      <c r="AS321" s="156">
        <f t="shared" si="556"/>
        <v>0</v>
      </c>
      <c r="AT321" s="156">
        <f t="shared" si="556"/>
        <v>0</v>
      </c>
      <c r="AU321" s="156">
        <f t="shared" si="556"/>
        <v>0</v>
      </c>
      <c r="AV321" s="156">
        <f t="shared" si="556"/>
        <v>0</v>
      </c>
      <c r="AW321" s="156">
        <f t="shared" si="556"/>
        <v>0</v>
      </c>
      <c r="AX321" s="156">
        <f t="shared" si="556"/>
        <v>0</v>
      </c>
      <c r="AY321" s="156">
        <f t="shared" si="556"/>
        <v>0</v>
      </c>
      <c r="AZ321" s="156">
        <f t="shared" si="556"/>
        <v>0</v>
      </c>
      <c r="BA321" s="156">
        <f t="shared" si="556"/>
        <v>0</v>
      </c>
      <c r="BB321" s="156">
        <f t="shared" si="556"/>
        <v>0</v>
      </c>
      <c r="BC321" s="156">
        <f t="shared" si="556"/>
        <v>0</v>
      </c>
      <c r="BD321" s="156">
        <f t="shared" si="556"/>
        <v>0</v>
      </c>
      <c r="BE321" s="156">
        <f t="shared" si="556"/>
        <v>0</v>
      </c>
      <c r="BF321" s="156">
        <f t="shared" si="556"/>
        <v>0</v>
      </c>
      <c r="BG321" s="156">
        <f t="shared" si="556"/>
        <v>0</v>
      </c>
      <c r="BH321" s="156">
        <f t="shared" si="556"/>
        <v>0</v>
      </c>
      <c r="BI321" s="156">
        <f t="shared" si="556"/>
        <v>0</v>
      </c>
      <c r="BJ321" s="156">
        <f t="shared" si="556"/>
        <v>0</v>
      </c>
      <c r="BK321" s="156">
        <f t="shared" si="556"/>
        <v>0</v>
      </c>
      <c r="BL321" s="156">
        <f t="shared" si="556"/>
        <v>0</v>
      </c>
      <c r="BM321" s="156">
        <f t="shared" si="556"/>
        <v>0</v>
      </c>
      <c r="BN321" s="156">
        <f t="shared" si="556"/>
        <v>0</v>
      </c>
      <c r="BO321" s="156">
        <f t="shared" ref="BO321:BZ321" si="557">BO162/BO$84</f>
        <v>0</v>
      </c>
      <c r="BP321" s="156">
        <f t="shared" si="557"/>
        <v>0</v>
      </c>
      <c r="BQ321" s="156">
        <f t="shared" si="557"/>
        <v>0</v>
      </c>
      <c r="BR321" s="156">
        <f t="shared" si="557"/>
        <v>0</v>
      </c>
      <c r="BS321" s="156">
        <f t="shared" si="557"/>
        <v>0</v>
      </c>
      <c r="BT321" s="156">
        <f t="shared" si="557"/>
        <v>0</v>
      </c>
      <c r="BU321" s="156">
        <f t="shared" si="557"/>
        <v>0</v>
      </c>
      <c r="BV321" s="156">
        <f t="shared" si="557"/>
        <v>0</v>
      </c>
      <c r="BW321" s="156">
        <f t="shared" si="557"/>
        <v>0</v>
      </c>
      <c r="BX321" s="156">
        <f t="shared" si="557"/>
        <v>0</v>
      </c>
      <c r="BY321" s="156">
        <f t="shared" si="557"/>
        <v>0</v>
      </c>
      <c r="BZ321" s="156">
        <f t="shared" si="557"/>
        <v>0</v>
      </c>
      <c r="CA321" s="129">
        <f t="shared" si="537"/>
        <v>0</v>
      </c>
      <c r="CB321" s="18"/>
      <c r="CC321" s="250"/>
      <c r="CD321" s="130">
        <f t="shared" ref="CD321:CG321" si="558">CD162/(CD$79+CD$80)</f>
        <v>1.7596851961925631E-5</v>
      </c>
      <c r="CE321" s="130">
        <f t="shared" si="558"/>
        <v>0</v>
      </c>
      <c r="CF321" s="130">
        <f t="shared" si="558"/>
        <v>0</v>
      </c>
      <c r="CG321" s="131">
        <f t="shared" si="558"/>
        <v>0</v>
      </c>
      <c r="CH321" s="18"/>
      <c r="CI321" s="18"/>
      <c r="CJ321" s="18"/>
    </row>
    <row r="322" spans="1:88" ht="14.4" customHeight="1" x14ac:dyDescent="0.25">
      <c r="A322" s="153" t="s">
        <v>102</v>
      </c>
      <c r="B322" s="253"/>
      <c r="C322" s="128">
        <f>C163/C$84</f>
        <v>0</v>
      </c>
      <c r="D322" s="156">
        <f t="shared" ref="D322:BO322" si="559">D163/D$84</f>
        <v>0</v>
      </c>
      <c r="E322" s="156">
        <f t="shared" si="559"/>
        <v>0</v>
      </c>
      <c r="F322" s="156">
        <f t="shared" si="559"/>
        <v>0</v>
      </c>
      <c r="G322" s="156">
        <f t="shared" si="559"/>
        <v>0</v>
      </c>
      <c r="H322" s="156">
        <f t="shared" si="559"/>
        <v>0</v>
      </c>
      <c r="I322" s="156">
        <f t="shared" si="559"/>
        <v>0</v>
      </c>
      <c r="J322" s="156">
        <f t="shared" si="559"/>
        <v>0</v>
      </c>
      <c r="K322" s="156">
        <f t="shared" si="559"/>
        <v>0</v>
      </c>
      <c r="L322" s="156">
        <f t="shared" si="559"/>
        <v>0</v>
      </c>
      <c r="M322" s="156">
        <f t="shared" si="559"/>
        <v>0</v>
      </c>
      <c r="N322" s="156">
        <f t="shared" si="559"/>
        <v>0</v>
      </c>
      <c r="O322" s="156">
        <f t="shared" si="559"/>
        <v>0</v>
      </c>
      <c r="P322" s="156">
        <f t="shared" si="559"/>
        <v>0</v>
      </c>
      <c r="Q322" s="156">
        <f t="shared" si="559"/>
        <v>0</v>
      </c>
      <c r="R322" s="156">
        <f t="shared" si="559"/>
        <v>0</v>
      </c>
      <c r="S322" s="156">
        <f t="shared" si="559"/>
        <v>0</v>
      </c>
      <c r="T322" s="156">
        <f t="shared" si="559"/>
        <v>0</v>
      </c>
      <c r="U322" s="156">
        <f t="shared" si="559"/>
        <v>0</v>
      </c>
      <c r="V322" s="156">
        <f t="shared" si="559"/>
        <v>0</v>
      </c>
      <c r="W322" s="156">
        <f t="shared" si="559"/>
        <v>0</v>
      </c>
      <c r="X322" s="156">
        <f t="shared" si="559"/>
        <v>0</v>
      </c>
      <c r="Y322" s="156">
        <f t="shared" si="559"/>
        <v>0</v>
      </c>
      <c r="Z322" s="156">
        <f t="shared" si="559"/>
        <v>0</v>
      </c>
      <c r="AA322" s="156">
        <f t="shared" si="559"/>
        <v>0</v>
      </c>
      <c r="AB322" s="156">
        <f t="shared" si="559"/>
        <v>0</v>
      </c>
      <c r="AC322" s="156">
        <f t="shared" si="559"/>
        <v>0</v>
      </c>
      <c r="AD322" s="156">
        <f t="shared" si="559"/>
        <v>0</v>
      </c>
      <c r="AE322" s="156">
        <f t="shared" si="559"/>
        <v>0</v>
      </c>
      <c r="AF322" s="156">
        <f t="shared" si="559"/>
        <v>0</v>
      </c>
      <c r="AG322" s="156">
        <f t="shared" si="559"/>
        <v>0</v>
      </c>
      <c r="AH322" s="156">
        <f t="shared" si="559"/>
        <v>0</v>
      </c>
      <c r="AI322" s="156">
        <f t="shared" si="559"/>
        <v>0</v>
      </c>
      <c r="AJ322" s="156">
        <f t="shared" si="559"/>
        <v>0</v>
      </c>
      <c r="AK322" s="156">
        <f t="shared" si="559"/>
        <v>0</v>
      </c>
      <c r="AL322" s="156">
        <f t="shared" si="559"/>
        <v>0</v>
      </c>
      <c r="AM322" s="156">
        <f t="shared" si="559"/>
        <v>0</v>
      </c>
      <c r="AN322" s="156">
        <f t="shared" si="559"/>
        <v>0</v>
      </c>
      <c r="AO322" s="156">
        <f t="shared" si="559"/>
        <v>0</v>
      </c>
      <c r="AP322" s="156">
        <f t="shared" si="559"/>
        <v>0</v>
      </c>
      <c r="AQ322" s="156">
        <f t="shared" si="559"/>
        <v>0</v>
      </c>
      <c r="AR322" s="156">
        <f t="shared" si="559"/>
        <v>0</v>
      </c>
      <c r="AS322" s="156">
        <f t="shared" si="559"/>
        <v>0</v>
      </c>
      <c r="AT322" s="156">
        <f t="shared" si="559"/>
        <v>0</v>
      </c>
      <c r="AU322" s="156">
        <f t="shared" si="559"/>
        <v>0</v>
      </c>
      <c r="AV322" s="156">
        <f t="shared" si="559"/>
        <v>0</v>
      </c>
      <c r="AW322" s="156">
        <f t="shared" si="559"/>
        <v>0</v>
      </c>
      <c r="AX322" s="156">
        <f t="shared" si="559"/>
        <v>0</v>
      </c>
      <c r="AY322" s="156">
        <f t="shared" si="559"/>
        <v>0</v>
      </c>
      <c r="AZ322" s="156">
        <f t="shared" si="559"/>
        <v>0</v>
      </c>
      <c r="BA322" s="156">
        <f t="shared" si="559"/>
        <v>0</v>
      </c>
      <c r="BB322" s="156">
        <f t="shared" si="559"/>
        <v>0</v>
      </c>
      <c r="BC322" s="156">
        <f t="shared" si="559"/>
        <v>0</v>
      </c>
      <c r="BD322" s="156">
        <f t="shared" si="559"/>
        <v>0</v>
      </c>
      <c r="BE322" s="156">
        <f t="shared" si="559"/>
        <v>0</v>
      </c>
      <c r="BF322" s="156">
        <f t="shared" si="559"/>
        <v>0</v>
      </c>
      <c r="BG322" s="156">
        <f t="shared" si="559"/>
        <v>0</v>
      </c>
      <c r="BH322" s="156">
        <f t="shared" si="559"/>
        <v>0</v>
      </c>
      <c r="BI322" s="156">
        <f t="shared" si="559"/>
        <v>0</v>
      </c>
      <c r="BJ322" s="156">
        <f t="shared" si="559"/>
        <v>0</v>
      </c>
      <c r="BK322" s="156">
        <f t="shared" si="559"/>
        <v>0</v>
      </c>
      <c r="BL322" s="156">
        <f t="shared" si="559"/>
        <v>0</v>
      </c>
      <c r="BM322" s="156">
        <f t="shared" si="559"/>
        <v>0</v>
      </c>
      <c r="BN322" s="156">
        <f t="shared" si="559"/>
        <v>0</v>
      </c>
      <c r="BO322" s="156">
        <f t="shared" si="559"/>
        <v>0</v>
      </c>
      <c r="BP322" s="156">
        <f t="shared" ref="BP322:CA322" si="560">BP163/BP$84</f>
        <v>0</v>
      </c>
      <c r="BQ322" s="156">
        <f t="shared" si="560"/>
        <v>0</v>
      </c>
      <c r="BR322" s="156">
        <f t="shared" si="560"/>
        <v>0</v>
      </c>
      <c r="BS322" s="156">
        <f t="shared" si="560"/>
        <v>0</v>
      </c>
      <c r="BT322" s="156">
        <f t="shared" si="560"/>
        <v>0</v>
      </c>
      <c r="BU322" s="156">
        <f t="shared" si="560"/>
        <v>0</v>
      </c>
      <c r="BV322" s="156">
        <f t="shared" si="560"/>
        <v>0</v>
      </c>
      <c r="BW322" s="156">
        <f t="shared" si="560"/>
        <v>0</v>
      </c>
      <c r="BX322" s="156">
        <f t="shared" si="560"/>
        <v>0</v>
      </c>
      <c r="BY322" s="156">
        <f t="shared" si="560"/>
        <v>0</v>
      </c>
      <c r="BZ322" s="156">
        <f t="shared" si="560"/>
        <v>0</v>
      </c>
      <c r="CA322" s="129">
        <f t="shared" si="560"/>
        <v>0</v>
      </c>
      <c r="CB322" s="18"/>
      <c r="CC322" s="250"/>
      <c r="CD322" s="130">
        <f>CD163/(CD$79+CD$80)</f>
        <v>2.2676082348618186E-4</v>
      </c>
      <c r="CE322" s="130">
        <f t="shared" ref="CE322:CG322" si="561">CE163/(CE$79+CE$80)</f>
        <v>0</v>
      </c>
      <c r="CF322" s="130">
        <f t="shared" si="561"/>
        <v>0</v>
      </c>
      <c r="CG322" s="131">
        <f t="shared" si="561"/>
        <v>0</v>
      </c>
      <c r="CH322" s="18"/>
      <c r="CI322" s="18"/>
      <c r="CJ322" s="18"/>
    </row>
    <row r="323" spans="1:88" ht="15" customHeight="1" thickBot="1" x14ac:dyDescent="0.3">
      <c r="A323" s="155" t="s">
        <v>76</v>
      </c>
      <c r="B323" s="254"/>
      <c r="C323" s="132">
        <f>C164/C$84</f>
        <v>0</v>
      </c>
      <c r="D323" s="157">
        <f t="shared" ref="D323:BO323" si="562">D164/D$84</f>
        <v>0</v>
      </c>
      <c r="E323" s="157">
        <f t="shared" si="562"/>
        <v>0</v>
      </c>
      <c r="F323" s="157">
        <f t="shared" si="562"/>
        <v>0</v>
      </c>
      <c r="G323" s="157">
        <f t="shared" si="562"/>
        <v>0</v>
      </c>
      <c r="H323" s="157">
        <f t="shared" si="562"/>
        <v>0</v>
      </c>
      <c r="I323" s="157">
        <f t="shared" si="562"/>
        <v>0</v>
      </c>
      <c r="J323" s="157">
        <f t="shared" si="562"/>
        <v>0</v>
      </c>
      <c r="K323" s="157">
        <f t="shared" si="562"/>
        <v>0</v>
      </c>
      <c r="L323" s="157">
        <f t="shared" si="562"/>
        <v>0</v>
      </c>
      <c r="M323" s="157">
        <f t="shared" si="562"/>
        <v>0</v>
      </c>
      <c r="N323" s="157">
        <f t="shared" si="562"/>
        <v>0</v>
      </c>
      <c r="O323" s="157">
        <f t="shared" si="562"/>
        <v>0</v>
      </c>
      <c r="P323" s="157">
        <f t="shared" si="562"/>
        <v>0</v>
      </c>
      <c r="Q323" s="157">
        <f t="shared" si="562"/>
        <v>0</v>
      </c>
      <c r="R323" s="157">
        <f t="shared" si="562"/>
        <v>0</v>
      </c>
      <c r="S323" s="157">
        <f t="shared" si="562"/>
        <v>0</v>
      </c>
      <c r="T323" s="157">
        <f t="shared" si="562"/>
        <v>0</v>
      </c>
      <c r="U323" s="157">
        <f t="shared" si="562"/>
        <v>0</v>
      </c>
      <c r="V323" s="157">
        <f t="shared" si="562"/>
        <v>0</v>
      </c>
      <c r="W323" s="157">
        <f t="shared" si="562"/>
        <v>0</v>
      </c>
      <c r="X323" s="157">
        <f t="shared" si="562"/>
        <v>0</v>
      </c>
      <c r="Y323" s="157">
        <f t="shared" si="562"/>
        <v>0</v>
      </c>
      <c r="Z323" s="157">
        <f t="shared" si="562"/>
        <v>0</v>
      </c>
      <c r="AA323" s="157">
        <f t="shared" si="562"/>
        <v>0</v>
      </c>
      <c r="AB323" s="157">
        <f t="shared" si="562"/>
        <v>0</v>
      </c>
      <c r="AC323" s="157">
        <f t="shared" si="562"/>
        <v>0</v>
      </c>
      <c r="AD323" s="157">
        <f t="shared" si="562"/>
        <v>0</v>
      </c>
      <c r="AE323" s="157">
        <f t="shared" si="562"/>
        <v>0</v>
      </c>
      <c r="AF323" s="157">
        <f t="shared" si="562"/>
        <v>0</v>
      </c>
      <c r="AG323" s="157">
        <f t="shared" si="562"/>
        <v>0</v>
      </c>
      <c r="AH323" s="157">
        <f t="shared" si="562"/>
        <v>0</v>
      </c>
      <c r="AI323" s="157">
        <f t="shared" si="562"/>
        <v>0</v>
      </c>
      <c r="AJ323" s="157">
        <f t="shared" si="562"/>
        <v>0</v>
      </c>
      <c r="AK323" s="157">
        <f t="shared" si="562"/>
        <v>0</v>
      </c>
      <c r="AL323" s="157">
        <f t="shared" si="562"/>
        <v>0</v>
      </c>
      <c r="AM323" s="157">
        <f t="shared" si="562"/>
        <v>0</v>
      </c>
      <c r="AN323" s="157">
        <f t="shared" si="562"/>
        <v>0</v>
      </c>
      <c r="AO323" s="157">
        <f t="shared" si="562"/>
        <v>0</v>
      </c>
      <c r="AP323" s="157">
        <f t="shared" si="562"/>
        <v>0</v>
      </c>
      <c r="AQ323" s="157">
        <f t="shared" si="562"/>
        <v>0</v>
      </c>
      <c r="AR323" s="157">
        <f t="shared" si="562"/>
        <v>0</v>
      </c>
      <c r="AS323" s="157">
        <f t="shared" si="562"/>
        <v>0</v>
      </c>
      <c r="AT323" s="157">
        <f t="shared" si="562"/>
        <v>0</v>
      </c>
      <c r="AU323" s="157">
        <f t="shared" si="562"/>
        <v>0</v>
      </c>
      <c r="AV323" s="157">
        <f t="shared" si="562"/>
        <v>0</v>
      </c>
      <c r="AW323" s="157">
        <f t="shared" si="562"/>
        <v>0</v>
      </c>
      <c r="AX323" s="157">
        <f t="shared" si="562"/>
        <v>0</v>
      </c>
      <c r="AY323" s="157">
        <f t="shared" si="562"/>
        <v>0</v>
      </c>
      <c r="AZ323" s="157">
        <f t="shared" si="562"/>
        <v>0</v>
      </c>
      <c r="BA323" s="157">
        <f t="shared" si="562"/>
        <v>0</v>
      </c>
      <c r="BB323" s="157">
        <f t="shared" si="562"/>
        <v>0</v>
      </c>
      <c r="BC323" s="157">
        <f t="shared" si="562"/>
        <v>0</v>
      </c>
      <c r="BD323" s="157">
        <f t="shared" si="562"/>
        <v>0</v>
      </c>
      <c r="BE323" s="157">
        <f t="shared" si="562"/>
        <v>0</v>
      </c>
      <c r="BF323" s="157">
        <f t="shared" si="562"/>
        <v>0</v>
      </c>
      <c r="BG323" s="157">
        <f t="shared" si="562"/>
        <v>0</v>
      </c>
      <c r="BH323" s="157">
        <f t="shared" si="562"/>
        <v>0</v>
      </c>
      <c r="BI323" s="157">
        <f t="shared" si="562"/>
        <v>0</v>
      </c>
      <c r="BJ323" s="157">
        <f t="shared" si="562"/>
        <v>0</v>
      </c>
      <c r="BK323" s="157">
        <f t="shared" si="562"/>
        <v>0</v>
      </c>
      <c r="BL323" s="157">
        <f t="shared" si="562"/>
        <v>0</v>
      </c>
      <c r="BM323" s="157">
        <f t="shared" si="562"/>
        <v>0</v>
      </c>
      <c r="BN323" s="157">
        <f t="shared" si="562"/>
        <v>0</v>
      </c>
      <c r="BO323" s="157">
        <f t="shared" si="562"/>
        <v>0</v>
      </c>
      <c r="BP323" s="157">
        <f t="shared" ref="BP323:CA323" si="563">BP164/BP$84</f>
        <v>0</v>
      </c>
      <c r="BQ323" s="157">
        <f t="shared" si="563"/>
        <v>0</v>
      </c>
      <c r="BR323" s="157">
        <f t="shared" si="563"/>
        <v>0</v>
      </c>
      <c r="BS323" s="157">
        <f t="shared" si="563"/>
        <v>0</v>
      </c>
      <c r="BT323" s="157">
        <f t="shared" si="563"/>
        <v>0</v>
      </c>
      <c r="BU323" s="157">
        <f t="shared" si="563"/>
        <v>0</v>
      </c>
      <c r="BV323" s="157">
        <f t="shared" si="563"/>
        <v>0</v>
      </c>
      <c r="BW323" s="157">
        <f t="shared" si="563"/>
        <v>0</v>
      </c>
      <c r="BX323" s="157">
        <f t="shared" si="563"/>
        <v>0</v>
      </c>
      <c r="BY323" s="157">
        <f t="shared" si="563"/>
        <v>0</v>
      </c>
      <c r="BZ323" s="157">
        <f t="shared" si="563"/>
        <v>0</v>
      </c>
      <c r="CA323" s="158">
        <f t="shared" si="563"/>
        <v>0</v>
      </c>
      <c r="CB323" s="18"/>
      <c r="CC323" s="251"/>
      <c r="CD323" s="151">
        <f>CD164/(CD$79+CD$80)</f>
        <v>0</v>
      </c>
      <c r="CE323" s="133">
        <f t="shared" ref="CE323:CG323" si="564">CE164/(CE$79+CE$80)</f>
        <v>0</v>
      </c>
      <c r="CF323" s="133">
        <f t="shared" si="564"/>
        <v>0</v>
      </c>
      <c r="CG323" s="152">
        <f t="shared" si="564"/>
        <v>0</v>
      </c>
      <c r="CH323" s="18"/>
      <c r="CI323" s="18"/>
      <c r="CJ323" s="18"/>
    </row>
    <row r="324" spans="1:88" ht="18.600000000000001" thickBot="1" x14ac:dyDescent="0.3">
      <c r="A324" s="15"/>
      <c r="B324" s="19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N324" s="134"/>
      <c r="O324" s="134"/>
      <c r="P324" s="134"/>
      <c r="Q324" s="134"/>
      <c r="R324" s="134"/>
      <c r="S324" s="134"/>
      <c r="T324" s="134"/>
      <c r="U324" s="134"/>
      <c r="V324" s="134"/>
      <c r="W324" s="134"/>
      <c r="X324" s="134"/>
      <c r="Y324" s="134"/>
      <c r="Z324" s="134"/>
      <c r="AA324" s="134"/>
      <c r="AB324" s="134"/>
      <c r="AC324" s="134"/>
      <c r="AD324" s="134"/>
      <c r="AE324" s="134"/>
      <c r="AF324" s="134"/>
      <c r="AG324" s="134"/>
      <c r="AH324" s="134"/>
      <c r="AI324" s="134"/>
      <c r="AJ324" s="134"/>
      <c r="AK324" s="134"/>
      <c r="AL324" s="134"/>
      <c r="AM324" s="134"/>
      <c r="AN324" s="134"/>
      <c r="AO324" s="134"/>
      <c r="AP324" s="134"/>
      <c r="AQ324" s="134"/>
      <c r="AR324" s="134"/>
      <c r="AS324" s="134"/>
      <c r="AT324" s="134"/>
      <c r="AU324" s="134"/>
      <c r="AV324" s="134"/>
      <c r="AW324" s="134"/>
      <c r="AX324" s="134"/>
      <c r="AY324" s="134"/>
      <c r="AZ324" s="134"/>
      <c r="BA324" s="134"/>
      <c r="BB324" s="134"/>
      <c r="BC324" s="134"/>
      <c r="BD324" s="134"/>
      <c r="BE324" s="134"/>
      <c r="BF324" s="134"/>
      <c r="BG324" s="134"/>
      <c r="BH324" s="134"/>
      <c r="BI324" s="134"/>
      <c r="BJ324" s="134"/>
      <c r="BK324" s="134"/>
      <c r="BL324" s="134"/>
      <c r="BM324" s="134"/>
      <c r="BN324" s="134"/>
      <c r="BO324" s="134"/>
      <c r="BP324" s="134"/>
      <c r="BQ324" s="134"/>
      <c r="BR324" s="134"/>
      <c r="BS324" s="134"/>
      <c r="BT324" s="134"/>
      <c r="BU324" s="134"/>
      <c r="BV324" s="134"/>
      <c r="BW324" s="134"/>
      <c r="BX324" s="134"/>
      <c r="BY324" s="134"/>
      <c r="BZ324" s="134"/>
      <c r="CA324" s="134"/>
      <c r="CB324" s="18"/>
      <c r="CC324" s="18"/>
      <c r="CD324" s="134"/>
      <c r="CE324" s="134"/>
      <c r="CF324" s="134"/>
      <c r="CG324" s="134"/>
      <c r="CH324" s="18"/>
      <c r="CI324" s="18"/>
      <c r="CJ324" s="18"/>
    </row>
    <row r="325" spans="1:88" ht="20.399999999999999" x14ac:dyDescent="0.25">
      <c r="A325" s="30" t="s">
        <v>92</v>
      </c>
      <c r="B325" s="36" t="s">
        <v>107</v>
      </c>
      <c r="C325" s="135">
        <f t="shared" ref="C325:AH325" si="565">C81/C$84</f>
        <v>0.32207852025901734</v>
      </c>
      <c r="D325" s="136">
        <f t="shared" si="565"/>
        <v>0.22442475114246957</v>
      </c>
      <c r="E325" s="136">
        <f t="shared" si="565"/>
        <v>0.39688943140163518</v>
      </c>
      <c r="F325" s="136">
        <f t="shared" si="565"/>
        <v>0.16359230643676698</v>
      </c>
      <c r="G325" s="136">
        <f t="shared" si="565"/>
        <v>0.22676136443674372</v>
      </c>
      <c r="H325" s="136">
        <f t="shared" si="565"/>
        <v>0.1213443812686181</v>
      </c>
      <c r="I325" s="136">
        <f t="shared" si="565"/>
        <v>0.20027111805455666</v>
      </c>
      <c r="J325" s="136">
        <f t="shared" si="565"/>
        <v>0.55329597009650466</v>
      </c>
      <c r="K325" s="136">
        <f t="shared" si="565"/>
        <v>0.10721335841912216</v>
      </c>
      <c r="L325" s="136">
        <f t="shared" si="565"/>
        <v>0.24638774003014613</v>
      </c>
      <c r="M325" s="136">
        <f t="shared" si="565"/>
        <v>0.1685682531549875</v>
      </c>
      <c r="N325" s="136">
        <f t="shared" si="565"/>
        <v>0.18587349054803187</v>
      </c>
      <c r="O325" s="136">
        <f t="shared" si="565"/>
        <v>0.19429550806552237</v>
      </c>
      <c r="P325" s="136">
        <f t="shared" si="565"/>
        <v>0.13738814541962791</v>
      </c>
      <c r="Q325" s="136">
        <f t="shared" si="565"/>
        <v>0.10803768671271335</v>
      </c>
      <c r="R325" s="136">
        <f t="shared" si="565"/>
        <v>0.21260583860713278</v>
      </c>
      <c r="S325" s="136">
        <f t="shared" si="565"/>
        <v>0.15850930820425113</v>
      </c>
      <c r="T325" s="136">
        <f t="shared" si="565"/>
        <v>0.15011666855636116</v>
      </c>
      <c r="U325" s="136">
        <f t="shared" si="565"/>
        <v>0.21687893847198841</v>
      </c>
      <c r="V325" s="136">
        <f t="shared" si="565"/>
        <v>0.11358071698609168</v>
      </c>
      <c r="W325" s="136">
        <f t="shared" si="565"/>
        <v>0.20600493086852464</v>
      </c>
      <c r="X325" s="136">
        <f t="shared" si="565"/>
        <v>8.3159194023115737E-2</v>
      </c>
      <c r="Y325" s="136">
        <f t="shared" si="565"/>
        <v>0.17491912204749976</v>
      </c>
      <c r="Z325" s="136">
        <f t="shared" si="565"/>
        <v>0.17649813117328303</v>
      </c>
      <c r="AA325" s="136">
        <f t="shared" si="565"/>
        <v>7.8560025767798414E-2</v>
      </c>
      <c r="AB325" s="136">
        <f t="shared" si="565"/>
        <v>0.20748877683604508</v>
      </c>
      <c r="AC325" s="136">
        <f t="shared" si="565"/>
        <v>0.16068995816346268</v>
      </c>
      <c r="AD325" s="136">
        <f t="shared" si="565"/>
        <v>0.25469620109963598</v>
      </c>
      <c r="AE325" s="136">
        <f t="shared" si="565"/>
        <v>0.27643592849922372</v>
      </c>
      <c r="AF325" s="136">
        <f t="shared" si="565"/>
        <v>0.33183510668027932</v>
      </c>
      <c r="AG325" s="136">
        <f t="shared" si="565"/>
        <v>0.45196739942679098</v>
      </c>
      <c r="AH325" s="136">
        <f t="shared" si="565"/>
        <v>0.19447865557992361</v>
      </c>
      <c r="AI325" s="136">
        <f t="shared" ref="AI325:BN325" si="566">AI81/AI$84</f>
        <v>0.38682992893679213</v>
      </c>
      <c r="AJ325" s="136">
        <f t="shared" si="566"/>
        <v>0.26512590584807444</v>
      </c>
      <c r="AK325" s="136">
        <f t="shared" si="566"/>
        <v>0.53165359506520049</v>
      </c>
      <c r="AL325" s="136">
        <f t="shared" si="566"/>
        <v>0.33461428022337636</v>
      </c>
      <c r="AM325" s="136">
        <f t="shared" si="566"/>
        <v>0.48802145480036496</v>
      </c>
      <c r="AN325" s="136">
        <f t="shared" si="566"/>
        <v>0.32479105965527277</v>
      </c>
      <c r="AO325" s="136">
        <f t="shared" si="566"/>
        <v>0.24819162704316566</v>
      </c>
      <c r="AP325" s="136">
        <f t="shared" si="566"/>
        <v>0.32596300986109228</v>
      </c>
      <c r="AQ325" s="136">
        <f t="shared" si="566"/>
        <v>0.30339890275904674</v>
      </c>
      <c r="AR325" s="136">
        <f t="shared" si="566"/>
        <v>0.24406289876272705</v>
      </c>
      <c r="AS325" s="136">
        <f t="shared" si="566"/>
        <v>0.19950892409980697</v>
      </c>
      <c r="AT325" s="136">
        <f t="shared" si="566"/>
        <v>0.29475458583075176</v>
      </c>
      <c r="AU325" s="136">
        <f t="shared" si="566"/>
        <v>0.35296029032602566</v>
      </c>
      <c r="AV325" s="136">
        <f t="shared" si="566"/>
        <v>0.34572789577553287</v>
      </c>
      <c r="AW325" s="136">
        <f t="shared" si="566"/>
        <v>0.33508611943944216</v>
      </c>
      <c r="AX325" s="136">
        <f t="shared" si="566"/>
        <v>0.27853940242102382</v>
      </c>
      <c r="AY325" s="136">
        <f t="shared" si="566"/>
        <v>0.42952312892940925</v>
      </c>
      <c r="AZ325" s="136">
        <f t="shared" si="566"/>
        <v>0.3361706498624365</v>
      </c>
      <c r="BA325" s="136">
        <f t="shared" si="566"/>
        <v>0.21551995809666644</v>
      </c>
      <c r="BB325" s="136">
        <f t="shared" si="566"/>
        <v>0.51530429751354689</v>
      </c>
      <c r="BC325" s="136">
        <f t="shared" si="566"/>
        <v>0.4553496687873394</v>
      </c>
      <c r="BD325" s="136">
        <f t="shared" si="566"/>
        <v>0.35689280061174616</v>
      </c>
      <c r="BE325" s="136">
        <f t="shared" si="566"/>
        <v>0.41512473290063823</v>
      </c>
      <c r="BF325" s="136">
        <f t="shared" si="566"/>
        <v>0.30614454744603647</v>
      </c>
      <c r="BG325" s="136">
        <f t="shared" si="566"/>
        <v>0.32238202108653496</v>
      </c>
      <c r="BH325" s="136">
        <f t="shared" si="566"/>
        <v>0.51271578453376898</v>
      </c>
      <c r="BI325" s="136">
        <f t="shared" si="566"/>
        <v>0.64104366571377625</v>
      </c>
      <c r="BJ325" s="136">
        <f t="shared" si="566"/>
        <v>0.53187633333961049</v>
      </c>
      <c r="BK325" s="136">
        <f t="shared" si="566"/>
        <v>0.10362945993947141</v>
      </c>
      <c r="BL325" s="136">
        <f t="shared" si="566"/>
        <v>0.11988940872547876</v>
      </c>
      <c r="BM325" s="136">
        <f t="shared" si="566"/>
        <v>1.0829919483093114E-2</v>
      </c>
      <c r="BN325" s="136">
        <f t="shared" si="566"/>
        <v>0.2351186479427185</v>
      </c>
      <c r="BO325" s="136">
        <f t="shared" ref="BO325:CA325" si="567">BO81/BO$84</f>
        <v>0.31592367118845976</v>
      </c>
      <c r="BP325" s="136">
        <f t="shared" si="567"/>
        <v>0.13184538030985871</v>
      </c>
      <c r="BQ325" s="136">
        <f t="shared" si="567"/>
        <v>0.14723510587438665</v>
      </c>
      <c r="BR325" s="136">
        <f t="shared" si="567"/>
        <v>0.33399504459743079</v>
      </c>
      <c r="BS325" s="136">
        <f t="shared" si="567"/>
        <v>6.9662601181396722E-2</v>
      </c>
      <c r="BT325" s="136">
        <f t="shared" si="567"/>
        <v>0.17966111185052941</v>
      </c>
      <c r="BU325" s="136">
        <f t="shared" si="567"/>
        <v>0.28774892162178595</v>
      </c>
      <c r="BV325" s="136">
        <f t="shared" si="567"/>
        <v>0.29111066772273714</v>
      </c>
      <c r="BW325" s="136">
        <f t="shared" si="567"/>
        <v>0.22918884535010584</v>
      </c>
      <c r="BX325" s="136">
        <f t="shared" si="567"/>
        <v>-5.3315727645113506E-3</v>
      </c>
      <c r="BY325" s="136">
        <f t="shared" si="567"/>
        <v>0.42005087816630537</v>
      </c>
      <c r="BZ325" s="136">
        <f t="shared" si="567"/>
        <v>0.55454337096061823</v>
      </c>
      <c r="CA325" s="137">
        <f t="shared" si="567"/>
        <v>0.91658766744106246</v>
      </c>
      <c r="CB325" s="18"/>
      <c r="CC325" s="18"/>
      <c r="CD325" s="18"/>
      <c r="CE325" s="18"/>
      <c r="CF325" s="18"/>
      <c r="CG325" s="18"/>
      <c r="CH325" s="18"/>
      <c r="CI325" s="18"/>
      <c r="CJ325" s="18"/>
    </row>
    <row r="326" spans="1:88" ht="21" thickBot="1" x14ac:dyDescent="0.3">
      <c r="A326" s="11" t="s">
        <v>94</v>
      </c>
      <c r="B326" s="37" t="s">
        <v>108</v>
      </c>
      <c r="C326" s="138">
        <f t="shared" ref="C326:AH326" si="568">C82/C$84</f>
        <v>7.2905166301321545E-2</v>
      </c>
      <c r="D326" s="139">
        <f t="shared" si="568"/>
        <v>0.29258872042800826</v>
      </c>
      <c r="E326" s="139">
        <f t="shared" si="568"/>
        <v>0.16780065211005224</v>
      </c>
      <c r="F326" s="139">
        <f t="shared" si="568"/>
        <v>0.43975830817578998</v>
      </c>
      <c r="G326" s="139">
        <f t="shared" si="568"/>
        <v>0.2660173786404611</v>
      </c>
      <c r="H326" s="139">
        <f t="shared" si="568"/>
        <v>0.10013314197446679</v>
      </c>
      <c r="I326" s="139">
        <f t="shared" si="568"/>
        <v>9.8481421266636324E-2</v>
      </c>
      <c r="J326" s="139">
        <f t="shared" si="568"/>
        <v>8.0504905815338854E-2</v>
      </c>
      <c r="K326" s="139">
        <f t="shared" si="568"/>
        <v>0.1545574337603032</v>
      </c>
      <c r="L326" s="139">
        <f t="shared" si="568"/>
        <v>0.27708331583000251</v>
      </c>
      <c r="M326" s="139">
        <f t="shared" si="568"/>
        <v>0.16268328039547697</v>
      </c>
      <c r="N326" s="139">
        <f t="shared" si="568"/>
        <v>0.12331638502723738</v>
      </c>
      <c r="O326" s="139">
        <f t="shared" si="568"/>
        <v>9.6537709802558977E-2</v>
      </c>
      <c r="P326" s="139">
        <f t="shared" si="568"/>
        <v>0.19567015008947619</v>
      </c>
      <c r="Q326" s="139">
        <f t="shared" si="568"/>
        <v>2.3472597256963788E-2</v>
      </c>
      <c r="R326" s="139">
        <f t="shared" si="568"/>
        <v>9.1547075095807007E-2</v>
      </c>
      <c r="S326" s="139">
        <f t="shared" si="568"/>
        <v>0.14003693607317624</v>
      </c>
      <c r="T326" s="139">
        <f t="shared" si="568"/>
        <v>0.13140222445510261</v>
      </c>
      <c r="U326" s="139">
        <f t="shared" si="568"/>
        <v>0.14171841257187442</v>
      </c>
      <c r="V326" s="139">
        <f t="shared" si="568"/>
        <v>9.3071125216149839E-2</v>
      </c>
      <c r="W326" s="139">
        <f t="shared" si="568"/>
        <v>0.17052198326195245</v>
      </c>
      <c r="X326" s="139">
        <f t="shared" si="568"/>
        <v>8.3527886120345604E-2</v>
      </c>
      <c r="Y326" s="139">
        <f t="shared" si="568"/>
        <v>0.11496906045067562</v>
      </c>
      <c r="Z326" s="139">
        <f t="shared" si="568"/>
        <v>0.18998950891348829</v>
      </c>
      <c r="AA326" s="139">
        <f t="shared" si="568"/>
        <v>8.6908989280292281E-2</v>
      </c>
      <c r="AB326" s="139">
        <f t="shared" si="568"/>
        <v>0.14557423084181037</v>
      </c>
      <c r="AC326" s="139">
        <f t="shared" si="568"/>
        <v>0.17135243062121133</v>
      </c>
      <c r="AD326" s="139">
        <f t="shared" si="568"/>
        <v>0.15905666067928195</v>
      </c>
      <c r="AE326" s="139">
        <f t="shared" si="568"/>
        <v>0.1848555635984368</v>
      </c>
      <c r="AF326" s="139">
        <f t="shared" si="568"/>
        <v>0.10922062726788524</v>
      </c>
      <c r="AG326" s="139">
        <f t="shared" si="568"/>
        <v>0.2593001415580195</v>
      </c>
      <c r="AH326" s="139">
        <f t="shared" si="568"/>
        <v>0.19472609453705181</v>
      </c>
      <c r="AI326" s="139">
        <f t="shared" ref="AI326:BN326" si="569">AI82/AI$84</f>
        <v>0.27562355888804352</v>
      </c>
      <c r="AJ326" s="139">
        <f t="shared" si="569"/>
        <v>0.12711078594701306</v>
      </c>
      <c r="AK326" s="139">
        <f t="shared" si="569"/>
        <v>9.045443010538029E-2</v>
      </c>
      <c r="AL326" s="139">
        <f t="shared" si="569"/>
        <v>0.18480787915144095</v>
      </c>
      <c r="AM326" s="139">
        <f t="shared" si="569"/>
        <v>0.20596300521276453</v>
      </c>
      <c r="AN326" s="139">
        <f t="shared" si="569"/>
        <v>0.14616666580702728</v>
      </c>
      <c r="AO326" s="139">
        <f t="shared" si="569"/>
        <v>9.7333970433885669E-2</v>
      </c>
      <c r="AP326" s="139">
        <f t="shared" si="569"/>
        <v>0.17017511836112365</v>
      </c>
      <c r="AQ326" s="139">
        <f t="shared" si="569"/>
        <v>0.21722553423144253</v>
      </c>
      <c r="AR326" s="139">
        <f t="shared" si="569"/>
        <v>0.19422128555217405</v>
      </c>
      <c r="AS326" s="139">
        <f t="shared" si="569"/>
        <v>0.2466490392926465</v>
      </c>
      <c r="AT326" s="139">
        <f t="shared" si="569"/>
        <v>8.3097153101094376E-2</v>
      </c>
      <c r="AU326" s="139">
        <f t="shared" si="569"/>
        <v>0.15110057220816325</v>
      </c>
      <c r="AV326" s="139">
        <f t="shared" si="569"/>
        <v>9.8217354968020198E-2</v>
      </c>
      <c r="AW326" s="139">
        <f t="shared" si="569"/>
        <v>0.2580408866601786</v>
      </c>
      <c r="AX326" s="139">
        <f t="shared" si="569"/>
        <v>0.2090675439990351</v>
      </c>
      <c r="AY326" s="139">
        <f t="shared" si="569"/>
        <v>0.25095540344674161</v>
      </c>
      <c r="AZ326" s="139">
        <f t="shared" si="569"/>
        <v>0.11212272794938624</v>
      </c>
      <c r="BA326" s="139">
        <f t="shared" si="569"/>
        <v>0.22697980064427467</v>
      </c>
      <c r="BB326" s="139">
        <f t="shared" si="569"/>
        <v>6.5943901570108238E-2</v>
      </c>
      <c r="BC326" s="139">
        <f t="shared" si="569"/>
        <v>0.21733549448441539</v>
      </c>
      <c r="BD326" s="139">
        <f t="shared" si="569"/>
        <v>0.20954991767371867</v>
      </c>
      <c r="BE326" s="139">
        <f t="shared" si="569"/>
        <v>0.1679431010080415</v>
      </c>
      <c r="BF326" s="139">
        <f t="shared" si="569"/>
        <v>0.39782003171374553</v>
      </c>
      <c r="BG326" s="139">
        <f t="shared" si="569"/>
        <v>0.11646796572313262</v>
      </c>
      <c r="BH326" s="139">
        <f t="shared" si="569"/>
        <v>0.11439365794755768</v>
      </c>
      <c r="BI326" s="139">
        <f t="shared" si="569"/>
        <v>7.8046141856373097E-2</v>
      </c>
      <c r="BJ326" s="139">
        <f t="shared" si="569"/>
        <v>0.12327193806040616</v>
      </c>
      <c r="BK326" s="139">
        <f t="shared" si="569"/>
        <v>0.64960497790053529</v>
      </c>
      <c r="BL326" s="139">
        <f t="shared" si="569"/>
        <v>5.835702837789384E-2</v>
      </c>
      <c r="BM326" s="139">
        <f t="shared" si="569"/>
        <v>0.59582948234373312</v>
      </c>
      <c r="BN326" s="139">
        <f t="shared" si="569"/>
        <v>0.24722654499600921</v>
      </c>
      <c r="BO326" s="139">
        <f t="shared" ref="BO326:CA326" si="570">BO82/BO$84</f>
        <v>0.26810013451143599</v>
      </c>
      <c r="BP326" s="139">
        <f t="shared" si="570"/>
        <v>0.66623694282063695</v>
      </c>
      <c r="BQ326" s="139">
        <f t="shared" si="570"/>
        <v>0.64955166343360615</v>
      </c>
      <c r="BR326" s="139">
        <f t="shared" si="570"/>
        <v>0.27355822482826725</v>
      </c>
      <c r="BS326" s="139">
        <f t="shared" si="570"/>
        <v>0.62146057177777436</v>
      </c>
      <c r="BT326" s="139">
        <f t="shared" si="570"/>
        <v>0.38737191872926124</v>
      </c>
      <c r="BU326" s="139">
        <f t="shared" si="570"/>
        <v>0.25729088458399835</v>
      </c>
      <c r="BV326" s="139">
        <f t="shared" si="570"/>
        <v>0.25775879269376578</v>
      </c>
      <c r="BW326" s="139">
        <f t="shared" si="570"/>
        <v>0.23835204604551083</v>
      </c>
      <c r="BX326" s="139">
        <f t="shared" si="570"/>
        <v>0.33603311946460906</v>
      </c>
      <c r="BY326" s="139">
        <f t="shared" si="570"/>
        <v>0.31648741503276379</v>
      </c>
      <c r="BZ326" s="139">
        <f t="shared" si="570"/>
        <v>0.13607614143096466</v>
      </c>
      <c r="CA326" s="140">
        <f t="shared" si="570"/>
        <v>8.3412332558937485E-2</v>
      </c>
      <c r="CB326" s="18"/>
      <c r="CC326" s="18"/>
      <c r="CD326" s="122"/>
      <c r="CE326" s="122"/>
      <c r="CF326" s="122"/>
      <c r="CG326" s="122"/>
      <c r="CH326" s="18"/>
      <c r="CI326" s="18"/>
      <c r="CJ326" s="18"/>
    </row>
    <row r="327" spans="1:88" x14ac:dyDescent="0.25"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8"/>
      <c r="BC327" s="18"/>
      <c r="BD327" s="18"/>
      <c r="BE327" s="18"/>
      <c r="BF327" s="18"/>
      <c r="BG327" s="18"/>
      <c r="BH327" s="18"/>
      <c r="BI327" s="18"/>
      <c r="BJ327" s="18"/>
      <c r="BK327" s="18"/>
      <c r="BL327" s="18"/>
      <c r="BM327" s="18"/>
      <c r="BN327" s="18"/>
      <c r="BO327" s="18"/>
      <c r="BP327" s="18"/>
      <c r="BQ327" s="18"/>
      <c r="BR327" s="18"/>
      <c r="BS327" s="18"/>
      <c r="BT327" s="18"/>
      <c r="BU327" s="18"/>
      <c r="BV327" s="18"/>
      <c r="BW327" s="18"/>
      <c r="BX327" s="18"/>
      <c r="BY327" s="18"/>
      <c r="BZ327" s="18"/>
      <c r="CA327" s="18"/>
      <c r="CB327" s="18"/>
      <c r="CC327" s="18"/>
      <c r="CD327" s="18"/>
      <c r="CE327" s="18"/>
      <c r="CF327" s="18"/>
      <c r="CG327" s="18"/>
      <c r="CH327" s="18"/>
      <c r="CI327" s="18"/>
      <c r="CJ327" s="18"/>
    </row>
    <row r="328" spans="1:88" ht="24.6" x14ac:dyDescent="0.45">
      <c r="B328" s="20" t="s">
        <v>109</v>
      </c>
      <c r="C328" s="141">
        <f>SUM(C169:C245,C247:C323,C325:C326)</f>
        <v>1.0000000000000002</v>
      </c>
      <c r="D328" s="141">
        <f t="shared" ref="D328:BO328" si="571">SUM(D169:D245,D247:D323,D325:D326)</f>
        <v>0.99999999999999978</v>
      </c>
      <c r="E328" s="141">
        <f t="shared" si="571"/>
        <v>0.99999999999999989</v>
      </c>
      <c r="F328" s="141">
        <f t="shared" si="571"/>
        <v>0.99999999999999989</v>
      </c>
      <c r="G328" s="141">
        <f t="shared" si="571"/>
        <v>1.0000000000000002</v>
      </c>
      <c r="H328" s="141">
        <f t="shared" si="571"/>
        <v>1.0000000000000002</v>
      </c>
      <c r="I328" s="141">
        <f t="shared" si="571"/>
        <v>1.0000000000000002</v>
      </c>
      <c r="J328" s="141">
        <f t="shared" si="571"/>
        <v>1</v>
      </c>
      <c r="K328" s="141">
        <f t="shared" si="571"/>
        <v>1.0000000000000002</v>
      </c>
      <c r="L328" s="141">
        <f t="shared" si="571"/>
        <v>1.0000000000000002</v>
      </c>
      <c r="M328" s="141">
        <f t="shared" si="571"/>
        <v>1</v>
      </c>
      <c r="N328" s="141">
        <f t="shared" si="571"/>
        <v>0.99999999999999956</v>
      </c>
      <c r="O328" s="141">
        <f t="shared" si="571"/>
        <v>1.0000000000000004</v>
      </c>
      <c r="P328" s="141">
        <f t="shared" si="571"/>
        <v>1</v>
      </c>
      <c r="Q328" s="141">
        <f t="shared" si="571"/>
        <v>1</v>
      </c>
      <c r="R328" s="141">
        <f t="shared" si="571"/>
        <v>1</v>
      </c>
      <c r="S328" s="141">
        <f t="shared" si="571"/>
        <v>0.99999999999999989</v>
      </c>
      <c r="T328" s="141">
        <f t="shared" si="571"/>
        <v>0.99999999999999989</v>
      </c>
      <c r="U328" s="141">
        <f t="shared" si="571"/>
        <v>0.99999999999999978</v>
      </c>
      <c r="V328" s="141">
        <f t="shared" si="571"/>
        <v>0.99999999999999978</v>
      </c>
      <c r="W328" s="141">
        <f t="shared" si="571"/>
        <v>1</v>
      </c>
      <c r="X328" s="141">
        <f t="shared" si="571"/>
        <v>0.99999999999999978</v>
      </c>
      <c r="Y328" s="141">
        <f t="shared" si="571"/>
        <v>0.99999999999999933</v>
      </c>
      <c r="Z328" s="141">
        <f t="shared" si="571"/>
        <v>0.99999999999999978</v>
      </c>
      <c r="AA328" s="141">
        <f t="shared" si="571"/>
        <v>1</v>
      </c>
      <c r="AB328" s="141">
        <f t="shared" si="571"/>
        <v>0.99999999999999933</v>
      </c>
      <c r="AC328" s="141">
        <f t="shared" si="571"/>
        <v>0.99999999999999989</v>
      </c>
      <c r="AD328" s="141">
        <f t="shared" si="571"/>
        <v>0.99999999999999978</v>
      </c>
      <c r="AE328" s="141">
        <f t="shared" si="571"/>
        <v>1.0000000000000002</v>
      </c>
      <c r="AF328" s="141">
        <f t="shared" si="571"/>
        <v>1.0000000000000002</v>
      </c>
      <c r="AG328" s="141">
        <f t="shared" si="571"/>
        <v>1</v>
      </c>
      <c r="AH328" s="141">
        <f t="shared" si="571"/>
        <v>1.0000000000000002</v>
      </c>
      <c r="AI328" s="141">
        <f t="shared" si="571"/>
        <v>1.0000000000000002</v>
      </c>
      <c r="AJ328" s="141">
        <f t="shared" si="571"/>
        <v>1.0000000000000002</v>
      </c>
      <c r="AK328" s="141">
        <f t="shared" si="571"/>
        <v>0.99999999999999978</v>
      </c>
      <c r="AL328" s="141">
        <f t="shared" si="571"/>
        <v>0.99999999999999978</v>
      </c>
      <c r="AM328" s="141">
        <f t="shared" si="571"/>
        <v>1</v>
      </c>
      <c r="AN328" s="141">
        <f t="shared" si="571"/>
        <v>0.99999999999999989</v>
      </c>
      <c r="AO328" s="141">
        <f t="shared" si="571"/>
        <v>1</v>
      </c>
      <c r="AP328" s="141">
        <f t="shared" si="571"/>
        <v>1.0000000000000002</v>
      </c>
      <c r="AQ328" s="141">
        <f t="shared" si="571"/>
        <v>1</v>
      </c>
      <c r="AR328" s="141">
        <f t="shared" si="571"/>
        <v>1.0000000000000002</v>
      </c>
      <c r="AS328" s="141">
        <f t="shared" si="571"/>
        <v>0.99999999999999989</v>
      </c>
      <c r="AT328" s="141">
        <f t="shared" si="571"/>
        <v>0.99999999999999956</v>
      </c>
      <c r="AU328" s="141">
        <f t="shared" si="571"/>
        <v>0.99999999999999978</v>
      </c>
      <c r="AV328" s="141">
        <f t="shared" si="571"/>
        <v>0.99999999999999989</v>
      </c>
      <c r="AW328" s="141">
        <f t="shared" si="571"/>
        <v>1.0000000000000002</v>
      </c>
      <c r="AX328" s="141">
        <f t="shared" si="571"/>
        <v>0.99999999999999978</v>
      </c>
      <c r="AY328" s="141">
        <f t="shared" si="571"/>
        <v>1</v>
      </c>
      <c r="AZ328" s="141">
        <f t="shared" si="571"/>
        <v>1.0000000000000002</v>
      </c>
      <c r="BA328" s="141">
        <f t="shared" si="571"/>
        <v>1.0000000000000004</v>
      </c>
      <c r="BB328" s="141">
        <f t="shared" si="571"/>
        <v>1.0000000000000002</v>
      </c>
      <c r="BC328" s="141">
        <f t="shared" si="571"/>
        <v>1.0000000000000002</v>
      </c>
      <c r="BD328" s="141">
        <f t="shared" si="571"/>
        <v>1</v>
      </c>
      <c r="BE328" s="141">
        <f t="shared" si="571"/>
        <v>1</v>
      </c>
      <c r="BF328" s="141">
        <f t="shared" si="571"/>
        <v>1</v>
      </c>
      <c r="BG328" s="141">
        <f t="shared" si="571"/>
        <v>1</v>
      </c>
      <c r="BH328" s="141">
        <f t="shared" si="571"/>
        <v>1.0000000000000002</v>
      </c>
      <c r="BI328" s="141">
        <f t="shared" si="571"/>
        <v>1</v>
      </c>
      <c r="BJ328" s="141">
        <f t="shared" si="571"/>
        <v>0.99999999999999978</v>
      </c>
      <c r="BK328" s="141">
        <f t="shared" si="571"/>
        <v>1</v>
      </c>
      <c r="BL328" s="141">
        <f t="shared" si="571"/>
        <v>1.0000000000000002</v>
      </c>
      <c r="BM328" s="141">
        <f t="shared" si="571"/>
        <v>0.99999999999999989</v>
      </c>
      <c r="BN328" s="141">
        <f t="shared" si="571"/>
        <v>1</v>
      </c>
      <c r="BO328" s="141">
        <f t="shared" si="571"/>
        <v>1</v>
      </c>
      <c r="BP328" s="141">
        <f t="shared" ref="BP328:CA328" si="572">SUM(BP169:BP245,BP247:BP323,BP325:BP326)</f>
        <v>1</v>
      </c>
      <c r="BQ328" s="141">
        <f t="shared" si="572"/>
        <v>0.99999999999999989</v>
      </c>
      <c r="BR328" s="141">
        <f t="shared" si="572"/>
        <v>1</v>
      </c>
      <c r="BS328" s="141">
        <f t="shared" si="572"/>
        <v>1</v>
      </c>
      <c r="BT328" s="141">
        <f t="shared" si="572"/>
        <v>1.0000000000000002</v>
      </c>
      <c r="BU328" s="141">
        <f t="shared" si="572"/>
        <v>0.99999999999999978</v>
      </c>
      <c r="BV328" s="141">
        <f t="shared" si="572"/>
        <v>1</v>
      </c>
      <c r="BW328" s="141">
        <f t="shared" si="572"/>
        <v>1</v>
      </c>
      <c r="BX328" s="141">
        <f t="shared" si="572"/>
        <v>1.0000000000000002</v>
      </c>
      <c r="BY328" s="141">
        <f t="shared" si="572"/>
        <v>1</v>
      </c>
      <c r="BZ328" s="141">
        <f t="shared" si="572"/>
        <v>1</v>
      </c>
      <c r="CA328" s="141">
        <f t="shared" si="572"/>
        <v>1</v>
      </c>
      <c r="CB328" s="18"/>
      <c r="CC328" s="142" t="s">
        <v>110</v>
      </c>
      <c r="CD328" s="141">
        <f>SUM(CD169:CD245,CD247:CD323)</f>
        <v>1.0000000000000002</v>
      </c>
      <c r="CE328" s="141">
        <f t="shared" ref="CE328:CG328" si="573">SUM(CE169:CE245,CE247:CE323)</f>
        <v>0.99999999999999989</v>
      </c>
      <c r="CF328" s="141">
        <f t="shared" si="573"/>
        <v>1</v>
      </c>
      <c r="CG328" s="141">
        <f t="shared" si="573"/>
        <v>0.99999999999999978</v>
      </c>
      <c r="CH328" s="18"/>
      <c r="CI328" s="18"/>
      <c r="CJ328" s="18"/>
    </row>
    <row r="329" spans="1:88" ht="18" x14ac:dyDescent="0.25">
      <c r="CB329" s="21"/>
      <c r="CC329" s="21"/>
    </row>
    <row r="330" spans="1:88" ht="18" x14ac:dyDescent="0.25">
      <c r="CB330" s="21"/>
      <c r="CC330" s="21"/>
    </row>
    <row r="331" spans="1:88" ht="18" x14ac:dyDescent="0.25">
      <c r="CB331" s="21"/>
      <c r="CC331" s="21"/>
    </row>
    <row r="332" spans="1:88" ht="18" x14ac:dyDescent="0.25">
      <c r="CB332" s="21"/>
      <c r="CC332" s="21"/>
    </row>
    <row r="333" spans="1:88" ht="18" x14ac:dyDescent="0.25">
      <c r="CB333" s="21"/>
      <c r="CC333" s="21"/>
    </row>
    <row r="334" spans="1:88" ht="18" x14ac:dyDescent="0.25">
      <c r="CB334" s="21"/>
      <c r="CC334" s="21"/>
    </row>
    <row r="335" spans="1:88" ht="18" x14ac:dyDescent="0.25">
      <c r="CB335" s="21"/>
      <c r="CC335" s="21"/>
    </row>
    <row r="336" spans="1:88" ht="18" x14ac:dyDescent="0.25">
      <c r="CB336" s="21"/>
      <c r="CC336" s="21"/>
    </row>
    <row r="337" spans="80:81" ht="18" x14ac:dyDescent="0.25">
      <c r="CB337" s="21"/>
      <c r="CC337" s="21"/>
    </row>
    <row r="338" spans="80:81" ht="18" x14ac:dyDescent="0.25">
      <c r="CB338" s="21"/>
      <c r="CC338" s="21"/>
    </row>
    <row r="339" spans="80:81" ht="18" x14ac:dyDescent="0.25">
      <c r="CB339" s="21"/>
      <c r="CC339" s="21"/>
    </row>
    <row r="340" spans="80:81" ht="18" x14ac:dyDescent="0.25">
      <c r="CB340" s="21"/>
      <c r="CC340" s="21"/>
    </row>
    <row r="341" spans="80:81" ht="18" x14ac:dyDescent="0.25">
      <c r="CB341" s="21"/>
      <c r="CC341" s="21"/>
    </row>
    <row r="342" spans="80:81" ht="18" x14ac:dyDescent="0.25">
      <c r="CB342" s="21"/>
      <c r="CC342" s="21"/>
    </row>
    <row r="343" spans="80:81" ht="18" x14ac:dyDescent="0.25">
      <c r="CB343" s="21"/>
      <c r="CC343" s="21"/>
    </row>
    <row r="344" spans="80:81" ht="18" x14ac:dyDescent="0.25">
      <c r="CB344" s="21"/>
      <c r="CC344" s="21"/>
    </row>
    <row r="345" spans="80:81" ht="18" x14ac:dyDescent="0.25">
      <c r="CB345" s="21"/>
      <c r="CC345" s="21"/>
    </row>
    <row r="346" spans="80:81" ht="18" x14ac:dyDescent="0.25">
      <c r="CB346" s="21"/>
      <c r="CC346" s="21"/>
    </row>
    <row r="347" spans="80:81" ht="18" x14ac:dyDescent="0.25">
      <c r="CB347" s="21"/>
      <c r="CC347" s="21"/>
    </row>
    <row r="348" spans="80:81" ht="18" x14ac:dyDescent="0.25">
      <c r="CB348" s="21"/>
      <c r="CC348" s="21"/>
    </row>
    <row r="349" spans="80:81" ht="18" x14ac:dyDescent="0.25">
      <c r="CB349" s="21"/>
      <c r="CC349" s="21"/>
    </row>
    <row r="350" spans="80:81" ht="18" x14ac:dyDescent="0.25">
      <c r="CB350" s="21"/>
      <c r="CC350" s="21"/>
    </row>
    <row r="351" spans="80:81" ht="18" x14ac:dyDescent="0.25">
      <c r="CB351" s="21"/>
      <c r="CC351" s="21"/>
    </row>
    <row r="352" spans="80:81" ht="18" x14ac:dyDescent="0.25">
      <c r="CB352" s="21"/>
      <c r="CC352" s="21"/>
    </row>
    <row r="353" spans="80:81" ht="18" x14ac:dyDescent="0.25">
      <c r="CB353" s="21"/>
      <c r="CC353" s="21"/>
    </row>
    <row r="354" spans="80:81" ht="18" x14ac:dyDescent="0.25">
      <c r="CB354" s="21"/>
      <c r="CC354" s="21"/>
    </row>
    <row r="355" spans="80:81" ht="18" x14ac:dyDescent="0.25">
      <c r="CB355" s="21"/>
      <c r="CC355" s="21"/>
    </row>
    <row r="356" spans="80:81" ht="18" x14ac:dyDescent="0.25">
      <c r="CB356" s="21"/>
      <c r="CC356" s="21"/>
    </row>
    <row r="357" spans="80:81" ht="18" x14ac:dyDescent="0.25">
      <c r="CB357" s="21"/>
      <c r="CC357" s="21"/>
    </row>
    <row r="358" spans="80:81" ht="18" x14ac:dyDescent="0.25">
      <c r="CB358" s="21"/>
      <c r="CC358" s="21"/>
    </row>
    <row r="359" spans="80:81" ht="18" x14ac:dyDescent="0.25">
      <c r="CB359" s="21"/>
      <c r="CC359" s="21"/>
    </row>
    <row r="360" spans="80:81" ht="18" x14ac:dyDescent="0.25">
      <c r="CB360" s="21"/>
      <c r="CC360" s="21"/>
    </row>
    <row r="361" spans="80:81" ht="18" x14ac:dyDescent="0.25">
      <c r="CB361" s="21"/>
      <c r="CC361" s="21"/>
    </row>
    <row r="362" spans="80:81" ht="18" x14ac:dyDescent="0.25">
      <c r="CB362" s="21"/>
      <c r="CC362" s="21"/>
    </row>
    <row r="363" spans="80:81" ht="18" x14ac:dyDescent="0.25">
      <c r="CB363" s="21"/>
      <c r="CC363" s="21"/>
    </row>
    <row r="364" spans="80:81" ht="18" x14ac:dyDescent="0.25">
      <c r="CB364" s="21"/>
      <c r="CC364" s="21"/>
    </row>
    <row r="365" spans="80:81" ht="18" x14ac:dyDescent="0.25">
      <c r="CB365" s="21"/>
      <c r="CC365" s="21"/>
    </row>
    <row r="366" spans="80:81" ht="18" x14ac:dyDescent="0.25">
      <c r="CB366" s="21"/>
      <c r="CC366" s="21"/>
    </row>
    <row r="367" spans="80:81" ht="18" x14ac:dyDescent="0.25">
      <c r="CB367" s="21"/>
      <c r="CC367" s="21"/>
    </row>
    <row r="368" spans="80:81" ht="18" x14ac:dyDescent="0.25">
      <c r="CB368" s="21"/>
      <c r="CC368" s="21"/>
    </row>
    <row r="369" spans="80:81" ht="18" x14ac:dyDescent="0.25">
      <c r="CB369" s="21"/>
      <c r="CC369" s="21"/>
    </row>
    <row r="370" spans="80:81" ht="18" x14ac:dyDescent="0.25">
      <c r="CB370" s="21"/>
      <c r="CC370" s="21"/>
    </row>
    <row r="371" spans="80:81" ht="18" x14ac:dyDescent="0.25">
      <c r="CB371" s="21"/>
      <c r="CC371" s="21"/>
    </row>
    <row r="372" spans="80:81" ht="18" x14ac:dyDescent="0.25">
      <c r="CB372" s="21"/>
      <c r="CC372" s="21"/>
    </row>
    <row r="373" spans="80:81" ht="18" x14ac:dyDescent="0.25">
      <c r="CB373" s="21"/>
      <c r="CC373" s="21"/>
    </row>
    <row r="374" spans="80:81" ht="18" x14ac:dyDescent="0.25">
      <c r="CB374" s="21"/>
      <c r="CC374" s="21"/>
    </row>
    <row r="375" spans="80:81" ht="18" x14ac:dyDescent="0.25">
      <c r="CB375" s="21"/>
      <c r="CC375" s="21"/>
    </row>
    <row r="376" spans="80:81" ht="18" x14ac:dyDescent="0.25">
      <c r="CB376" s="21"/>
      <c r="CC376" s="21"/>
    </row>
    <row r="377" spans="80:81" ht="18" x14ac:dyDescent="0.25">
      <c r="CB377" s="21"/>
      <c r="CC377" s="21"/>
    </row>
    <row r="378" spans="80:81" ht="18" x14ac:dyDescent="0.25">
      <c r="CB378" s="21"/>
      <c r="CC378" s="21"/>
    </row>
    <row r="379" spans="80:81" ht="18" x14ac:dyDescent="0.25">
      <c r="CB379" s="21"/>
      <c r="CC379" s="21"/>
    </row>
    <row r="380" spans="80:81" ht="18" x14ac:dyDescent="0.25">
      <c r="CB380" s="21"/>
      <c r="CC380" s="21"/>
    </row>
    <row r="381" spans="80:81" ht="18" x14ac:dyDescent="0.25">
      <c r="CB381" s="21"/>
      <c r="CC381" s="21"/>
    </row>
    <row r="382" spans="80:81" ht="18" x14ac:dyDescent="0.25">
      <c r="CB382" s="21"/>
      <c r="CC382" s="21"/>
    </row>
    <row r="383" spans="80:81" ht="18" x14ac:dyDescent="0.25">
      <c r="CB383" s="21"/>
      <c r="CC383" s="21"/>
    </row>
    <row r="384" spans="80:81" ht="18" x14ac:dyDescent="0.25">
      <c r="CB384" s="21"/>
      <c r="CC384" s="21"/>
    </row>
    <row r="385" spans="80:81" ht="18" x14ac:dyDescent="0.25">
      <c r="CB385" s="21"/>
      <c r="CC385" s="21"/>
    </row>
    <row r="386" spans="80:81" ht="18" x14ac:dyDescent="0.25">
      <c r="CB386" s="21"/>
      <c r="CC386" s="21"/>
    </row>
    <row r="387" spans="80:81" ht="18" x14ac:dyDescent="0.25">
      <c r="CB387" s="21"/>
      <c r="CC387" s="21"/>
    </row>
    <row r="388" spans="80:81" ht="18" x14ac:dyDescent="0.25">
      <c r="CB388" s="21"/>
      <c r="CC388" s="21"/>
    </row>
    <row r="389" spans="80:81" ht="18" x14ac:dyDescent="0.25">
      <c r="CB389" s="21"/>
      <c r="CC389" s="21"/>
    </row>
    <row r="390" spans="80:81" ht="18" x14ac:dyDescent="0.25">
      <c r="CB390" s="21"/>
      <c r="CC390" s="21"/>
    </row>
    <row r="391" spans="80:81" ht="18" x14ac:dyDescent="0.25">
      <c r="CB391" s="21"/>
      <c r="CC391" s="21"/>
    </row>
    <row r="392" spans="80:81" ht="18" x14ac:dyDescent="0.25">
      <c r="CB392" s="21"/>
      <c r="CC392" s="21"/>
    </row>
    <row r="393" spans="80:81" ht="18" x14ac:dyDescent="0.25">
      <c r="CB393" s="21"/>
      <c r="CC393" s="21"/>
    </row>
    <row r="394" spans="80:81" ht="18" x14ac:dyDescent="0.25">
      <c r="CB394" s="21"/>
      <c r="CC394" s="21"/>
    </row>
    <row r="395" spans="80:81" ht="18" x14ac:dyDescent="0.25">
      <c r="CB395" s="21"/>
      <c r="CC395" s="21"/>
    </row>
    <row r="396" spans="80:81" ht="18" x14ac:dyDescent="0.25">
      <c r="CB396" s="21"/>
      <c r="CC396" s="21"/>
    </row>
    <row r="397" spans="80:81" ht="18" x14ac:dyDescent="0.25">
      <c r="CB397" s="21"/>
      <c r="CC397" s="21"/>
    </row>
    <row r="398" spans="80:81" ht="18" x14ac:dyDescent="0.25">
      <c r="CB398" s="21"/>
      <c r="CC398" s="21"/>
    </row>
    <row r="399" spans="80:81" ht="18" x14ac:dyDescent="0.25">
      <c r="CB399" s="21"/>
      <c r="CC399" s="21"/>
    </row>
    <row r="400" spans="80:81" ht="18" x14ac:dyDescent="0.25">
      <c r="CB400" s="21"/>
      <c r="CC400" s="21"/>
    </row>
    <row r="401" spans="80:81" ht="18" x14ac:dyDescent="0.25">
      <c r="CB401" s="21"/>
      <c r="CC401" s="21"/>
    </row>
    <row r="402" spans="80:81" ht="18" x14ac:dyDescent="0.25">
      <c r="CB402" s="21"/>
      <c r="CC402" s="21"/>
    </row>
    <row r="403" spans="80:81" ht="18" x14ac:dyDescent="0.25">
      <c r="CB403" s="21"/>
      <c r="CC403" s="21"/>
    </row>
  </sheetData>
  <mergeCells count="8">
    <mergeCell ref="CC247:CC323"/>
    <mergeCell ref="B247:B323"/>
    <mergeCell ref="B169:B245"/>
    <mergeCell ref="CC2:CC78"/>
    <mergeCell ref="B2:B78"/>
    <mergeCell ref="CC88:CC164"/>
    <mergeCell ref="B88:B164"/>
    <mergeCell ref="CC169:CC24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62FC-11CC-44EE-93CC-6772F4391BB5}">
  <sheetPr codeName="Arkusz4"/>
  <dimension ref="A1:CE95"/>
  <sheetViews>
    <sheetView zoomScale="70" zoomScaleNormal="70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9.109375" defaultRowHeight="13.8" x14ac:dyDescent="0.25"/>
  <cols>
    <col min="1" max="1" width="9.109375" style="162"/>
    <col min="2" max="2" width="42.88671875" style="162" customWidth="1"/>
    <col min="3" max="3" width="26.33203125" style="162" customWidth="1"/>
    <col min="4" max="4" width="23.33203125" style="162" bestFit="1" customWidth="1"/>
    <col min="5" max="5" width="22.5546875" style="162" bestFit="1" customWidth="1"/>
    <col min="6" max="6" width="23.88671875" style="162" bestFit="1" customWidth="1"/>
    <col min="7" max="7" width="24.6640625" style="162" customWidth="1"/>
    <col min="8" max="8" width="17.6640625" style="162" bestFit="1" customWidth="1"/>
    <col min="9" max="9" width="10.5546875" style="162" bestFit="1" customWidth="1"/>
    <col min="10" max="10" width="16.33203125" style="162" bestFit="1" customWidth="1"/>
    <col min="11" max="11" width="15.44140625" style="162" bestFit="1" customWidth="1"/>
    <col min="12" max="12" width="10.5546875" style="162" bestFit="1" customWidth="1"/>
    <col min="13" max="13" width="20.109375" style="162" bestFit="1" customWidth="1"/>
    <col min="14" max="14" width="23.44140625" style="162" bestFit="1" customWidth="1"/>
    <col min="15" max="15" width="22.109375" style="162" bestFit="1" customWidth="1"/>
    <col min="16" max="16" width="18" style="162" bestFit="1" customWidth="1"/>
    <col min="17" max="17" width="25.33203125" style="162" bestFit="1" customWidth="1"/>
    <col min="18" max="18" width="17.44140625" style="162" bestFit="1" customWidth="1"/>
    <col min="19" max="19" width="21.6640625" style="162" bestFit="1" customWidth="1"/>
    <col min="20" max="20" width="23" style="162" bestFit="1" customWidth="1"/>
    <col min="21" max="21" width="24.5546875" style="162" bestFit="1" customWidth="1"/>
    <col min="22" max="22" width="10.5546875" style="162" bestFit="1" customWidth="1"/>
    <col min="23" max="23" width="22.5546875" style="162" bestFit="1" customWidth="1"/>
    <col min="24" max="24" width="20.6640625" style="162" bestFit="1" customWidth="1"/>
    <col min="25" max="25" width="25.5546875" style="162" bestFit="1" customWidth="1"/>
    <col min="26" max="26" width="23.5546875" style="162" bestFit="1" customWidth="1"/>
    <col min="27" max="27" width="20.44140625" style="162" bestFit="1" customWidth="1"/>
    <col min="28" max="28" width="25.6640625" style="162" bestFit="1" customWidth="1"/>
    <col min="29" max="29" width="10.5546875" style="162" bestFit="1" customWidth="1"/>
    <col min="30" max="30" width="15.5546875" style="162" bestFit="1" customWidth="1"/>
    <col min="31" max="31" width="21.5546875" style="162" bestFit="1" customWidth="1"/>
    <col min="32" max="32" width="24.109375" style="162" bestFit="1" customWidth="1"/>
    <col min="33" max="33" width="22.44140625" style="162" bestFit="1" customWidth="1"/>
    <col min="34" max="34" width="20.5546875" style="162" bestFit="1" customWidth="1"/>
    <col min="35" max="35" width="24.6640625" style="162" bestFit="1" customWidth="1"/>
    <col min="36" max="37" width="23.6640625" style="162" bestFit="1" customWidth="1"/>
    <col min="38" max="38" width="14.109375" style="162" bestFit="1" customWidth="1"/>
    <col min="39" max="39" width="15.44140625" style="162" bestFit="1" customWidth="1"/>
    <col min="40" max="40" width="16.44140625" style="162" bestFit="1" customWidth="1"/>
    <col min="41" max="41" width="23.109375" style="162" bestFit="1" customWidth="1"/>
    <col min="42" max="42" width="20" style="162" bestFit="1" customWidth="1"/>
    <col min="43" max="43" width="15.6640625" style="162" bestFit="1" customWidth="1"/>
    <col min="44" max="44" width="15.5546875" style="162" bestFit="1" customWidth="1"/>
    <col min="45" max="45" width="26.33203125" style="162" customWidth="1"/>
    <col min="46" max="46" width="22.6640625" style="162" bestFit="1" customWidth="1"/>
    <col min="47" max="47" width="21.88671875" style="162" bestFit="1" customWidth="1"/>
    <col min="48" max="48" width="22" style="162" bestFit="1" customWidth="1"/>
    <col min="49" max="49" width="17.6640625" style="162" bestFit="1" customWidth="1"/>
    <col min="50" max="50" width="24.109375" style="162" bestFit="1" customWidth="1"/>
    <col min="51" max="51" width="14.88671875" style="162" bestFit="1" customWidth="1"/>
    <col min="52" max="52" width="20.44140625" style="162" bestFit="1" customWidth="1"/>
    <col min="53" max="53" width="22" style="162" bestFit="1" customWidth="1"/>
    <col min="54" max="54" width="23.109375" style="162" bestFit="1" customWidth="1"/>
    <col min="55" max="55" width="25" style="162" bestFit="1" customWidth="1"/>
    <col min="56" max="56" width="17.109375" style="162" bestFit="1" customWidth="1"/>
    <col min="57" max="57" width="23" style="162" bestFit="1" customWidth="1"/>
    <col min="58" max="58" width="25.88671875" style="162" bestFit="1" customWidth="1"/>
    <col min="59" max="59" width="24.5546875" style="162" bestFit="1" customWidth="1"/>
    <col min="60" max="60" width="21.6640625" style="162" bestFit="1" customWidth="1"/>
    <col min="61" max="61" width="18.33203125" style="162" bestFit="1" customWidth="1"/>
    <col min="62" max="62" width="18.6640625" style="162" bestFit="1" customWidth="1"/>
    <col min="63" max="63" width="15.5546875" style="162" bestFit="1" customWidth="1"/>
    <col min="64" max="64" width="26" style="162" bestFit="1" customWidth="1"/>
    <col min="65" max="65" width="21.6640625" style="162" bestFit="1" customWidth="1"/>
    <col min="66" max="66" width="22.33203125" style="162" bestFit="1" customWidth="1"/>
    <col min="67" max="67" width="22.6640625" style="162" bestFit="1" customWidth="1"/>
    <col min="68" max="68" width="25.88671875" style="162" bestFit="1" customWidth="1"/>
    <col min="69" max="69" width="22.6640625" style="162" bestFit="1" customWidth="1"/>
    <col min="70" max="70" width="20.6640625" style="162" bestFit="1" customWidth="1"/>
    <col min="71" max="71" width="22.33203125" style="162" bestFit="1" customWidth="1"/>
    <col min="72" max="72" width="15.6640625" style="162" bestFit="1" customWidth="1"/>
    <col min="73" max="73" width="23.6640625" style="162" bestFit="1" customWidth="1"/>
    <col min="74" max="74" width="21.6640625" style="162" bestFit="1" customWidth="1"/>
    <col min="75" max="75" width="24.33203125" style="162" bestFit="1" customWidth="1"/>
    <col min="76" max="76" width="24.44140625" style="162" bestFit="1" customWidth="1"/>
    <col min="77" max="77" width="25.6640625" style="162" bestFit="1" customWidth="1"/>
    <col min="78" max="78" width="25.33203125" style="162" bestFit="1" customWidth="1"/>
    <col min="79" max="79" width="21" style="162" bestFit="1" customWidth="1"/>
    <col min="80" max="80" width="12.6640625" style="162" customWidth="1"/>
    <col min="81" max="81" width="14.33203125" style="162" customWidth="1"/>
    <col min="82" max="82" width="11.33203125" style="162" customWidth="1"/>
    <col min="83" max="83" width="11.5546875" style="162" customWidth="1"/>
    <col min="84" max="16384" width="9.109375" style="162"/>
  </cols>
  <sheetData>
    <row r="1" spans="1:83" ht="43.8" thickBot="1" x14ac:dyDescent="0.3">
      <c r="C1" s="194" t="s">
        <v>111</v>
      </c>
      <c r="D1" s="194" t="s">
        <v>112</v>
      </c>
      <c r="E1" s="194" t="s">
        <v>113</v>
      </c>
      <c r="F1" s="194" t="s">
        <v>114</v>
      </c>
      <c r="G1" s="194" t="s">
        <v>115</v>
      </c>
      <c r="H1" s="194" t="s">
        <v>116</v>
      </c>
      <c r="I1" s="194" t="s">
        <v>117</v>
      </c>
      <c r="J1" s="194" t="s">
        <v>118</v>
      </c>
      <c r="K1" s="194" t="s">
        <v>119</v>
      </c>
      <c r="L1" s="194" t="s">
        <v>120</v>
      </c>
      <c r="M1" s="194" t="s">
        <v>121</v>
      </c>
      <c r="N1" s="194" t="s">
        <v>122</v>
      </c>
      <c r="O1" s="194" t="s">
        <v>123</v>
      </c>
      <c r="P1" s="194" t="s">
        <v>124</v>
      </c>
      <c r="Q1" s="194" t="s">
        <v>125</v>
      </c>
      <c r="R1" s="194" t="s">
        <v>126</v>
      </c>
      <c r="S1" s="194" t="s">
        <v>127</v>
      </c>
      <c r="T1" s="194" t="s">
        <v>128</v>
      </c>
      <c r="U1" s="194" t="s">
        <v>129</v>
      </c>
      <c r="V1" s="194" t="s">
        <v>130</v>
      </c>
      <c r="W1" s="194" t="s">
        <v>131</v>
      </c>
      <c r="X1" s="194" t="s">
        <v>132</v>
      </c>
      <c r="Y1" s="194" t="s">
        <v>133</v>
      </c>
      <c r="Z1" s="194" t="s">
        <v>134</v>
      </c>
      <c r="AA1" s="194" t="s">
        <v>135</v>
      </c>
      <c r="AB1" s="194" t="s">
        <v>136</v>
      </c>
      <c r="AC1" s="194" t="s">
        <v>137</v>
      </c>
      <c r="AD1" s="194" t="s">
        <v>138</v>
      </c>
      <c r="AE1" s="194" t="s">
        <v>139</v>
      </c>
      <c r="AF1" s="194" t="s">
        <v>140</v>
      </c>
      <c r="AG1" s="194" t="s">
        <v>141</v>
      </c>
      <c r="AH1" s="194" t="s">
        <v>142</v>
      </c>
      <c r="AI1" s="194" t="s">
        <v>143</v>
      </c>
      <c r="AJ1" s="194" t="s">
        <v>144</v>
      </c>
      <c r="AK1" s="194" t="s">
        <v>145</v>
      </c>
      <c r="AL1" s="194" t="s">
        <v>146</v>
      </c>
      <c r="AM1" s="194" t="s">
        <v>147</v>
      </c>
      <c r="AN1" s="194" t="s">
        <v>148</v>
      </c>
      <c r="AO1" s="194" t="s">
        <v>149</v>
      </c>
      <c r="AP1" s="194" t="s">
        <v>150</v>
      </c>
      <c r="AQ1" s="194" t="s">
        <v>151</v>
      </c>
      <c r="AR1" s="194" t="s">
        <v>152</v>
      </c>
      <c r="AS1" s="194" t="s">
        <v>153</v>
      </c>
      <c r="AT1" s="194" t="s">
        <v>154</v>
      </c>
      <c r="AU1" s="194" t="s">
        <v>155</v>
      </c>
      <c r="AV1" s="194" t="s">
        <v>156</v>
      </c>
      <c r="AW1" s="194" t="s">
        <v>157</v>
      </c>
      <c r="AX1" s="194" t="s">
        <v>158</v>
      </c>
      <c r="AY1" s="194" t="s">
        <v>159</v>
      </c>
      <c r="AZ1" s="194" t="s">
        <v>160</v>
      </c>
      <c r="BA1" s="194" t="s">
        <v>161</v>
      </c>
      <c r="BB1" s="194" t="s">
        <v>162</v>
      </c>
      <c r="BC1" s="194" t="s">
        <v>163</v>
      </c>
      <c r="BD1" s="194" t="s">
        <v>164</v>
      </c>
      <c r="BE1" s="194" t="s">
        <v>165</v>
      </c>
      <c r="BF1" s="194" t="s">
        <v>166</v>
      </c>
      <c r="BG1" s="194" t="s">
        <v>167</v>
      </c>
      <c r="BH1" s="194" t="s">
        <v>168</v>
      </c>
      <c r="BI1" s="194" t="s">
        <v>169</v>
      </c>
      <c r="BJ1" s="194" t="s">
        <v>170</v>
      </c>
      <c r="BK1" s="194" t="s">
        <v>171</v>
      </c>
      <c r="BL1" s="194" t="s">
        <v>172</v>
      </c>
      <c r="BM1" s="194" t="s">
        <v>173</v>
      </c>
      <c r="BN1" s="194" t="s">
        <v>174</v>
      </c>
      <c r="BO1" s="194" t="s">
        <v>175</v>
      </c>
      <c r="BP1" s="194" t="s">
        <v>176</v>
      </c>
      <c r="BQ1" s="194" t="s">
        <v>177</v>
      </c>
      <c r="BR1" s="194" t="s">
        <v>178</v>
      </c>
      <c r="BS1" s="194" t="s">
        <v>179</v>
      </c>
      <c r="BT1" s="194" t="s">
        <v>180</v>
      </c>
      <c r="BU1" s="194" t="s">
        <v>181</v>
      </c>
      <c r="BV1" s="194" t="s">
        <v>182</v>
      </c>
      <c r="BW1" s="194" t="s">
        <v>183</v>
      </c>
      <c r="BX1" s="194" t="s">
        <v>184</v>
      </c>
      <c r="BY1" s="194" t="s">
        <v>185</v>
      </c>
      <c r="BZ1" s="194" t="s">
        <v>186</v>
      </c>
      <c r="CA1" s="194" t="s">
        <v>187</v>
      </c>
      <c r="CB1" s="195" t="s">
        <v>79</v>
      </c>
      <c r="CC1" s="5" t="s">
        <v>80</v>
      </c>
      <c r="CD1" s="6" t="s">
        <v>81</v>
      </c>
      <c r="CE1" s="196" t="s">
        <v>82</v>
      </c>
    </row>
    <row r="2" spans="1:83" ht="22.2" thickBot="1" x14ac:dyDescent="0.3">
      <c r="B2" s="208" t="s">
        <v>188</v>
      </c>
      <c r="C2" s="209">
        <f>IF(Model!C1=Prezentacja!$D$11,Prezentacja!$D$12,1)</f>
        <v>10</v>
      </c>
      <c r="D2" s="210">
        <f>IF(Model!D1=Prezentacja!$D$11,Prezentacja!$D$12,1)</f>
        <v>1</v>
      </c>
      <c r="E2" s="210">
        <f>IF(Model!E1=Prezentacja!$D$11,Prezentacja!$D$12,1)</f>
        <v>1</v>
      </c>
      <c r="F2" s="210">
        <f>IF(Model!F1=Prezentacja!$D$11,Prezentacja!$D$12,1)</f>
        <v>1</v>
      </c>
      <c r="G2" s="210">
        <f>IF(Model!G1=Prezentacja!$D$11,Prezentacja!$D$12,1)</f>
        <v>1</v>
      </c>
      <c r="H2" s="210">
        <f>IF(Model!H1=Prezentacja!$D$11,Prezentacja!$D$12,1)</f>
        <v>1</v>
      </c>
      <c r="I2" s="210">
        <f>IF(Model!I1=Prezentacja!$D$11,Prezentacja!$D$12,1)</f>
        <v>1</v>
      </c>
      <c r="J2" s="210">
        <f>IF(Model!J1=Prezentacja!$D$11,Prezentacja!$D$12,1)</f>
        <v>1</v>
      </c>
      <c r="K2" s="210">
        <f>IF(Model!K1=Prezentacja!$D$11,Prezentacja!$D$12,1)</f>
        <v>1</v>
      </c>
      <c r="L2" s="210">
        <f>IF(Model!L1=Prezentacja!$D$11,Prezentacja!$D$12,1)</f>
        <v>1</v>
      </c>
      <c r="M2" s="210">
        <f>IF(Model!M1=Prezentacja!$D$11,Prezentacja!$D$12,1)</f>
        <v>1</v>
      </c>
      <c r="N2" s="210">
        <f>IF(Model!N1=Prezentacja!$D$11,Prezentacja!$D$12,1)</f>
        <v>1</v>
      </c>
      <c r="O2" s="210">
        <f>IF(Model!O1=Prezentacja!$D$11,Prezentacja!$D$12,1)</f>
        <v>1</v>
      </c>
      <c r="P2" s="210">
        <f>IF(Model!P1=Prezentacja!$D$11,Prezentacja!$D$12,1)</f>
        <v>1</v>
      </c>
      <c r="Q2" s="210">
        <f>IF(Model!Q1=Prezentacja!$D$11,Prezentacja!$D$12,1)</f>
        <v>1</v>
      </c>
      <c r="R2" s="210">
        <f>IF(Model!R1=Prezentacja!$D$11,Prezentacja!$D$12,1)</f>
        <v>1</v>
      </c>
      <c r="S2" s="210">
        <f>IF(Model!S1=Prezentacja!$D$11,Prezentacja!$D$12,1)</f>
        <v>1</v>
      </c>
      <c r="T2" s="210">
        <f>IF(Model!T1=Prezentacja!$D$11,Prezentacja!$D$12,1)</f>
        <v>1</v>
      </c>
      <c r="U2" s="210">
        <f>IF(Model!U1=Prezentacja!$D$11,Prezentacja!$D$12,1)</f>
        <v>1</v>
      </c>
      <c r="V2" s="210">
        <f>IF(Model!V1=Prezentacja!$D$11,Prezentacja!$D$12,1)</f>
        <v>1</v>
      </c>
      <c r="W2" s="210">
        <f>IF(Model!W1=Prezentacja!$D$11,Prezentacja!$D$12,1)</f>
        <v>1</v>
      </c>
      <c r="X2" s="210">
        <f>IF(Model!X1=Prezentacja!$D$11,Prezentacja!$D$12,1)</f>
        <v>1</v>
      </c>
      <c r="Y2" s="210">
        <f>IF(Model!Y1=Prezentacja!$D$11,Prezentacja!$D$12,1)</f>
        <v>1</v>
      </c>
      <c r="Z2" s="210">
        <f>IF(Model!Z1=Prezentacja!$D$11,Prezentacja!$D$12,1)</f>
        <v>1</v>
      </c>
      <c r="AA2" s="210">
        <f>IF(Model!AA1=Prezentacja!$D$11,Prezentacja!$D$12,1)</f>
        <v>1</v>
      </c>
      <c r="AB2" s="210">
        <f>IF(Model!AB1=Prezentacja!$D$11,Prezentacja!$D$12,1)</f>
        <v>1</v>
      </c>
      <c r="AC2" s="210">
        <f>IF(Model!AC1=Prezentacja!$D$11,Prezentacja!$D$12,1)</f>
        <v>1</v>
      </c>
      <c r="AD2" s="210">
        <f>IF(Model!AD1=Prezentacja!$D$11,Prezentacja!$D$12,1)</f>
        <v>1</v>
      </c>
      <c r="AE2" s="210">
        <f>IF(Model!AE1=Prezentacja!$D$11,Prezentacja!$D$12,1)</f>
        <v>1</v>
      </c>
      <c r="AF2" s="210">
        <f>IF(Model!AF1=Prezentacja!$D$11,Prezentacja!$D$12,1)</f>
        <v>1</v>
      </c>
      <c r="AG2" s="210">
        <f>IF(Model!AG1=Prezentacja!$D$11,Prezentacja!$D$12,1)</f>
        <v>1</v>
      </c>
      <c r="AH2" s="210">
        <f>IF(Model!AH1=Prezentacja!$D$11,Prezentacja!$D$12,1)</f>
        <v>1</v>
      </c>
      <c r="AI2" s="210">
        <f>IF(Model!AI1=Prezentacja!$D$11,Prezentacja!$D$12,1)</f>
        <v>1</v>
      </c>
      <c r="AJ2" s="210">
        <f>IF(Model!AJ1=Prezentacja!$D$11,Prezentacja!$D$12,1)</f>
        <v>1</v>
      </c>
      <c r="AK2" s="210">
        <f>IF(Model!AK1=Prezentacja!$D$11,Prezentacja!$D$12,1)</f>
        <v>1</v>
      </c>
      <c r="AL2" s="210">
        <f>IF(Model!AL1=Prezentacja!$D$11,Prezentacja!$D$12,1)</f>
        <v>1</v>
      </c>
      <c r="AM2" s="210">
        <f>IF(Model!AM1=Prezentacja!$D$11,Prezentacja!$D$12,1)</f>
        <v>1</v>
      </c>
      <c r="AN2" s="210">
        <f>IF(Model!AN1=Prezentacja!$D$11,Prezentacja!$D$12,1)</f>
        <v>1</v>
      </c>
      <c r="AO2" s="210">
        <f>IF(Model!AO1=Prezentacja!$D$11,Prezentacja!$D$12,1)</f>
        <v>1</v>
      </c>
      <c r="AP2" s="210">
        <f>IF(Model!AP1=Prezentacja!$D$11,Prezentacja!$D$12,1)</f>
        <v>1</v>
      </c>
      <c r="AQ2" s="210">
        <f>IF(Model!AQ1=Prezentacja!$D$11,Prezentacja!$D$12,1)</f>
        <v>1</v>
      </c>
      <c r="AR2" s="210">
        <f>IF(Model!AR1=Prezentacja!$D$11,Prezentacja!$D$12,1)</f>
        <v>1</v>
      </c>
      <c r="AS2" s="210">
        <f>IF(Model!AS1=Prezentacja!$D$11,Prezentacja!$D$12,1)</f>
        <v>1</v>
      </c>
      <c r="AT2" s="210">
        <f>IF(Model!AT1=Prezentacja!$D$11,Prezentacja!$D$12,1)</f>
        <v>1</v>
      </c>
      <c r="AU2" s="210">
        <f>IF(Model!AU1=Prezentacja!$D$11,Prezentacja!$D$12,1)</f>
        <v>1</v>
      </c>
      <c r="AV2" s="210">
        <f>IF(Model!AV1=Prezentacja!$D$11,Prezentacja!$D$12,1)</f>
        <v>1</v>
      </c>
      <c r="AW2" s="210">
        <f>IF(Model!AW1=Prezentacja!$D$11,Prezentacja!$D$12,1)</f>
        <v>1</v>
      </c>
      <c r="AX2" s="210">
        <f>IF(Model!AX1=Prezentacja!$D$11,Prezentacja!$D$12,1)</f>
        <v>1</v>
      </c>
      <c r="AY2" s="210">
        <f>IF(Model!AY1=Prezentacja!$D$11,Prezentacja!$D$12,1)</f>
        <v>1</v>
      </c>
      <c r="AZ2" s="210">
        <f>IF(Model!AZ1=Prezentacja!$D$11,Prezentacja!$D$12,1)</f>
        <v>1</v>
      </c>
      <c r="BA2" s="210">
        <f>IF(Model!BA1=Prezentacja!$D$11,Prezentacja!$D$12,1)</f>
        <v>1</v>
      </c>
      <c r="BB2" s="210">
        <f>IF(Model!BB1=Prezentacja!$D$11,Prezentacja!$D$12,1)</f>
        <v>1</v>
      </c>
      <c r="BC2" s="210">
        <f>IF(Model!BC1=Prezentacja!$D$11,Prezentacja!$D$12,1)</f>
        <v>1</v>
      </c>
      <c r="BD2" s="210">
        <f>IF(Model!BD1=Prezentacja!$D$11,Prezentacja!$D$12,1)</f>
        <v>1</v>
      </c>
      <c r="BE2" s="210">
        <f>IF(Model!BE1=Prezentacja!$D$11,Prezentacja!$D$12,1)</f>
        <v>1</v>
      </c>
      <c r="BF2" s="210">
        <f>IF(Model!BF1=Prezentacja!$D$11,Prezentacja!$D$12,1)</f>
        <v>1</v>
      </c>
      <c r="BG2" s="210">
        <f>IF(Model!BG1=Prezentacja!$D$11,Prezentacja!$D$12,1)</f>
        <v>1</v>
      </c>
      <c r="BH2" s="210">
        <f>IF(Model!BH1=Prezentacja!$D$11,Prezentacja!$D$12,1)</f>
        <v>1</v>
      </c>
      <c r="BI2" s="210">
        <f>IF(Model!BI1=Prezentacja!$D$11,Prezentacja!$D$12,1)</f>
        <v>1</v>
      </c>
      <c r="BJ2" s="210">
        <f>IF(Model!BJ1=Prezentacja!$D$11,Prezentacja!$D$12,1)</f>
        <v>1</v>
      </c>
      <c r="BK2" s="210">
        <f>IF(Model!BK1=Prezentacja!$D$11,Prezentacja!$D$12,1)</f>
        <v>1</v>
      </c>
      <c r="BL2" s="210">
        <f>IF(Model!BL1=Prezentacja!$D$11,Prezentacja!$D$12,1)</f>
        <v>1</v>
      </c>
      <c r="BM2" s="210">
        <f>IF(Model!BM1=Prezentacja!$D$11,Prezentacja!$D$12,1)</f>
        <v>1</v>
      </c>
      <c r="BN2" s="210">
        <f>IF(Model!BN1=Prezentacja!$D$11,Prezentacja!$D$12,1)</f>
        <v>1</v>
      </c>
      <c r="BO2" s="210">
        <f>IF(Model!BO1=Prezentacja!$D$11,Prezentacja!$D$12,1)</f>
        <v>1</v>
      </c>
      <c r="BP2" s="210">
        <f>IF(Model!BP1=Prezentacja!$D$11,Prezentacja!$D$12,1)</f>
        <v>1</v>
      </c>
      <c r="BQ2" s="210">
        <f>IF(Model!BQ1=Prezentacja!$D$11,Prezentacja!$D$12,1)</f>
        <v>1</v>
      </c>
      <c r="BR2" s="210">
        <f>IF(Model!BR1=Prezentacja!$D$11,Prezentacja!$D$12,1)</f>
        <v>1</v>
      </c>
      <c r="BS2" s="210">
        <f>IF(Model!BS1=Prezentacja!$D$11,Prezentacja!$D$12,1)</f>
        <v>1</v>
      </c>
      <c r="BT2" s="210">
        <f>IF(Model!BT1=Prezentacja!$D$11,Prezentacja!$D$12,1)</f>
        <v>1</v>
      </c>
      <c r="BU2" s="210">
        <f>IF(Model!BU1=Prezentacja!$D$11,Prezentacja!$D$12,1)</f>
        <v>1</v>
      </c>
      <c r="BV2" s="210">
        <f>IF(Model!BV1=Prezentacja!$D$11,Prezentacja!$D$12,1)</f>
        <v>1</v>
      </c>
      <c r="BW2" s="210">
        <f>IF(Model!BW1=Prezentacja!$D$11,Prezentacja!$D$12,1)</f>
        <v>1</v>
      </c>
      <c r="BX2" s="210">
        <f>IF(Model!BX1=Prezentacja!$D$11,Prezentacja!$D$12,1)</f>
        <v>1</v>
      </c>
      <c r="BY2" s="210">
        <f>IF(Model!BY1=Prezentacja!$D$11,Prezentacja!$D$12,1)</f>
        <v>1</v>
      </c>
      <c r="BZ2" s="210">
        <f>IF(Model!BZ1=Prezentacja!$D$11,Prezentacja!$D$12,1)</f>
        <v>1</v>
      </c>
      <c r="CA2" s="211">
        <f>IF(Model!CA1=Prezentacja!$D$11,Prezentacja!$D$12,1)</f>
        <v>1</v>
      </c>
      <c r="CB2" s="15"/>
      <c r="CC2" s="15"/>
      <c r="CD2" s="15"/>
      <c r="CE2" s="15"/>
    </row>
    <row r="3" spans="1:83" ht="22.2" thickBot="1" x14ac:dyDescent="0.3">
      <c r="B3" s="212" t="s">
        <v>189</v>
      </c>
      <c r="C3" s="213">
        <f>IF(Model!C1=Prezentacja!$D$13,Prezentacja!$D$14,0)</f>
        <v>0</v>
      </c>
      <c r="D3" s="214">
        <f>IF(Model!D1=Prezentacja!$D$13,Prezentacja!$D$14,0)</f>
        <v>2</v>
      </c>
      <c r="E3" s="214">
        <f>IF(Model!E1=Prezentacja!$D$13,Prezentacja!$D$14,0)</f>
        <v>0</v>
      </c>
      <c r="F3" s="214">
        <f>IF(Model!F1=Prezentacja!$D$13,Prezentacja!$D$14,0)</f>
        <v>0</v>
      </c>
      <c r="G3" s="214">
        <f>IF(Model!G1=Prezentacja!$D$13,Prezentacja!$D$14,0)</f>
        <v>0</v>
      </c>
      <c r="H3" s="214">
        <f>IF(Model!H1=Prezentacja!$D$13,Prezentacja!$D$14,0)</f>
        <v>0</v>
      </c>
      <c r="I3" s="214">
        <f>IF(Model!I1=Prezentacja!$D$13,Prezentacja!$D$14,0)</f>
        <v>0</v>
      </c>
      <c r="J3" s="214">
        <f>IF(Model!J1=Prezentacja!$D$13,Prezentacja!$D$14,0)</f>
        <v>0</v>
      </c>
      <c r="K3" s="214">
        <f>IF(Model!K1=Prezentacja!$D$13,Prezentacja!$D$14,0)</f>
        <v>0</v>
      </c>
      <c r="L3" s="214">
        <f>IF(Model!L1=Prezentacja!$D$13,Prezentacja!$D$14,0)</f>
        <v>0</v>
      </c>
      <c r="M3" s="214">
        <f>IF(Model!M1=Prezentacja!$D$13,Prezentacja!$D$14,0)</f>
        <v>0</v>
      </c>
      <c r="N3" s="214">
        <f>IF(Model!N1=Prezentacja!$D$13,Prezentacja!$D$14,0)</f>
        <v>0</v>
      </c>
      <c r="O3" s="214">
        <f>IF(Model!O1=Prezentacja!$D$13,Prezentacja!$D$14,0)</f>
        <v>0</v>
      </c>
      <c r="P3" s="214">
        <f>IF(Model!P1=Prezentacja!$D$13,Prezentacja!$D$14,0)</f>
        <v>0</v>
      </c>
      <c r="Q3" s="214">
        <f>IF(Model!Q1=Prezentacja!$D$13,Prezentacja!$D$14,0)</f>
        <v>0</v>
      </c>
      <c r="R3" s="214">
        <f>IF(Model!R1=Prezentacja!$D$13,Prezentacja!$D$14,0)</f>
        <v>0</v>
      </c>
      <c r="S3" s="214">
        <f>IF(Model!S1=Prezentacja!$D$13,Prezentacja!$D$14,0)</f>
        <v>0</v>
      </c>
      <c r="T3" s="214">
        <f>IF(Model!T1=Prezentacja!$D$13,Prezentacja!$D$14,0)</f>
        <v>0</v>
      </c>
      <c r="U3" s="214">
        <f>IF(Model!U1=Prezentacja!$D$13,Prezentacja!$D$14,0)</f>
        <v>0</v>
      </c>
      <c r="V3" s="214">
        <f>IF(Model!V1=Prezentacja!$D$13,Prezentacja!$D$14,0)</f>
        <v>0</v>
      </c>
      <c r="W3" s="214">
        <f>IF(Model!W1=Prezentacja!$D$13,Prezentacja!$D$14,0)</f>
        <v>0</v>
      </c>
      <c r="X3" s="214">
        <f>IF(Model!X1=Prezentacja!$D$13,Prezentacja!$D$14,0)</f>
        <v>0</v>
      </c>
      <c r="Y3" s="214">
        <f>IF(Model!Y1=Prezentacja!$D$13,Prezentacja!$D$14,0)</f>
        <v>0</v>
      </c>
      <c r="Z3" s="214">
        <f>IF(Model!Z1=Prezentacja!$D$13,Prezentacja!$D$14,0)</f>
        <v>0</v>
      </c>
      <c r="AA3" s="214">
        <f>IF(Model!AA1=Prezentacja!$D$13,Prezentacja!$D$14,0)</f>
        <v>0</v>
      </c>
      <c r="AB3" s="214">
        <f>IF(Model!AB1=Prezentacja!$D$13,Prezentacja!$D$14,0)</f>
        <v>0</v>
      </c>
      <c r="AC3" s="214">
        <f>IF(Model!AC1=Prezentacja!$D$13,Prezentacja!$D$14,0)</f>
        <v>0</v>
      </c>
      <c r="AD3" s="214">
        <f>IF(Model!AD1=Prezentacja!$D$13,Prezentacja!$D$14,0)</f>
        <v>0</v>
      </c>
      <c r="AE3" s="214">
        <f>IF(Model!AE1=Prezentacja!$D$13,Prezentacja!$D$14,0)</f>
        <v>0</v>
      </c>
      <c r="AF3" s="214">
        <f>IF(Model!AF1=Prezentacja!$D$13,Prezentacja!$D$14,0)</f>
        <v>0</v>
      </c>
      <c r="AG3" s="214">
        <f>IF(Model!AG1=Prezentacja!$D$13,Prezentacja!$D$14,0)</f>
        <v>0</v>
      </c>
      <c r="AH3" s="214">
        <f>IF(Model!AH1=Prezentacja!$D$13,Prezentacja!$D$14,0)</f>
        <v>0</v>
      </c>
      <c r="AI3" s="214">
        <f>IF(Model!AI1=Prezentacja!$D$13,Prezentacja!$D$14,0)</f>
        <v>0</v>
      </c>
      <c r="AJ3" s="214">
        <f>IF(Model!AJ1=Prezentacja!$D$13,Prezentacja!$D$14,0)</f>
        <v>0</v>
      </c>
      <c r="AK3" s="214">
        <f>IF(Model!AK1=Prezentacja!$D$13,Prezentacja!$D$14,0)</f>
        <v>0</v>
      </c>
      <c r="AL3" s="214">
        <f>IF(Model!AL1=Prezentacja!$D$13,Prezentacja!$D$14,0)</f>
        <v>0</v>
      </c>
      <c r="AM3" s="214">
        <f>IF(Model!AM1=Prezentacja!$D$13,Prezentacja!$D$14,0)</f>
        <v>0</v>
      </c>
      <c r="AN3" s="214">
        <f>IF(Model!AN1=Prezentacja!$D$13,Prezentacja!$D$14,0)</f>
        <v>0</v>
      </c>
      <c r="AO3" s="214">
        <f>IF(Model!AO1=Prezentacja!$D$13,Prezentacja!$D$14,0)</f>
        <v>0</v>
      </c>
      <c r="AP3" s="214">
        <f>IF(Model!AP1=Prezentacja!$D$13,Prezentacja!$D$14,0)</f>
        <v>0</v>
      </c>
      <c r="AQ3" s="214">
        <f>IF(Model!AQ1=Prezentacja!$D$13,Prezentacja!$D$14,0)</f>
        <v>0</v>
      </c>
      <c r="AR3" s="214">
        <f>IF(Model!AR1=Prezentacja!$D$13,Prezentacja!$D$14,0)</f>
        <v>0</v>
      </c>
      <c r="AS3" s="214">
        <f>IF(Model!AS1=Prezentacja!$D$13,Prezentacja!$D$14,0)</f>
        <v>0</v>
      </c>
      <c r="AT3" s="214">
        <f>IF(Model!AT1=Prezentacja!$D$13,Prezentacja!$D$14,0)</f>
        <v>0</v>
      </c>
      <c r="AU3" s="214">
        <f>IF(Model!AU1=Prezentacja!$D$13,Prezentacja!$D$14,0)</f>
        <v>0</v>
      </c>
      <c r="AV3" s="214">
        <f>IF(Model!AV1=Prezentacja!$D$13,Prezentacja!$D$14,0)</f>
        <v>0</v>
      </c>
      <c r="AW3" s="214">
        <f>IF(Model!AW1=Prezentacja!$D$13,Prezentacja!$D$14,0)</f>
        <v>0</v>
      </c>
      <c r="AX3" s="214">
        <f>IF(Model!AX1=Prezentacja!$D$13,Prezentacja!$D$14,0)</f>
        <v>0</v>
      </c>
      <c r="AY3" s="214">
        <f>IF(Model!AY1=Prezentacja!$D$13,Prezentacja!$D$14,0)</f>
        <v>0</v>
      </c>
      <c r="AZ3" s="214">
        <f>IF(Model!AZ1=Prezentacja!$D$13,Prezentacja!$D$14,0)</f>
        <v>0</v>
      </c>
      <c r="BA3" s="214">
        <f>IF(Model!BA1=Prezentacja!$D$13,Prezentacja!$D$14,0)</f>
        <v>0</v>
      </c>
      <c r="BB3" s="214">
        <f>IF(Model!BB1=Prezentacja!$D$13,Prezentacja!$D$14,0)</f>
        <v>0</v>
      </c>
      <c r="BC3" s="214">
        <f>IF(Model!BC1=Prezentacja!$D$13,Prezentacja!$D$14,0)</f>
        <v>0</v>
      </c>
      <c r="BD3" s="214">
        <f>IF(Model!BD1=Prezentacja!$D$13,Prezentacja!$D$14,0)</f>
        <v>0</v>
      </c>
      <c r="BE3" s="214">
        <f>IF(Model!BE1=Prezentacja!$D$13,Prezentacja!$D$14,0)</f>
        <v>0</v>
      </c>
      <c r="BF3" s="214">
        <f>IF(Model!BF1=Prezentacja!$D$13,Prezentacja!$D$14,0)</f>
        <v>0</v>
      </c>
      <c r="BG3" s="214">
        <f>IF(Model!BG1=Prezentacja!$D$13,Prezentacja!$D$14,0)</f>
        <v>0</v>
      </c>
      <c r="BH3" s="214">
        <f>IF(Model!BH1=Prezentacja!$D$13,Prezentacja!$D$14,0)</f>
        <v>0</v>
      </c>
      <c r="BI3" s="214">
        <f>IF(Model!BI1=Prezentacja!$D$13,Prezentacja!$D$14,0)</f>
        <v>0</v>
      </c>
      <c r="BJ3" s="214">
        <f>IF(Model!BJ1=Prezentacja!$D$13,Prezentacja!$D$14,0)</f>
        <v>0</v>
      </c>
      <c r="BK3" s="214">
        <f>IF(Model!BK1=Prezentacja!$D$13,Prezentacja!$D$14,0)</f>
        <v>0</v>
      </c>
      <c r="BL3" s="214">
        <f>IF(Model!BL1=Prezentacja!$D$13,Prezentacja!$D$14,0)</f>
        <v>0</v>
      </c>
      <c r="BM3" s="214">
        <f>IF(Model!BM1=Prezentacja!$D$13,Prezentacja!$D$14,0)</f>
        <v>0</v>
      </c>
      <c r="BN3" s="214">
        <f>IF(Model!BN1=Prezentacja!$D$13,Prezentacja!$D$14,0)</f>
        <v>0</v>
      </c>
      <c r="BO3" s="214">
        <f>IF(Model!BO1=Prezentacja!$D$13,Prezentacja!$D$14,0)</f>
        <v>0</v>
      </c>
      <c r="BP3" s="214">
        <f>IF(Model!BP1=Prezentacja!$D$13,Prezentacja!$D$14,0)</f>
        <v>0</v>
      </c>
      <c r="BQ3" s="214">
        <f>IF(Model!BQ1=Prezentacja!$D$13,Prezentacja!$D$14,0)</f>
        <v>0</v>
      </c>
      <c r="BR3" s="214">
        <f>IF(Model!BR1=Prezentacja!$D$13,Prezentacja!$D$14,0)</f>
        <v>0</v>
      </c>
      <c r="BS3" s="214">
        <f>IF(Model!BS1=Prezentacja!$D$13,Prezentacja!$D$14,0)</f>
        <v>0</v>
      </c>
      <c r="BT3" s="214">
        <f>IF(Model!BT1=Prezentacja!$D$13,Prezentacja!$D$14,0)</f>
        <v>0</v>
      </c>
      <c r="BU3" s="214">
        <f>IF(Model!BU1=Prezentacja!$D$13,Prezentacja!$D$14,0)</f>
        <v>0</v>
      </c>
      <c r="BV3" s="214">
        <f>IF(Model!BV1=Prezentacja!$D$13,Prezentacja!$D$14,0)</f>
        <v>0</v>
      </c>
      <c r="BW3" s="214">
        <f>IF(Model!BW1=Prezentacja!$D$13,Prezentacja!$D$14,0)</f>
        <v>0</v>
      </c>
      <c r="BX3" s="214">
        <f>IF(Model!BX1=Prezentacja!$D$13,Prezentacja!$D$14,0)</f>
        <v>0</v>
      </c>
      <c r="BY3" s="214">
        <f>IF(Model!BY1=Prezentacja!$D$13,Prezentacja!$D$14,0)</f>
        <v>0</v>
      </c>
      <c r="BZ3" s="214">
        <f>IF(Model!BZ1=Prezentacja!$D$13,Prezentacja!$D$14,0)</f>
        <v>0</v>
      </c>
      <c r="CA3" s="215">
        <f>IF(Model!CA1=Prezentacja!$D$13,Prezentacja!$D$14,0)</f>
        <v>0</v>
      </c>
      <c r="CB3" s="241" t="s">
        <v>190</v>
      </c>
      <c r="CC3" s="242" t="s">
        <v>191</v>
      </c>
      <c r="CD3" s="242" t="s">
        <v>192</v>
      </c>
      <c r="CE3" s="244" t="s">
        <v>193</v>
      </c>
    </row>
    <row r="4" spans="1:83" ht="22.2" thickBot="1" x14ac:dyDescent="0.3">
      <c r="B4" s="163" t="s">
        <v>194</v>
      </c>
      <c r="C4" s="178">
        <v>1</v>
      </c>
      <c r="D4" s="178">
        <v>1</v>
      </c>
      <c r="E4" s="178">
        <v>1</v>
      </c>
      <c r="F4" s="178">
        <v>1</v>
      </c>
      <c r="G4" s="178">
        <v>1</v>
      </c>
      <c r="H4" s="178">
        <v>1</v>
      </c>
      <c r="I4" s="178">
        <v>1</v>
      </c>
      <c r="J4" s="178">
        <v>1</v>
      </c>
      <c r="K4" s="178">
        <v>1</v>
      </c>
      <c r="L4" s="178">
        <v>1</v>
      </c>
      <c r="M4" s="178">
        <v>1</v>
      </c>
      <c r="N4" s="178">
        <v>1</v>
      </c>
      <c r="O4" s="178">
        <v>1</v>
      </c>
      <c r="P4" s="178">
        <v>1</v>
      </c>
      <c r="Q4" s="178">
        <v>1</v>
      </c>
      <c r="R4" s="178">
        <v>1</v>
      </c>
      <c r="S4" s="178">
        <v>1</v>
      </c>
      <c r="T4" s="178">
        <v>1</v>
      </c>
      <c r="U4" s="178">
        <v>1</v>
      </c>
      <c r="V4" s="178">
        <v>1</v>
      </c>
      <c r="W4" s="178">
        <v>1</v>
      </c>
      <c r="X4" s="178">
        <v>1</v>
      </c>
      <c r="Y4" s="178">
        <v>1</v>
      </c>
      <c r="Z4" s="178">
        <v>1</v>
      </c>
      <c r="AA4" s="178">
        <v>1</v>
      </c>
      <c r="AB4" s="178">
        <v>1</v>
      </c>
      <c r="AC4" s="178">
        <v>1</v>
      </c>
      <c r="AD4" s="178">
        <v>1</v>
      </c>
      <c r="AE4" s="178">
        <v>1</v>
      </c>
      <c r="AF4" s="178">
        <v>1</v>
      </c>
      <c r="AG4" s="178">
        <v>1</v>
      </c>
      <c r="AH4" s="178">
        <v>1</v>
      </c>
      <c r="AI4" s="178">
        <v>1</v>
      </c>
      <c r="AJ4" s="178">
        <v>1</v>
      </c>
      <c r="AK4" s="178">
        <v>1</v>
      </c>
      <c r="AL4" s="178">
        <v>1</v>
      </c>
      <c r="AM4" s="178">
        <v>1</v>
      </c>
      <c r="AN4" s="178">
        <v>1</v>
      </c>
      <c r="AO4" s="178">
        <v>1</v>
      </c>
      <c r="AP4" s="178">
        <v>1</v>
      </c>
      <c r="AQ4" s="178">
        <v>1</v>
      </c>
      <c r="AR4" s="178">
        <v>1</v>
      </c>
      <c r="AS4" s="178">
        <v>1</v>
      </c>
      <c r="AT4" s="178">
        <v>1</v>
      </c>
      <c r="AU4" s="178">
        <v>1</v>
      </c>
      <c r="AV4" s="178">
        <v>1</v>
      </c>
      <c r="AW4" s="178">
        <v>1</v>
      </c>
      <c r="AX4" s="178">
        <v>1</v>
      </c>
      <c r="AY4" s="178">
        <v>1</v>
      </c>
      <c r="AZ4" s="178">
        <v>1</v>
      </c>
      <c r="BA4" s="178">
        <v>1</v>
      </c>
      <c r="BB4" s="178">
        <v>1</v>
      </c>
      <c r="BC4" s="178">
        <v>1</v>
      </c>
      <c r="BD4" s="178">
        <v>1</v>
      </c>
      <c r="BE4" s="178">
        <v>1</v>
      </c>
      <c r="BF4" s="178">
        <v>1</v>
      </c>
      <c r="BG4" s="178">
        <v>1</v>
      </c>
      <c r="BH4" s="178">
        <v>1</v>
      </c>
      <c r="BI4" s="178">
        <v>1</v>
      </c>
      <c r="BJ4" s="178">
        <v>1</v>
      </c>
      <c r="BK4" s="178">
        <v>1</v>
      </c>
      <c r="BL4" s="178">
        <v>1</v>
      </c>
      <c r="BM4" s="178">
        <v>1</v>
      </c>
      <c r="BN4" s="178">
        <v>1</v>
      </c>
      <c r="BO4" s="178">
        <v>1</v>
      </c>
      <c r="BP4" s="178">
        <v>1</v>
      </c>
      <c r="BQ4" s="178">
        <v>1</v>
      </c>
      <c r="BR4" s="178">
        <v>1</v>
      </c>
      <c r="BS4" s="178">
        <v>1</v>
      </c>
      <c r="BT4" s="178">
        <v>1</v>
      </c>
      <c r="BU4" s="178">
        <v>1</v>
      </c>
      <c r="BV4" s="178">
        <v>1</v>
      </c>
      <c r="BW4" s="178">
        <v>1</v>
      </c>
      <c r="BX4" s="178">
        <v>1</v>
      </c>
      <c r="BY4" s="178">
        <v>1</v>
      </c>
      <c r="BZ4" s="178">
        <v>1</v>
      </c>
      <c r="CA4" s="179">
        <v>1</v>
      </c>
      <c r="CB4" s="177">
        <v>1</v>
      </c>
      <c r="CC4" s="197">
        <v>1</v>
      </c>
      <c r="CD4" s="197">
        <v>1</v>
      </c>
      <c r="CE4" s="198">
        <v>1</v>
      </c>
    </row>
    <row r="5" spans="1:83" x14ac:dyDescent="0.25">
      <c r="B5" s="169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</row>
    <row r="6" spans="1:83" ht="14.4" thickBot="1" x14ac:dyDescent="0.3">
      <c r="B6" s="169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</row>
    <row r="7" spans="1:83" ht="22.2" thickBot="1" x14ac:dyDescent="0.5">
      <c r="B7" s="170" t="s">
        <v>195</v>
      </c>
      <c r="C7" s="165">
        <v>1</v>
      </c>
      <c r="D7" s="165">
        <v>1</v>
      </c>
      <c r="E7" s="165">
        <v>1</v>
      </c>
      <c r="F7" s="165">
        <v>1</v>
      </c>
      <c r="G7" s="165">
        <v>1</v>
      </c>
      <c r="H7" s="165">
        <v>1</v>
      </c>
      <c r="I7" s="165">
        <v>1</v>
      </c>
      <c r="J7" s="165">
        <v>1</v>
      </c>
      <c r="K7" s="165">
        <v>1</v>
      </c>
      <c r="L7" s="165">
        <v>1</v>
      </c>
      <c r="M7" s="165">
        <v>1</v>
      </c>
      <c r="N7" s="165">
        <v>1</v>
      </c>
      <c r="O7" s="165">
        <v>1</v>
      </c>
      <c r="P7" s="165">
        <v>1</v>
      </c>
      <c r="Q7" s="165">
        <v>1</v>
      </c>
      <c r="R7" s="165">
        <v>1</v>
      </c>
      <c r="S7" s="165">
        <v>1</v>
      </c>
      <c r="T7" s="165">
        <v>1</v>
      </c>
      <c r="U7" s="165">
        <v>1</v>
      </c>
      <c r="V7" s="165">
        <v>1</v>
      </c>
      <c r="W7" s="165">
        <v>1</v>
      </c>
      <c r="X7" s="165">
        <v>1</v>
      </c>
      <c r="Y7" s="165">
        <v>1</v>
      </c>
      <c r="Z7" s="165">
        <v>1</v>
      </c>
      <c r="AA7" s="165">
        <v>1</v>
      </c>
      <c r="AB7" s="165">
        <v>1</v>
      </c>
      <c r="AC7" s="165">
        <v>1</v>
      </c>
      <c r="AD7" s="165">
        <v>1</v>
      </c>
      <c r="AE7" s="165">
        <v>1</v>
      </c>
      <c r="AF7" s="165">
        <v>1</v>
      </c>
      <c r="AG7" s="165">
        <v>1</v>
      </c>
      <c r="AH7" s="165">
        <v>1</v>
      </c>
      <c r="AI7" s="165">
        <v>1</v>
      </c>
      <c r="AJ7" s="165">
        <v>1</v>
      </c>
      <c r="AK7" s="165">
        <v>1</v>
      </c>
      <c r="AL7" s="165">
        <v>1</v>
      </c>
      <c r="AM7" s="165">
        <v>1</v>
      </c>
      <c r="AN7" s="165">
        <v>1</v>
      </c>
      <c r="AO7" s="165">
        <v>1</v>
      </c>
      <c r="AP7" s="165">
        <v>1</v>
      </c>
      <c r="AQ7" s="165">
        <v>1</v>
      </c>
      <c r="AR7" s="165">
        <v>1</v>
      </c>
      <c r="AS7" s="165">
        <v>1</v>
      </c>
      <c r="AT7" s="165">
        <v>1</v>
      </c>
      <c r="AU7" s="165">
        <v>1</v>
      </c>
      <c r="AV7" s="165">
        <v>1</v>
      </c>
      <c r="AW7" s="165">
        <v>1</v>
      </c>
      <c r="AX7" s="165">
        <v>1</v>
      </c>
      <c r="AY7" s="165">
        <v>1</v>
      </c>
      <c r="AZ7" s="165">
        <v>1</v>
      </c>
      <c r="BA7" s="165">
        <v>1</v>
      </c>
      <c r="BB7" s="165">
        <v>1</v>
      </c>
      <c r="BC7" s="165">
        <v>1</v>
      </c>
      <c r="BD7" s="165">
        <v>1</v>
      </c>
      <c r="BE7" s="165">
        <v>1</v>
      </c>
      <c r="BF7" s="165">
        <v>1</v>
      </c>
      <c r="BG7" s="165">
        <v>1</v>
      </c>
      <c r="BH7" s="165">
        <v>1</v>
      </c>
      <c r="BI7" s="165">
        <v>1</v>
      </c>
      <c r="BJ7" s="165">
        <v>1</v>
      </c>
      <c r="BK7" s="165">
        <v>1</v>
      </c>
      <c r="BL7" s="165">
        <v>1</v>
      </c>
      <c r="BM7" s="165">
        <v>1</v>
      </c>
      <c r="BN7" s="165">
        <v>1</v>
      </c>
      <c r="BO7" s="165">
        <v>1</v>
      </c>
      <c r="BP7" s="165">
        <v>1</v>
      </c>
      <c r="BQ7" s="165">
        <v>1</v>
      </c>
      <c r="BR7" s="165">
        <v>1</v>
      </c>
      <c r="BS7" s="165">
        <v>1</v>
      </c>
      <c r="BT7" s="165">
        <v>1</v>
      </c>
      <c r="BU7" s="165">
        <v>1</v>
      </c>
      <c r="BV7" s="165">
        <v>1</v>
      </c>
      <c r="BW7" s="165">
        <v>1</v>
      </c>
      <c r="BX7" s="165">
        <v>1</v>
      </c>
      <c r="BY7" s="165">
        <v>1</v>
      </c>
      <c r="BZ7" s="165">
        <v>1</v>
      </c>
      <c r="CA7" s="166">
        <v>1</v>
      </c>
    </row>
    <row r="8" spans="1:83" ht="20.399999999999999" x14ac:dyDescent="0.45">
      <c r="B8" s="200" t="s">
        <v>108</v>
      </c>
      <c r="C8" s="201">
        <f ca="1">IF(petla_placowa_wlaczona,'Tablica IO'!C326*$CB$93,'Tablica IO'!C326*1)</f>
        <v>8.4567107701781982E-2</v>
      </c>
      <c r="D8" s="202">
        <f ca="1">IF(petla_placowa_wlaczona,'Tablica IO'!D326*$CB$93,'Tablica IO'!D326*1)</f>
        <v>0.33939133655488873</v>
      </c>
      <c r="E8" s="202">
        <f ca="1">IF(petla_placowa_wlaczona,'Tablica IO'!E326*$CB$93,'Tablica IO'!E326*1)</f>
        <v>0.19464211576954882</v>
      </c>
      <c r="F8" s="202">
        <f ca="1">IF(petla_placowa_wlaczona,'Tablica IO'!F326*$CB$93,'Tablica IO'!F326*1)</f>
        <v>0.51010223413455602</v>
      </c>
      <c r="G8" s="202">
        <f ca="1">IF(petla_placowa_wlaczona,'Tablica IO'!G326*$CB$93,'Tablica IO'!G326*1)</f>
        <v>0.3085696316370079</v>
      </c>
      <c r="H8" s="202">
        <f ca="1">IF(petla_placowa_wlaczona,'Tablica IO'!H326*$CB$93,'Tablica IO'!H326*1)</f>
        <v>0.11615048194079851</v>
      </c>
      <c r="I8" s="202">
        <f ca="1">IF(petla_placowa_wlaczona,'Tablica IO'!I326*$CB$93,'Tablica IO'!I326*1)</f>
        <v>0.11423455128624034</v>
      </c>
      <c r="J8" s="202">
        <f ca="1">IF(petla_placowa_wlaczona,'Tablica IO'!J326*$CB$93,'Tablica IO'!J326*1)</f>
        <v>9.3382504779831579E-2</v>
      </c>
      <c r="K8" s="202">
        <f ca="1">IF(petla_placowa_wlaczona,'Tablica IO'!K326*$CB$93,'Tablica IO'!K326*1)</f>
        <v>0.17928050658162573</v>
      </c>
      <c r="L8" s="202">
        <f ca="1">IF(petla_placowa_wlaczona,'Tablica IO'!L326*$CB$93,'Tablica IO'!L326*1)</f>
        <v>0.32140568084456783</v>
      </c>
      <c r="M8" s="202">
        <f ca="1">IF(petla_placowa_wlaczona,'Tablica IO'!M326*$CB$93,'Tablica IO'!M326*1)</f>
        <v>0.18870616709963001</v>
      </c>
      <c r="N8" s="202">
        <f ca="1">IF(petla_placowa_wlaczona,'Tablica IO'!N326*$CB$93,'Tablica IO'!N326*1)</f>
        <v>0.14304212640968575</v>
      </c>
      <c r="O8" s="202">
        <f ca="1">IF(petla_placowa_wlaczona,'Tablica IO'!O326*$CB$93,'Tablica IO'!O326*1)</f>
        <v>0.11197992290991308</v>
      </c>
      <c r="P8" s="202">
        <f ca="1">IF(petla_placowa_wlaczona,'Tablica IO'!P326*$CB$93,'Tablica IO'!P326*1)</f>
        <v>0.22696963049572838</v>
      </c>
      <c r="Q8" s="202">
        <f ca="1">IF(petla_placowa_wlaczona,'Tablica IO'!Q326*$CB$93,'Tablica IO'!Q326*1)</f>
        <v>2.722728389461512E-2</v>
      </c>
      <c r="R8" s="202">
        <f ca="1">IF(petla_placowa_wlaczona,'Tablica IO'!R326*$CB$93,'Tablica IO'!R326*1)</f>
        <v>0.1061909841534769</v>
      </c>
      <c r="S8" s="202">
        <f ca="1">IF(petla_placowa_wlaczona,'Tablica IO'!S326*$CB$93,'Tablica IO'!S326*1)</f>
        <v>0.16243730391042516</v>
      </c>
      <c r="T8" s="202">
        <f ca="1">IF(petla_placowa_wlaczona,'Tablica IO'!T326*$CB$93,'Tablica IO'!T326*1)</f>
        <v>0.15242138015048956</v>
      </c>
      <c r="U8" s="202">
        <f ca="1">IF(petla_placowa_wlaczona,'Tablica IO'!U326*$CB$93,'Tablica IO'!U326*1)</f>
        <v>0.16438775010481024</v>
      </c>
      <c r="V8" s="202">
        <f ca="1">IF(petla_placowa_wlaczona,'Tablica IO'!V326*$CB$93,'Tablica IO'!V326*1)</f>
        <v>0.10795882197908803</v>
      </c>
      <c r="W8" s="202">
        <f ca="1">IF(petla_placowa_wlaczona,'Tablica IO'!W326*$CB$93,'Tablica IO'!W326*1)</f>
        <v>0.19779875220960297</v>
      </c>
      <c r="X8" s="202">
        <f ca="1">IF(petla_placowa_wlaczona,'Tablica IO'!X326*$CB$93,'Tablica IO'!X326*1)</f>
        <v>9.688904229978286E-2</v>
      </c>
      <c r="Y8" s="202">
        <f ca="1">IF(petla_placowa_wlaczona,'Tablica IO'!Y326*$CB$93,'Tablica IO'!Y326*1)</f>
        <v>0.13335956024461779</v>
      </c>
      <c r="Z8" s="202">
        <f ca="1">IF(petla_placowa_wlaczona,'Tablica IO'!Z326*$CB$93,'Tablica IO'!Z326*1)</f>
        <v>0.22038031154185009</v>
      </c>
      <c r="AA8" s="202">
        <f ca="1">IF(petla_placowa_wlaczona,'Tablica IO'!AA326*$CB$93,'Tablica IO'!AA326*1)</f>
        <v>0.10081098815882225</v>
      </c>
      <c r="AB8" s="202">
        <f ca="1">IF(petla_placowa_wlaczona,'Tablica IO'!AB326*$CB$93,'Tablica IO'!AB326*1)</f>
        <v>0.1688603467046792</v>
      </c>
      <c r="AC8" s="202">
        <f ca="1">IF(petla_placowa_wlaczona,'Tablica IO'!AC326*$CB$93,'Tablica IO'!AC326*1)</f>
        <v>0.19876203828155087</v>
      </c>
      <c r="AD8" s="202">
        <f ca="1">IF(petla_placowa_wlaczona,'Tablica IO'!AD326*$CB$93,'Tablica IO'!AD326*1)</f>
        <v>0.18449943175161243</v>
      </c>
      <c r="AE8" s="202">
        <f ca="1">IF(petla_placowa_wlaczona,'Tablica IO'!AE326*$CB$93,'Tablica IO'!AE326*1)</f>
        <v>0.21442513815127587</v>
      </c>
      <c r="AF8" s="202">
        <f ca="1">IF(petla_placowa_wlaczona,'Tablica IO'!AF326*$CB$93,'Tablica IO'!AF326*1)</f>
        <v>0.12669160524570408</v>
      </c>
      <c r="AG8" s="202">
        <f ca="1">IF(petla_placowa_wlaczona,'Tablica IO'!AG326*$CB$93,'Tablica IO'!AG326*1)</f>
        <v>0.30077790245472436</v>
      </c>
      <c r="AH8" s="202">
        <f ca="1">IF(petla_placowa_wlaczona,'Tablica IO'!AH326*$CB$93,'Tablica IO'!AH326*1)</f>
        <v>0.22587456341573062</v>
      </c>
      <c r="AI8" s="202">
        <f ca="1">IF(petla_placowa_wlaczona,'Tablica IO'!AI326*$CB$93,'Tablica IO'!AI326*1)</f>
        <v>0.31971242056149196</v>
      </c>
      <c r="AJ8" s="202">
        <f ca="1">IF(petla_placowa_wlaczona,'Tablica IO'!AJ326*$CB$93,'Tablica IO'!AJ326*1)</f>
        <v>0.14744348131394847</v>
      </c>
      <c r="AK8" s="202">
        <f ca="1">IF(petla_placowa_wlaczona,'Tablica IO'!AK326*$CB$93,'Tablica IO'!AK326*1)</f>
        <v>0.10492355920579451</v>
      </c>
      <c r="AL8" s="202">
        <f ca="1">IF(petla_placowa_wlaczona,'Tablica IO'!AL326*$CB$93,'Tablica IO'!AL326*1)</f>
        <v>0.21436982607986338</v>
      </c>
      <c r="AM8" s="202">
        <f ca="1">IF(petla_placowa_wlaczona,'Tablica IO'!AM326*$CB$93,'Tablica IO'!AM326*1)</f>
        <v>0.23890893510100689</v>
      </c>
      <c r="AN8" s="202">
        <f ca="1">IF(petla_placowa_wlaczona,'Tablica IO'!AN326*$CB$93,'Tablica IO'!AN326*1)</f>
        <v>0.16954754781883249</v>
      </c>
      <c r="AO8" s="202">
        <f ca="1">IF(petla_placowa_wlaczona,'Tablica IO'!AO326*$CB$93,'Tablica IO'!AO326*1)</f>
        <v>0.11290355373039271</v>
      </c>
      <c r="AP8" s="202">
        <f ca="1">IF(petla_placowa_wlaczona,'Tablica IO'!AP326*$CB$93,'Tablica IO'!AP326*1)</f>
        <v>0.19739640265175243</v>
      </c>
      <c r="AQ8" s="202">
        <f ca="1">IF(petla_placowa_wlaczona,'Tablica IO'!AQ326*$CB$93,'Tablica IO'!AQ326*1)</f>
        <v>0.25197302305028191</v>
      </c>
      <c r="AR8" s="202">
        <f ca="1">IF(petla_placowa_wlaczona,'Tablica IO'!AR326*$CB$93,'Tablica IO'!AR326*1)</f>
        <v>0.22528900497098964</v>
      </c>
      <c r="AS8" s="202">
        <f ca="1">IF(petla_placowa_wlaczona,'Tablica IO'!AS326*$CB$93,'Tablica IO'!AS326*1)</f>
        <v>0.28610312449179881</v>
      </c>
      <c r="AT8" s="202">
        <f ca="1">IF(petla_placowa_wlaczona,'Tablica IO'!AT326*$CB$93,'Tablica IO'!AT326*1)</f>
        <v>9.638940904362675E-2</v>
      </c>
      <c r="AU8" s="202">
        <f ca="1">IF(petla_placowa_wlaczona,'Tablica IO'!AU326*$CB$93,'Tablica IO'!AU326*1)</f>
        <v>0.17527068398576576</v>
      </c>
      <c r="AV8" s="202">
        <f ca="1">IF(petla_placowa_wlaczona,'Tablica IO'!AV326*$CB$93,'Tablica IO'!AV326*1)</f>
        <v>0.11392824483021795</v>
      </c>
      <c r="AW8" s="202">
        <f ca="1">IF(petla_placowa_wlaczona,'Tablica IO'!AW326*$CB$93,'Tablica IO'!AW326*1)</f>
        <v>0.29931721660799615</v>
      </c>
      <c r="AX8" s="202">
        <f ca="1">IF(petla_placowa_wlaczona,'Tablica IO'!AX326*$CB$93,'Tablica IO'!AX326*1)</f>
        <v>0.24251007723156318</v>
      </c>
      <c r="AY8" s="202">
        <f ca="1">IF(petla_placowa_wlaczona,'Tablica IO'!AY326*$CB$93,'Tablica IO'!AY326*1)</f>
        <v>0.29109833648702682</v>
      </c>
      <c r="AZ8" s="202">
        <f ca="1">IF(petla_placowa_wlaczona,'Tablica IO'!AZ326*$CB$93,'Tablica IO'!AZ326*1)</f>
        <v>0.13005792718617623</v>
      </c>
      <c r="BA8" s="202">
        <f ca="1">IF(petla_placowa_wlaczona,'Tablica IO'!BA326*$CB$93,'Tablica IO'!BA326*1)</f>
        <v>0.26328758606597452</v>
      </c>
      <c r="BB8" s="202">
        <f ca="1">IF(petla_placowa_wlaczona,'Tablica IO'!BB326*$CB$93,'Tablica IO'!BB326*1)</f>
        <v>7.6492316104269903E-2</v>
      </c>
      <c r="BC8" s="202">
        <f ca="1">IF(petla_placowa_wlaczona,'Tablica IO'!BC326*$CB$93,'Tablica IO'!BC326*1)</f>
        <v>0.25210057259207486</v>
      </c>
      <c r="BD8" s="202">
        <f ca="1">IF(petla_placowa_wlaczona,'Tablica IO'!BD326*$CB$93,'Tablica IO'!BD326*1)</f>
        <v>0.24306961160435192</v>
      </c>
      <c r="BE8" s="202">
        <f ca="1">IF(petla_placowa_wlaczona,'Tablica IO'!BE326*$CB$93,'Tablica IO'!BE326*1)</f>
        <v>0.194807350853829</v>
      </c>
      <c r="BF8" s="202">
        <f ca="1">IF(petla_placowa_wlaczona,'Tablica IO'!BF326*$CB$93,'Tablica IO'!BF326*1)</f>
        <v>0.46145549313770384</v>
      </c>
      <c r="BG8" s="202">
        <f ca="1">IF(petla_placowa_wlaczona,'Tablica IO'!BG326*$CB$93,'Tablica IO'!BG326*1)</f>
        <v>0.13509823104178381</v>
      </c>
      <c r="BH8" s="202">
        <f ca="1">IF(petla_placowa_wlaczona,'Tablica IO'!BH326*$CB$93,'Tablica IO'!BH326*1)</f>
        <v>0.13269211611244291</v>
      </c>
      <c r="BI8" s="202">
        <f ca="1">IF(petla_placowa_wlaczona,'Tablica IO'!BI326*$CB$93,'Tablica IO'!BI326*1)</f>
        <v>9.0530435892535899E-2</v>
      </c>
      <c r="BJ8" s="202">
        <f ca="1">IF(petla_placowa_wlaczona,'Tablica IO'!BJ326*$CB$93,'Tablica IO'!BJ326*1)</f>
        <v>0.14299056968714161</v>
      </c>
      <c r="BK8" s="202">
        <f ca="1">IF(petla_placowa_wlaczona,'Tablica IO'!BK326*$CB$93,'Tablica IO'!BK326*1)</f>
        <v>0.75351606637419422</v>
      </c>
      <c r="BL8" s="202">
        <f ca="1">IF(petla_placowa_wlaczona,'Tablica IO'!BL326*$CB$93,'Tablica IO'!BL326*1)</f>
        <v>6.7691843450329497E-2</v>
      </c>
      <c r="BM8" s="202">
        <f ca="1">IF(petla_placowa_wlaczona,'Tablica IO'!BM326*$CB$93,'Tablica IO'!BM326*1)</f>
        <v>0.69113861968306234</v>
      </c>
      <c r="BN8" s="202">
        <f ca="1">IF(petla_placowa_wlaczona,'Tablica IO'!BN326*$CB$93,'Tablica IO'!BN326*1)</f>
        <v>0.28677300825302388</v>
      </c>
      <c r="BO8" s="202">
        <f ca="1">IF(petla_placowa_wlaczona,'Tablica IO'!BO326*$CB$93,'Tablica IO'!BO326*1)</f>
        <v>0.31098554602268103</v>
      </c>
      <c r="BP8" s="202">
        <f ca="1">IF(petla_placowa_wlaczona,'Tablica IO'!BP326*$CB$93,'Tablica IO'!BP326*1)</f>
        <v>0.77280848747474118</v>
      </c>
      <c r="BQ8" s="202">
        <f ca="1">IF(petla_placowa_wlaczona,'Tablica IO'!BQ326*$CB$93,'Tablica IO'!BQ326*1)</f>
        <v>0.75345422370246606</v>
      </c>
      <c r="BR8" s="202">
        <f ca="1">IF(petla_placowa_wlaczona,'Tablica IO'!BR326*$CB$93,'Tablica IO'!BR326*1)</f>
        <v>0.31731671478734447</v>
      </c>
      <c r="BS8" s="202">
        <f ca="1">IF(petla_placowa_wlaczona,'Tablica IO'!BS326*$CB$93,'Tablica IO'!BS326*1)</f>
        <v>0.72086966908118</v>
      </c>
      <c r="BT8" s="202">
        <f ca="1">IF(petla_placowa_wlaczona,'Tablica IO'!BT326*$CB$93,'Tablica IO'!BT326*1)</f>
        <v>0.44933609555773768</v>
      </c>
      <c r="BU8" s="202">
        <f ca="1">IF(petla_placowa_wlaczona,'Tablica IO'!BU326*$CB$93,'Tablica IO'!BU326*1)</f>
        <v>0.29844724388081306</v>
      </c>
      <c r="BV8" s="202">
        <f ca="1">IF(petla_placowa_wlaczona,'Tablica IO'!BV326*$CB$93,'Tablica IO'!BV326*1)</f>
        <v>0.29898999877077104</v>
      </c>
      <c r="BW8" s="202">
        <f ca="1">IF(petla_placowa_wlaczona,'Tablica IO'!BW326*$CB$93,'Tablica IO'!BW326*1)</f>
        <v>0.27647894067701256</v>
      </c>
      <c r="BX8" s="202">
        <f ca="1">IF(petla_placowa_wlaczona,'Tablica IO'!BX326*$CB$93,'Tablica IO'!BX326*1)</f>
        <v>0.3897851201337188</v>
      </c>
      <c r="BY8" s="202">
        <f ca="1">IF(petla_placowa_wlaczona,'Tablica IO'!BY326*$CB$93,'Tablica IO'!BY326*1)</f>
        <v>0.36711287651022279</v>
      </c>
      <c r="BZ8" s="202">
        <f ca="1">IF(petla_placowa_wlaczona,'Tablica IO'!BZ326*$CB$93,'Tablica IO'!BZ326*1)</f>
        <v>0.15784293887313594</v>
      </c>
      <c r="CA8" s="203">
        <f ca="1">IF(petla_placowa_wlaczona,'Tablica IO'!CA326*$CB$93,'Tablica IO'!CA326*1)</f>
        <v>9.6755004741559125E-2</v>
      </c>
      <c r="CB8" s="15"/>
      <c r="CC8" s="15"/>
      <c r="CD8" s="15"/>
      <c r="CE8" s="15"/>
    </row>
    <row r="9" spans="1:83" ht="22.2" thickBot="1" x14ac:dyDescent="0.5">
      <c r="B9" s="204" t="s">
        <v>196</v>
      </c>
      <c r="C9" s="205">
        <f>'Tablica IO'!C325</f>
        <v>0.32207852025901734</v>
      </c>
      <c r="D9" s="206">
        <f>'Tablica IO'!D325</f>
        <v>0.22442475114246957</v>
      </c>
      <c r="E9" s="206">
        <f>'Tablica IO'!E325</f>
        <v>0.39688943140163518</v>
      </c>
      <c r="F9" s="206">
        <f>'Tablica IO'!F325</f>
        <v>0.16359230643676698</v>
      </c>
      <c r="G9" s="206">
        <f>'Tablica IO'!G325</f>
        <v>0.22676136443674372</v>
      </c>
      <c r="H9" s="206">
        <f>'Tablica IO'!H325</f>
        <v>0.1213443812686181</v>
      </c>
      <c r="I9" s="206">
        <f>'Tablica IO'!I325</f>
        <v>0.20027111805455666</v>
      </c>
      <c r="J9" s="206">
        <f>'Tablica IO'!J325</f>
        <v>0.55329597009650466</v>
      </c>
      <c r="K9" s="206">
        <f>'Tablica IO'!K325</f>
        <v>0.10721335841912216</v>
      </c>
      <c r="L9" s="206">
        <f>'Tablica IO'!L325</f>
        <v>0.24638774003014613</v>
      </c>
      <c r="M9" s="206">
        <f>'Tablica IO'!M325</f>
        <v>0.1685682531549875</v>
      </c>
      <c r="N9" s="206">
        <f>'Tablica IO'!N325</f>
        <v>0.18587349054803187</v>
      </c>
      <c r="O9" s="206">
        <f>'Tablica IO'!O325</f>
        <v>0.19429550806552237</v>
      </c>
      <c r="P9" s="206">
        <f>'Tablica IO'!P325</f>
        <v>0.13738814541962791</v>
      </c>
      <c r="Q9" s="206">
        <f>'Tablica IO'!Q325</f>
        <v>0.10803768671271335</v>
      </c>
      <c r="R9" s="206">
        <f>'Tablica IO'!R325</f>
        <v>0.21260583860713278</v>
      </c>
      <c r="S9" s="206">
        <f>'Tablica IO'!S325</f>
        <v>0.15850930820425113</v>
      </c>
      <c r="T9" s="206">
        <f>'Tablica IO'!T325</f>
        <v>0.15011666855636116</v>
      </c>
      <c r="U9" s="206">
        <f>'Tablica IO'!U325</f>
        <v>0.21687893847198841</v>
      </c>
      <c r="V9" s="206">
        <f>'Tablica IO'!V325</f>
        <v>0.11358071698609168</v>
      </c>
      <c r="W9" s="206">
        <f>'Tablica IO'!W325</f>
        <v>0.20600493086852464</v>
      </c>
      <c r="X9" s="206">
        <f>'Tablica IO'!X325</f>
        <v>8.3159194023115737E-2</v>
      </c>
      <c r="Y9" s="206">
        <f>'Tablica IO'!Y325</f>
        <v>0.17491912204749976</v>
      </c>
      <c r="Z9" s="206">
        <f>'Tablica IO'!Z325</f>
        <v>0.17649813117328303</v>
      </c>
      <c r="AA9" s="206">
        <f>'Tablica IO'!AA325</f>
        <v>7.8560025767798414E-2</v>
      </c>
      <c r="AB9" s="206">
        <f>'Tablica IO'!AB325</f>
        <v>0.20748877683604508</v>
      </c>
      <c r="AC9" s="206">
        <f>'Tablica IO'!AC325</f>
        <v>0.16068995816346268</v>
      </c>
      <c r="AD9" s="206">
        <f>'Tablica IO'!AD325</f>
        <v>0.25469620109963598</v>
      </c>
      <c r="AE9" s="206">
        <f>'Tablica IO'!AE325</f>
        <v>0.27643592849922372</v>
      </c>
      <c r="AF9" s="206">
        <f>'Tablica IO'!AF325</f>
        <v>0.33183510668027932</v>
      </c>
      <c r="AG9" s="206">
        <f>'Tablica IO'!AG325</f>
        <v>0.45196739942679098</v>
      </c>
      <c r="AH9" s="206">
        <f>'Tablica IO'!AH325</f>
        <v>0.19447865557992361</v>
      </c>
      <c r="AI9" s="206">
        <f>'Tablica IO'!AI325</f>
        <v>0.38682992893679213</v>
      </c>
      <c r="AJ9" s="206">
        <f>'Tablica IO'!AJ325</f>
        <v>0.26512590584807444</v>
      </c>
      <c r="AK9" s="206">
        <f>'Tablica IO'!AK325</f>
        <v>0.53165359506520049</v>
      </c>
      <c r="AL9" s="206">
        <f>'Tablica IO'!AL325</f>
        <v>0.33461428022337636</v>
      </c>
      <c r="AM9" s="206">
        <f>'Tablica IO'!AM325</f>
        <v>0.48802145480036496</v>
      </c>
      <c r="AN9" s="206">
        <f>'Tablica IO'!AN325</f>
        <v>0.32479105965527277</v>
      </c>
      <c r="AO9" s="206">
        <f>'Tablica IO'!AO325</f>
        <v>0.24819162704316566</v>
      </c>
      <c r="AP9" s="206">
        <f>'Tablica IO'!AP325</f>
        <v>0.32596300986109228</v>
      </c>
      <c r="AQ9" s="206">
        <f>'Tablica IO'!AQ325</f>
        <v>0.30339890275904674</v>
      </c>
      <c r="AR9" s="206">
        <f>'Tablica IO'!AR325</f>
        <v>0.24406289876272705</v>
      </c>
      <c r="AS9" s="206">
        <f>'Tablica IO'!AS325</f>
        <v>0.19950892409980697</v>
      </c>
      <c r="AT9" s="206">
        <f>'Tablica IO'!AT325</f>
        <v>0.29475458583075176</v>
      </c>
      <c r="AU9" s="206">
        <f>'Tablica IO'!AU325</f>
        <v>0.35296029032602566</v>
      </c>
      <c r="AV9" s="206">
        <f>'Tablica IO'!AV325</f>
        <v>0.34572789577553287</v>
      </c>
      <c r="AW9" s="206">
        <f>'Tablica IO'!AW325</f>
        <v>0.33508611943944216</v>
      </c>
      <c r="AX9" s="206">
        <f>'Tablica IO'!AX325</f>
        <v>0.27853940242102382</v>
      </c>
      <c r="AY9" s="206">
        <f>'Tablica IO'!AY325</f>
        <v>0.42952312892940925</v>
      </c>
      <c r="AZ9" s="206">
        <f>'Tablica IO'!AZ325</f>
        <v>0.3361706498624365</v>
      </c>
      <c r="BA9" s="206">
        <f>'Tablica IO'!BA325</f>
        <v>0.21551995809666644</v>
      </c>
      <c r="BB9" s="206">
        <f>'Tablica IO'!BB325</f>
        <v>0.51530429751354689</v>
      </c>
      <c r="BC9" s="206">
        <f>'Tablica IO'!BC325</f>
        <v>0.4553496687873394</v>
      </c>
      <c r="BD9" s="206">
        <f>'Tablica IO'!BD325</f>
        <v>0.35689280061174616</v>
      </c>
      <c r="BE9" s="206">
        <f>'Tablica IO'!BE325</f>
        <v>0.41512473290063823</v>
      </c>
      <c r="BF9" s="206">
        <f>'Tablica IO'!BF325</f>
        <v>0.30614454744603647</v>
      </c>
      <c r="BG9" s="206">
        <f>'Tablica IO'!BG325</f>
        <v>0.32238202108653496</v>
      </c>
      <c r="BH9" s="206">
        <f>'Tablica IO'!BH325</f>
        <v>0.51271578453376898</v>
      </c>
      <c r="BI9" s="206">
        <f>'Tablica IO'!BI325</f>
        <v>0.64104366571377625</v>
      </c>
      <c r="BJ9" s="206">
        <f>'Tablica IO'!BJ325</f>
        <v>0.53187633333961049</v>
      </c>
      <c r="BK9" s="206">
        <f>'Tablica IO'!BK325</f>
        <v>0.10362945993947141</v>
      </c>
      <c r="BL9" s="206">
        <f>'Tablica IO'!BL325</f>
        <v>0.11988940872547876</v>
      </c>
      <c r="BM9" s="206">
        <f>'Tablica IO'!BM325</f>
        <v>1.0829919483093114E-2</v>
      </c>
      <c r="BN9" s="206">
        <f>'Tablica IO'!BN325</f>
        <v>0.2351186479427185</v>
      </c>
      <c r="BO9" s="206">
        <f>'Tablica IO'!BO325</f>
        <v>0.31592367118845976</v>
      </c>
      <c r="BP9" s="206">
        <f>'Tablica IO'!BP325</f>
        <v>0.13184538030985871</v>
      </c>
      <c r="BQ9" s="206">
        <f>'Tablica IO'!BQ325</f>
        <v>0.14723510587438665</v>
      </c>
      <c r="BR9" s="206">
        <f>'Tablica IO'!BR325</f>
        <v>0.33399504459743079</v>
      </c>
      <c r="BS9" s="206">
        <f>'Tablica IO'!BS325</f>
        <v>6.9662601181396722E-2</v>
      </c>
      <c r="BT9" s="206">
        <f>'Tablica IO'!BT325</f>
        <v>0.17966111185052941</v>
      </c>
      <c r="BU9" s="206">
        <f>'Tablica IO'!BU325</f>
        <v>0.28774892162178595</v>
      </c>
      <c r="BV9" s="206">
        <f>'Tablica IO'!BV325</f>
        <v>0.29111066772273714</v>
      </c>
      <c r="BW9" s="206">
        <f>'Tablica IO'!BW325</f>
        <v>0.22918884535010584</v>
      </c>
      <c r="BX9" s="206">
        <f>'Tablica IO'!BX325</f>
        <v>-5.3315727645113506E-3</v>
      </c>
      <c r="BY9" s="206">
        <f>'Tablica IO'!BY325</f>
        <v>0.42005087816630537</v>
      </c>
      <c r="BZ9" s="206">
        <f>'Tablica IO'!BZ325</f>
        <v>0.55454337096061823</v>
      </c>
      <c r="CA9" s="207">
        <f>'Tablica IO'!CA325</f>
        <v>0.91658766744106246</v>
      </c>
      <c r="CB9" s="15"/>
      <c r="CC9" s="15"/>
      <c r="CD9" s="15"/>
      <c r="CE9" s="15"/>
    </row>
    <row r="10" spans="1:83" ht="21" thickBot="1" x14ac:dyDescent="0.5">
      <c r="B10" s="216" t="s">
        <v>197</v>
      </c>
      <c r="C10" s="217">
        <f ca="1">C8+C9+C3</f>
        <v>0.40664562796079934</v>
      </c>
      <c r="D10" s="217">
        <f t="shared" ref="D10" ca="1" si="0">D8+D9+D3</f>
        <v>2.5638160876973584</v>
      </c>
      <c r="E10" s="217">
        <f t="shared" ref="E10" ca="1" si="1">E8+E9+E3</f>
        <v>0.59153154717118395</v>
      </c>
      <c r="F10" s="217">
        <f ca="1">F8+F9+F3</f>
        <v>0.67369454057132305</v>
      </c>
      <c r="G10" s="217">
        <f t="shared" ref="G10" ca="1" si="2">G8+G9+G3</f>
        <v>0.53533099607375156</v>
      </c>
      <c r="H10" s="217">
        <f t="shared" ref="H10" ca="1" si="3">H8+H9+H3</f>
        <v>0.2374948632094166</v>
      </c>
      <c r="I10" s="217">
        <f t="shared" ref="I10" ca="1" si="4">I8+I9+I3</f>
        <v>0.31450566934079699</v>
      </c>
      <c r="J10" s="217">
        <f t="shared" ref="J10" ca="1" si="5">J8+J9+J3</f>
        <v>0.64667847487633623</v>
      </c>
      <c r="K10" s="217">
        <f t="shared" ref="K10" ca="1" si="6">K8+K9+K3</f>
        <v>0.28649386500074792</v>
      </c>
      <c r="L10" s="217">
        <f t="shared" ref="L10" ca="1" si="7">L8+L9+L3</f>
        <v>0.56779342087471396</v>
      </c>
      <c r="M10" s="217">
        <f t="shared" ref="M10" ca="1" si="8">M8+M9+M3</f>
        <v>0.35727442025461753</v>
      </c>
      <c r="N10" s="217">
        <f t="shared" ref="N10" ca="1" si="9">N8+N9+N3</f>
        <v>0.32891561695771765</v>
      </c>
      <c r="O10" s="217">
        <f t="shared" ref="O10" ca="1" si="10">O8+O9+O3</f>
        <v>0.30627543097543547</v>
      </c>
      <c r="P10" s="217">
        <f t="shared" ref="P10" ca="1" si="11">P8+P9+P3</f>
        <v>0.36435777591535629</v>
      </c>
      <c r="Q10" s="217">
        <f t="shared" ref="Q10" ca="1" si="12">Q8+Q9+Q3</f>
        <v>0.13526497060732848</v>
      </c>
      <c r="R10" s="217">
        <f t="shared" ref="R10" ca="1" si="13">R8+R9+R3</f>
        <v>0.31879682276060967</v>
      </c>
      <c r="S10" s="217">
        <f t="shared" ref="S10" ca="1" si="14">S8+S9+S3</f>
        <v>0.32094661211467629</v>
      </c>
      <c r="T10" s="217">
        <f t="shared" ref="T10" ca="1" si="15">T8+T9+T3</f>
        <v>0.30253804870685075</v>
      </c>
      <c r="U10" s="217">
        <f t="shared" ref="U10" ca="1" si="16">U8+U9+U3</f>
        <v>0.38126668857679868</v>
      </c>
      <c r="V10" s="217">
        <f t="shared" ref="V10" ca="1" si="17">V8+V9+V3</f>
        <v>0.22153953896517969</v>
      </c>
      <c r="W10" s="217">
        <f t="shared" ref="W10" ca="1" si="18">W8+W9+W3</f>
        <v>0.40380368307812764</v>
      </c>
      <c r="X10" s="217">
        <f t="shared" ref="X10" ca="1" si="19">X8+X9+X3</f>
        <v>0.1800482363228986</v>
      </c>
      <c r="Y10" s="217">
        <f t="shared" ref="Y10" ca="1" si="20">Y8+Y9+Y3</f>
        <v>0.30827868229211752</v>
      </c>
      <c r="Z10" s="217">
        <f t="shared" ref="Z10" ca="1" si="21">Z8+Z9+Z3</f>
        <v>0.39687844271513312</v>
      </c>
      <c r="AA10" s="217">
        <f t="shared" ref="AA10" ca="1" si="22">AA8+AA9+AA3</f>
        <v>0.17937101392662066</v>
      </c>
      <c r="AB10" s="217">
        <f t="shared" ref="AB10" ca="1" si="23">AB8+AB9+AB3</f>
        <v>0.37634912354072425</v>
      </c>
      <c r="AC10" s="217">
        <f t="shared" ref="AC10" ca="1" si="24">AC8+AC9+AC3</f>
        <v>0.35945199644501358</v>
      </c>
      <c r="AD10" s="217">
        <f t="shared" ref="AD10" ca="1" si="25">AD8+AD9+AD3</f>
        <v>0.43919563285124841</v>
      </c>
      <c r="AE10" s="217">
        <f t="shared" ref="AE10" ca="1" si="26">AE8+AE9+AE3</f>
        <v>0.49086106665049956</v>
      </c>
      <c r="AF10" s="217">
        <f t="shared" ref="AF10" ca="1" si="27">AF8+AF9+AF3</f>
        <v>0.45852671192598338</v>
      </c>
      <c r="AG10" s="217">
        <f t="shared" ref="AG10" ca="1" si="28">AG8+AG9+AG3</f>
        <v>0.75274530188151534</v>
      </c>
      <c r="AH10" s="217">
        <f t="shared" ref="AH10" ca="1" si="29">AH8+AH9+AH3</f>
        <v>0.42035321899565425</v>
      </c>
      <c r="AI10" s="217">
        <f t="shared" ref="AI10" ca="1" si="30">AI8+AI9+AI3</f>
        <v>0.70654234949828409</v>
      </c>
      <c r="AJ10" s="217">
        <f t="shared" ref="AJ10" ca="1" si="31">AJ8+AJ9+AJ3</f>
        <v>0.4125693871620229</v>
      </c>
      <c r="AK10" s="217">
        <f t="shared" ref="AK10" ca="1" si="32">AK8+AK9+AK3</f>
        <v>0.63657715427099504</v>
      </c>
      <c r="AL10" s="217">
        <f t="shared" ref="AL10" ca="1" si="33">AL8+AL9+AL3</f>
        <v>0.54898410630323968</v>
      </c>
      <c r="AM10" s="217">
        <f t="shared" ref="AM10" ca="1" si="34">AM8+AM9+AM3</f>
        <v>0.72693038990137182</v>
      </c>
      <c r="AN10" s="217">
        <f t="shared" ref="AN10" ca="1" si="35">AN8+AN9+AN3</f>
        <v>0.4943386074741053</v>
      </c>
      <c r="AO10" s="217">
        <f t="shared" ref="AO10" ca="1" si="36">AO8+AO9+AO3</f>
        <v>0.3610951807735584</v>
      </c>
      <c r="AP10" s="217">
        <f t="shared" ref="AP10" ca="1" si="37">AP8+AP9+AP3</f>
        <v>0.52335941251284468</v>
      </c>
      <c r="AQ10" s="217">
        <f t="shared" ref="AQ10" ca="1" si="38">AQ8+AQ9+AQ3</f>
        <v>0.55537192580932859</v>
      </c>
      <c r="AR10" s="217">
        <f t="shared" ref="AR10" ca="1" si="39">AR8+AR9+AR3</f>
        <v>0.46935190373371671</v>
      </c>
      <c r="AS10" s="217">
        <f t="shared" ref="AS10" ca="1" si="40">AS8+AS9+AS3</f>
        <v>0.48561204859160578</v>
      </c>
      <c r="AT10" s="217">
        <f t="shared" ref="AT10" ca="1" si="41">AT8+AT9+AT3</f>
        <v>0.39114399487437851</v>
      </c>
      <c r="AU10" s="217">
        <f t="shared" ref="AU10" ca="1" si="42">AU8+AU9+AU3</f>
        <v>0.52823097431179145</v>
      </c>
      <c r="AV10" s="217">
        <f t="shared" ref="AV10" ca="1" si="43">AV8+AV9+AV3</f>
        <v>0.45965614060575083</v>
      </c>
      <c r="AW10" s="217">
        <f t="shared" ref="AW10" ca="1" si="44">AW8+AW9+AW3</f>
        <v>0.63440333604743837</v>
      </c>
      <c r="AX10" s="217">
        <f t="shared" ref="AX10" ca="1" si="45">AX8+AX9+AX3</f>
        <v>0.52104947965258697</v>
      </c>
      <c r="AY10" s="217">
        <f t="shared" ref="AY10" ca="1" si="46">AY8+AY9+AY3</f>
        <v>0.72062146541643601</v>
      </c>
      <c r="AZ10" s="217">
        <f t="shared" ref="AZ10" ca="1" si="47">AZ8+AZ9+AZ3</f>
        <v>0.46622857704861276</v>
      </c>
      <c r="BA10" s="217">
        <f t="shared" ref="BA10" ca="1" si="48">BA8+BA9+BA3</f>
        <v>0.47880754416264093</v>
      </c>
      <c r="BB10" s="217">
        <f t="shared" ref="BB10" ca="1" si="49">BB8+BB9+BB3</f>
        <v>0.59179661361781677</v>
      </c>
      <c r="BC10" s="217">
        <f t="shared" ref="BC10" ca="1" si="50">BC8+BC9+BC3</f>
        <v>0.70745024137941426</v>
      </c>
      <c r="BD10" s="217">
        <f t="shared" ref="BD10" ca="1" si="51">BD8+BD9+BD3</f>
        <v>0.59996241221609803</v>
      </c>
      <c r="BE10" s="217">
        <f t="shared" ref="BE10" ca="1" si="52">BE8+BE9+BE3</f>
        <v>0.60993208375446728</v>
      </c>
      <c r="BF10" s="217">
        <f t="shared" ref="BF10" ca="1" si="53">BF8+BF9+BF3</f>
        <v>0.76760004058374032</v>
      </c>
      <c r="BG10" s="217">
        <f t="shared" ref="BG10" ca="1" si="54">BG8+BG9+BG3</f>
        <v>0.45748025212831878</v>
      </c>
      <c r="BH10" s="217">
        <f t="shared" ref="BH10" ca="1" si="55">BH8+BH9+BH3</f>
        <v>0.6454079006462119</v>
      </c>
      <c r="BI10" s="217">
        <f t="shared" ref="BI10" ca="1" si="56">BI8+BI9+BI3</f>
        <v>0.7315741016063122</v>
      </c>
      <c r="BJ10" s="217">
        <f t="shared" ref="BJ10" ca="1" si="57">BJ8+BJ9+BJ3</f>
        <v>0.67486690302675212</v>
      </c>
      <c r="BK10" s="217">
        <f t="shared" ref="BK10" ca="1" si="58">BK8+BK9+BK3</f>
        <v>0.85714552631366558</v>
      </c>
      <c r="BL10" s="217">
        <f t="shared" ref="BL10" ca="1" si="59">BL8+BL9+BL3</f>
        <v>0.18758125217580826</v>
      </c>
      <c r="BM10" s="217">
        <f t="shared" ref="BM10" ca="1" si="60">BM8+BM9+BM3</f>
        <v>0.70196853916615543</v>
      </c>
      <c r="BN10" s="217">
        <f t="shared" ref="BN10" ca="1" si="61">BN8+BN9+BN3</f>
        <v>0.5218916561957424</v>
      </c>
      <c r="BO10" s="217">
        <f t="shared" ref="BO10" ca="1" si="62">BO8+BO9+BO3</f>
        <v>0.62690921721114079</v>
      </c>
      <c r="BP10" s="217">
        <f t="shared" ref="BP10" ca="1" si="63">BP8+BP9+BP3</f>
        <v>0.90465386778459989</v>
      </c>
      <c r="BQ10" s="217">
        <f t="shared" ref="BQ10" ca="1" si="64">BQ8+BQ9+BQ3</f>
        <v>0.90068932957685277</v>
      </c>
      <c r="BR10" s="217">
        <f t="shared" ref="BR10" ca="1" si="65">BR8+BR9+BR3</f>
        <v>0.65131175938477526</v>
      </c>
      <c r="BS10" s="217">
        <f t="shared" ref="BS10" ca="1" si="66">BS8+BS9+BS3</f>
        <v>0.79053227026257678</v>
      </c>
      <c r="BT10" s="217">
        <f t="shared" ref="BT10" ca="1" si="67">BT8+BT9+BT3</f>
        <v>0.62899720740826703</v>
      </c>
      <c r="BU10" s="217">
        <f t="shared" ref="BU10" ca="1" si="68">BU8+BU9+BU3</f>
        <v>0.58619616550259901</v>
      </c>
      <c r="BV10" s="217">
        <f t="shared" ref="BV10" ca="1" si="69">BV8+BV9+BV3</f>
        <v>0.59010066649350823</v>
      </c>
      <c r="BW10" s="217">
        <f t="shared" ref="BW10" ca="1" si="70">BW8+BW9+BW3</f>
        <v>0.50566778602711837</v>
      </c>
      <c r="BX10" s="217">
        <f t="shared" ref="BX10" ca="1" si="71">BX8+BX9+BX3</f>
        <v>0.38445354736920745</v>
      </c>
      <c r="BY10" s="217">
        <f t="shared" ref="BY10" ca="1" si="72">BY8+BY9+BY3</f>
        <v>0.78716375467652822</v>
      </c>
      <c r="BZ10" s="217">
        <f t="shared" ref="BZ10" ca="1" si="73">BZ8+BZ9+BZ3</f>
        <v>0.71238630983375417</v>
      </c>
      <c r="CA10" s="218">
        <f t="shared" ref="CA10" ca="1" si="74">CA8+CA9+CA3</f>
        <v>1.0133426721826215</v>
      </c>
      <c r="CB10" s="15"/>
      <c r="CC10" s="15"/>
      <c r="CD10" s="15"/>
      <c r="CE10" s="15"/>
    </row>
    <row r="11" spans="1:83" ht="14.4" thickBot="1" x14ac:dyDescent="0.3">
      <c r="B11" s="15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5"/>
      <c r="CC11" s="15"/>
      <c r="CD11" s="15"/>
      <c r="CE11" s="15"/>
    </row>
    <row r="12" spans="1:83" ht="21" thickBot="1" x14ac:dyDescent="0.5">
      <c r="B12" s="225" t="s">
        <v>198</v>
      </c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5"/>
      <c r="CC12" s="15"/>
      <c r="CD12" s="15"/>
      <c r="CE12" s="15"/>
    </row>
    <row r="13" spans="1:83" x14ac:dyDescent="0.25">
      <c r="A13" s="164">
        <v>1</v>
      </c>
      <c r="B13" s="171" t="s">
        <v>0</v>
      </c>
      <c r="C13" s="219" cm="1">
        <f t="array" aca="1" ref="C13" ca="1">'Tablica IO'!C169*INDEX(Model!$C$93:$CA$93,Model!$A13) + IF(wplyw_cen_import_wlaczony,'Tablica IO'!C247*INDEX(Model!$C$2:$CA$2,Model!$A13),'Tablica IO'!C247*1)</f>
        <v>0.26812178668773962</v>
      </c>
      <c r="D13" s="220" cm="1">
        <f t="array" aca="1" ref="D13" ca="1">'Tablica IO'!D169*INDEX(Model!$C$93:$CA$93,Model!$A13) + IF(wplyw_cen_import_wlaczony,'Tablica IO'!D247*INDEX(Model!$C$2:$CA$2,Model!$A13),'Tablica IO'!D247*1)</f>
        <v>4.0641948790084005E-4</v>
      </c>
      <c r="E13" s="220" cm="1">
        <f t="array" aca="1" ref="E13" ca="1">'Tablica IO'!E169*INDEX(Model!$C$93:$CA$93,Model!$A13) + IF(wplyw_cen_import_wlaczony,'Tablica IO'!E247*INDEX(Model!$C$2:$CA$2,Model!$A13),'Tablica IO'!E247*1)</f>
        <v>5.1015165771854568E-2</v>
      </c>
      <c r="F13" s="220" cm="1">
        <f t="array" aca="1" ref="F13" ca="1">'Tablica IO'!F169*INDEX(Model!$C$93:$CA$93,Model!$A13) + IF(wplyw_cen_import_wlaczony,'Tablica IO'!F247*INDEX(Model!$C$2:$CA$2,Model!$A13),'Tablica IO'!F247*1)</f>
        <v>3.5023124544128652E-5</v>
      </c>
      <c r="G13" s="220" cm="1">
        <f t="array" aca="1" ref="G13" ca="1">'Tablica IO'!G169*INDEX(Model!$C$93:$CA$93,Model!$A13) + IF(wplyw_cen_import_wlaczony,'Tablica IO'!G247*INDEX(Model!$C$2:$CA$2,Model!$A13),'Tablica IO'!G247*1)</f>
        <v>3.4636922500218828E-4</v>
      </c>
      <c r="H13" s="220" cm="1">
        <f t="array" aca="1" ref="H13" ca="1">'Tablica IO'!H169*INDEX(Model!$C$93:$CA$93,Model!$A13) + IF(wplyw_cen_import_wlaczony,'Tablica IO'!H247*INDEX(Model!$C$2:$CA$2,Model!$A13),'Tablica IO'!H247*1)</f>
        <v>0.54364315052142276</v>
      </c>
      <c r="I13" s="220" cm="1">
        <f t="array" aca="1" ref="I13" ca="1">'Tablica IO'!I169*INDEX(Model!$C$93:$CA$93,Model!$A13) + IF(wplyw_cen_import_wlaczony,'Tablica IO'!I247*INDEX(Model!$C$2:$CA$2,Model!$A13),'Tablica IO'!I247*1)</f>
        <v>0.11964111535116181</v>
      </c>
      <c r="J13" s="220" cm="1">
        <f t="array" aca="1" ref="J13" ca="1">'Tablica IO'!J169*INDEX(Model!$C$93:$CA$93,Model!$A13) + IF(wplyw_cen_import_wlaczony,'Tablica IO'!J247*INDEX(Model!$C$2:$CA$2,Model!$A13),'Tablica IO'!J247*1)</f>
        <v>0.70314750433422213</v>
      </c>
      <c r="K13" s="220" cm="1">
        <f t="array" aca="1" ref="K13" ca="1">'Tablica IO'!K169*INDEX(Model!$C$93:$CA$93,Model!$A13) + IF(wplyw_cen_import_wlaczony,'Tablica IO'!K247*INDEX(Model!$C$2:$CA$2,Model!$A13),'Tablica IO'!K247*1)</f>
        <v>1.1754751537863324E-2</v>
      </c>
      <c r="L13" s="220" cm="1">
        <f t="array" aca="1" ref="L13" ca="1">'Tablica IO'!L169*INDEX(Model!$C$93:$CA$93,Model!$A13) + IF(wplyw_cen_import_wlaczony,'Tablica IO'!L247*INDEX(Model!$C$2:$CA$2,Model!$A13),'Tablica IO'!L247*1)</f>
        <v>5.9974165134022194E-3</v>
      </c>
      <c r="M13" s="220" cm="1">
        <f t="array" aca="1" ref="M13" ca="1">'Tablica IO'!M169*INDEX(Model!$C$93:$CA$93,Model!$A13) + IF(wplyw_cen_import_wlaczony,'Tablica IO'!M247*INDEX(Model!$C$2:$CA$2,Model!$A13),'Tablica IO'!M247*1)</f>
        <v>0.1147525489015547</v>
      </c>
      <c r="N13" s="220" cm="1">
        <f t="array" aca="1" ref="N13" ca="1">'Tablica IO'!N169*INDEX(Model!$C$93:$CA$93,Model!$A13) + IF(wplyw_cen_import_wlaczony,'Tablica IO'!N247*INDEX(Model!$C$2:$CA$2,Model!$A13),'Tablica IO'!N247*1)</f>
        <v>1.1757517554763766E-3</v>
      </c>
      <c r="O13" s="220" cm="1">
        <f t="array" aca="1" ref="O13" ca="1">'Tablica IO'!O169*INDEX(Model!$C$93:$CA$93,Model!$A13) + IF(wplyw_cen_import_wlaczony,'Tablica IO'!O247*INDEX(Model!$C$2:$CA$2,Model!$A13),'Tablica IO'!O247*1)</f>
        <v>2.2976203681653652E-3</v>
      </c>
      <c r="P13" s="220" cm="1">
        <f t="array" aca="1" ref="P13" ca="1">'Tablica IO'!P169*INDEX(Model!$C$93:$CA$93,Model!$A13) + IF(wplyw_cen_import_wlaczony,'Tablica IO'!P247*INDEX(Model!$C$2:$CA$2,Model!$A13),'Tablica IO'!P247*1)</f>
        <v>1.0355886609010442E-3</v>
      </c>
      <c r="Q13" s="220" cm="1">
        <f t="array" aca="1" ref="Q13" ca="1">'Tablica IO'!Q169*INDEX(Model!$C$93:$CA$93,Model!$A13) + IF(wplyw_cen_import_wlaczony,'Tablica IO'!Q247*INDEX(Model!$C$2:$CA$2,Model!$A13),'Tablica IO'!Q247*1)</f>
        <v>8.4285233894564524E-6</v>
      </c>
      <c r="R13" s="220" cm="1">
        <f t="array" aca="1" ref="R13" ca="1">'Tablica IO'!R169*INDEX(Model!$C$93:$CA$93,Model!$A13) + IF(wplyw_cen_import_wlaczony,'Tablica IO'!R247*INDEX(Model!$C$2:$CA$2,Model!$A13),'Tablica IO'!R247*1)</f>
        <v>1.4438515353270938E-2</v>
      </c>
      <c r="S13" s="220" cm="1">
        <f t="array" aca="1" ref="S13" ca="1">'Tablica IO'!S169*INDEX(Model!$C$93:$CA$93,Model!$A13) + IF(wplyw_cen_import_wlaczony,'Tablica IO'!S247*INDEX(Model!$C$2:$CA$2,Model!$A13),'Tablica IO'!S247*1)</f>
        <v>3.769087071936536E-2</v>
      </c>
      <c r="T13" s="220" cm="1">
        <f t="array" aca="1" ref="T13" ca="1">'Tablica IO'!T169*INDEX(Model!$C$93:$CA$93,Model!$A13) + IF(wplyw_cen_import_wlaczony,'Tablica IO'!T247*INDEX(Model!$C$2:$CA$2,Model!$A13),'Tablica IO'!T247*1)</f>
        <v>8.0161548613742889E-2</v>
      </c>
      <c r="U13" s="220" cm="1">
        <f t="array" aca="1" ref="U13" ca="1">'Tablica IO'!U169*INDEX(Model!$C$93:$CA$93,Model!$A13) + IF(wplyw_cen_import_wlaczony,'Tablica IO'!U247*INDEX(Model!$C$2:$CA$2,Model!$A13),'Tablica IO'!U247*1)</f>
        <v>5.9266491422851376E-3</v>
      </c>
      <c r="V13" s="220" cm="1">
        <f t="array" aca="1" ref="V13" ca="1">'Tablica IO'!V169*INDEX(Model!$C$93:$CA$93,Model!$A13) + IF(wplyw_cen_import_wlaczony,'Tablica IO'!V247*INDEX(Model!$C$2:$CA$2,Model!$A13),'Tablica IO'!V247*1)</f>
        <v>1.9332037083355907E-7</v>
      </c>
      <c r="W13" s="220" cm="1">
        <f t="array" aca="1" ref="W13" ca="1">'Tablica IO'!W169*INDEX(Model!$C$93:$CA$93,Model!$A13) + IF(wplyw_cen_import_wlaczony,'Tablica IO'!W247*INDEX(Model!$C$2:$CA$2,Model!$A13),'Tablica IO'!W247*1)</f>
        <v>1.8457876905421828E-4</v>
      </c>
      <c r="X13" s="220" cm="1">
        <f t="array" aca="1" ref="X13" ca="1">'Tablica IO'!X169*INDEX(Model!$C$93:$CA$93,Model!$A13) + IF(wplyw_cen_import_wlaczony,'Tablica IO'!X247*INDEX(Model!$C$2:$CA$2,Model!$A13),'Tablica IO'!X247*1)</f>
        <v>0</v>
      </c>
      <c r="Y13" s="220" cm="1">
        <f t="array" aca="1" ref="Y13" ca="1">'Tablica IO'!Y169*INDEX(Model!$C$93:$CA$93,Model!$A13) + IF(wplyw_cen_import_wlaczony,'Tablica IO'!Y247*INDEX(Model!$C$2:$CA$2,Model!$A13),'Tablica IO'!Y247*1)</f>
        <v>0</v>
      </c>
      <c r="Z13" s="220" cm="1">
        <f t="array" aca="1" ref="Z13" ca="1">'Tablica IO'!Z169*INDEX(Model!$C$93:$CA$93,Model!$A13) + IF(wplyw_cen_import_wlaczony,'Tablica IO'!Z247*INDEX(Model!$C$2:$CA$2,Model!$A13),'Tablica IO'!Z247*1)</f>
        <v>3.6664027738524461E-3</v>
      </c>
      <c r="AA13" s="220" cm="1">
        <f t="array" aca="1" ref="AA13" ca="1">'Tablica IO'!AA169*INDEX(Model!$C$93:$CA$93,Model!$A13) + IF(wplyw_cen_import_wlaczony,'Tablica IO'!AA247*INDEX(Model!$C$2:$CA$2,Model!$A13),'Tablica IO'!AA247*1)</f>
        <v>4.5356909903029294E-4</v>
      </c>
      <c r="AB13" s="220" cm="1">
        <f t="array" aca="1" ref="AB13" ca="1">'Tablica IO'!AB169*INDEX(Model!$C$93:$CA$93,Model!$A13) + IF(wplyw_cen_import_wlaczony,'Tablica IO'!AB247*INDEX(Model!$C$2:$CA$2,Model!$A13),'Tablica IO'!AB247*1)</f>
        <v>3.244366520713252E-6</v>
      </c>
      <c r="AC13" s="220" cm="1">
        <f t="array" aca="1" ref="AC13" ca="1">'Tablica IO'!AC169*INDEX(Model!$C$93:$CA$93,Model!$A13) + IF(wplyw_cen_import_wlaczony,'Tablica IO'!AC247*INDEX(Model!$C$2:$CA$2,Model!$A13),'Tablica IO'!AC247*1)</f>
        <v>1.3415239075377546E-3</v>
      </c>
      <c r="AD13" s="220" cm="1">
        <f t="array" aca="1" ref="AD13" ca="1">'Tablica IO'!AD169*INDEX(Model!$C$93:$CA$93,Model!$A13) + IF(wplyw_cen_import_wlaczony,'Tablica IO'!AD247*INDEX(Model!$C$2:$CA$2,Model!$A13),'Tablica IO'!AD247*1)</f>
        <v>1.373995379101322E-3</v>
      </c>
      <c r="AE13" s="220" cm="1">
        <f t="array" aca="1" ref="AE13" ca="1">'Tablica IO'!AE169*INDEX(Model!$C$93:$CA$93,Model!$A13) + IF(wplyw_cen_import_wlaczony,'Tablica IO'!AE247*INDEX(Model!$C$2:$CA$2,Model!$A13),'Tablica IO'!AE247*1)</f>
        <v>1.5682184282521213E-6</v>
      </c>
      <c r="AF13" s="220" cm="1">
        <f t="array" aca="1" ref="AF13" ca="1">'Tablica IO'!AF169*INDEX(Model!$C$93:$CA$93,Model!$A13) + IF(wplyw_cen_import_wlaczony,'Tablica IO'!AF247*INDEX(Model!$C$2:$CA$2,Model!$A13),'Tablica IO'!AF247*1)</f>
        <v>3.0658715889911651E-2</v>
      </c>
      <c r="AG13" s="220" cm="1">
        <f t="array" aca="1" ref="AG13" ca="1">'Tablica IO'!AG169*INDEX(Model!$C$93:$CA$93,Model!$A13) + IF(wplyw_cen_import_wlaczony,'Tablica IO'!AG247*INDEX(Model!$C$2:$CA$2,Model!$A13),'Tablica IO'!AG247*1)</f>
        <v>9.6963435312230113E-6</v>
      </c>
      <c r="AH13" s="220" cm="1">
        <f t="array" aca="1" ref="AH13" ca="1">'Tablica IO'!AH169*INDEX(Model!$C$93:$CA$93,Model!$A13) + IF(wplyw_cen_import_wlaczony,'Tablica IO'!AH247*INDEX(Model!$C$2:$CA$2,Model!$A13),'Tablica IO'!AH247*1)</f>
        <v>1.9966347382734213E-3</v>
      </c>
      <c r="AI13" s="220" cm="1">
        <f t="array" aca="1" ref="AI13" ca="1">'Tablica IO'!AI169*INDEX(Model!$C$93:$CA$93,Model!$A13) + IF(wplyw_cen_import_wlaczony,'Tablica IO'!AI247*INDEX(Model!$C$2:$CA$2,Model!$A13),'Tablica IO'!AI247*1)</f>
        <v>2.1843210831845819E-4</v>
      </c>
      <c r="AJ13" s="220" cm="1">
        <f t="array" aca="1" ref="AJ13" ca="1">'Tablica IO'!AJ169*INDEX(Model!$C$93:$CA$93,Model!$A13) + IF(wplyw_cen_import_wlaczony,'Tablica IO'!AJ247*INDEX(Model!$C$2:$CA$2,Model!$A13),'Tablica IO'!AJ247*1)</f>
        <v>6.6098873697277441E-4</v>
      </c>
      <c r="AK13" s="220" cm="1">
        <f t="array" aca="1" ref="AK13" ca="1">'Tablica IO'!AK169*INDEX(Model!$C$93:$CA$93,Model!$A13) + IF(wplyw_cen_import_wlaczony,'Tablica IO'!AK247*INDEX(Model!$C$2:$CA$2,Model!$A13),'Tablica IO'!AK247*1)</f>
        <v>2.3269501296857964E-5</v>
      </c>
      <c r="AL13" s="220" cm="1">
        <f t="array" aca="1" ref="AL13" ca="1">'Tablica IO'!AL169*INDEX(Model!$C$93:$CA$93,Model!$A13) + IF(wplyw_cen_import_wlaczony,'Tablica IO'!AL247*INDEX(Model!$C$2:$CA$2,Model!$A13),'Tablica IO'!AL247*1)</f>
        <v>2.1199957459835501E-2</v>
      </c>
      <c r="AM13" s="220" cm="1">
        <f t="array" aca="1" ref="AM13" ca="1">'Tablica IO'!AM169*INDEX(Model!$C$93:$CA$93,Model!$A13) + IF(wplyw_cen_import_wlaczony,'Tablica IO'!AM247*INDEX(Model!$C$2:$CA$2,Model!$A13),'Tablica IO'!AM247*1)</f>
        <v>5.1379948105618849E-3</v>
      </c>
      <c r="AN13" s="220" cm="1">
        <f t="array" aca="1" ref="AN13" ca="1">'Tablica IO'!AN169*INDEX(Model!$C$93:$CA$93,Model!$A13) + IF(wplyw_cen_import_wlaczony,'Tablica IO'!AN247*INDEX(Model!$C$2:$CA$2,Model!$A13),'Tablica IO'!AN247*1)</f>
        <v>1.3259200806868727E-3</v>
      </c>
      <c r="AO13" s="220" cm="1">
        <f t="array" aca="1" ref="AO13" ca="1">'Tablica IO'!AO169*INDEX(Model!$C$93:$CA$93,Model!$A13) + IF(wplyw_cen_import_wlaczony,'Tablica IO'!AO247*INDEX(Model!$C$2:$CA$2,Model!$A13),'Tablica IO'!AO247*1)</f>
        <v>6.4257414946169078E-5</v>
      </c>
      <c r="AP13" s="220" cm="1">
        <f t="array" aca="1" ref="AP13" ca="1">'Tablica IO'!AP169*INDEX(Model!$C$93:$CA$93,Model!$A13) + IF(wplyw_cen_import_wlaczony,'Tablica IO'!AP247*INDEX(Model!$C$2:$CA$2,Model!$A13),'Tablica IO'!AP247*1)</f>
        <v>2.3903591085594415E-5</v>
      </c>
      <c r="AQ13" s="220" cm="1">
        <f t="array" aca="1" ref="AQ13" ca="1">'Tablica IO'!AQ169*INDEX(Model!$C$93:$CA$93,Model!$A13) + IF(wplyw_cen_import_wlaczony,'Tablica IO'!AQ247*INDEX(Model!$C$2:$CA$2,Model!$A13),'Tablica IO'!AQ247*1)</f>
        <v>1.7115325181567293E-2</v>
      </c>
      <c r="AR13" s="220" cm="1">
        <f t="array" aca="1" ref="AR13" ca="1">'Tablica IO'!AR169*INDEX(Model!$C$93:$CA$93,Model!$A13) + IF(wplyw_cen_import_wlaczony,'Tablica IO'!AR247*INDEX(Model!$C$2:$CA$2,Model!$A13),'Tablica IO'!AR247*1)</f>
        <v>1.8865427235675452E-2</v>
      </c>
      <c r="AS13" s="220" cm="1">
        <f t="array" aca="1" ref="AS13" ca="1">'Tablica IO'!AS169*INDEX(Model!$C$93:$CA$93,Model!$A13) + IF(wplyw_cen_import_wlaczony,'Tablica IO'!AS247*INDEX(Model!$C$2:$CA$2,Model!$A13),'Tablica IO'!AS247*1)</f>
        <v>1.5469393611372478E-6</v>
      </c>
      <c r="AT13" s="220" cm="1">
        <f t="array" aca="1" ref="AT13" ca="1">'Tablica IO'!AT169*INDEX(Model!$C$93:$CA$93,Model!$A13) + IF(wplyw_cen_import_wlaczony,'Tablica IO'!AT247*INDEX(Model!$C$2:$CA$2,Model!$A13),'Tablica IO'!AT247*1)</f>
        <v>7.2277304163988312E-7</v>
      </c>
      <c r="AU13" s="220" cm="1">
        <f t="array" aca="1" ref="AU13" ca="1">'Tablica IO'!AU169*INDEX(Model!$C$93:$CA$93,Model!$A13) + IF(wplyw_cen_import_wlaczony,'Tablica IO'!AU247*INDEX(Model!$C$2:$CA$2,Model!$A13),'Tablica IO'!AU247*1)</f>
        <v>6.655410073079453E-7</v>
      </c>
      <c r="AV13" s="220" cm="1">
        <f t="array" aca="1" ref="AV13" ca="1">'Tablica IO'!AV169*INDEX(Model!$C$93:$CA$93,Model!$A13) + IF(wplyw_cen_import_wlaczony,'Tablica IO'!AV247*INDEX(Model!$C$2:$CA$2,Model!$A13),'Tablica IO'!AV247*1)</f>
        <v>0</v>
      </c>
      <c r="AW13" s="220" cm="1">
        <f t="array" aca="1" ref="AW13" ca="1">'Tablica IO'!AW169*INDEX(Model!$C$93:$CA$93,Model!$A13) + IF(wplyw_cen_import_wlaczony,'Tablica IO'!AW247*INDEX(Model!$C$2:$CA$2,Model!$A13),'Tablica IO'!AW247*1)</f>
        <v>5.482020580433172E-8</v>
      </c>
      <c r="AX13" s="220" cm="1">
        <f t="array" aca="1" ref="AX13" ca="1">'Tablica IO'!AX169*INDEX(Model!$C$93:$CA$93,Model!$A13) + IF(wplyw_cen_import_wlaczony,'Tablica IO'!AX247*INDEX(Model!$C$2:$CA$2,Model!$A13),'Tablica IO'!AX247*1)</f>
        <v>1.0570096028017725E-5</v>
      </c>
      <c r="AY13" s="220" cm="1">
        <f t="array" aca="1" ref="AY13" ca="1">'Tablica IO'!AY169*INDEX(Model!$C$93:$CA$93,Model!$A13) + IF(wplyw_cen_import_wlaczony,'Tablica IO'!AY247*INDEX(Model!$C$2:$CA$2,Model!$A13),'Tablica IO'!AY247*1)</f>
        <v>1.9305626872998222E-5</v>
      </c>
      <c r="AZ13" s="220" cm="1">
        <f t="array" aca="1" ref="AZ13" ca="1">'Tablica IO'!AZ169*INDEX(Model!$C$93:$CA$93,Model!$A13) + IF(wplyw_cen_import_wlaczony,'Tablica IO'!AZ247*INDEX(Model!$C$2:$CA$2,Model!$A13),'Tablica IO'!AZ247*1)</f>
        <v>0</v>
      </c>
      <c r="BA13" s="220" cm="1">
        <f t="array" aca="1" ref="BA13" ca="1">'Tablica IO'!BA169*INDEX(Model!$C$93:$CA$93,Model!$A13) + IF(wplyw_cen_import_wlaczony,'Tablica IO'!BA247*INDEX(Model!$C$2:$CA$2,Model!$A13),'Tablica IO'!BA247*1)</f>
        <v>1.0134328059904178E-5</v>
      </c>
      <c r="BB13" s="220" cm="1">
        <f t="array" aca="1" ref="BB13" ca="1">'Tablica IO'!BB169*INDEX(Model!$C$93:$CA$93,Model!$A13) + IF(wplyw_cen_import_wlaczony,'Tablica IO'!BB247*INDEX(Model!$C$2:$CA$2,Model!$A13),'Tablica IO'!BB247*1)</f>
        <v>4.4554653726684513E-3</v>
      </c>
      <c r="BC13" s="220" cm="1">
        <f t="array" aca="1" ref="BC13" ca="1">'Tablica IO'!BC169*INDEX(Model!$C$93:$CA$93,Model!$A13) + IF(wplyw_cen_import_wlaczony,'Tablica IO'!BC247*INDEX(Model!$C$2:$CA$2,Model!$A13),'Tablica IO'!BC247*1)</f>
        <v>1.8529531417096974E-5</v>
      </c>
      <c r="BD13" s="220" cm="1">
        <f t="array" aca="1" ref="BD13" ca="1">'Tablica IO'!BD169*INDEX(Model!$C$93:$CA$93,Model!$A13) + IF(wplyw_cen_import_wlaczony,'Tablica IO'!BD247*INDEX(Model!$C$2:$CA$2,Model!$A13),'Tablica IO'!BD247*1)</f>
        <v>1.9721979146788104E-5</v>
      </c>
      <c r="BE13" s="220" cm="1">
        <f t="array" aca="1" ref="BE13" ca="1">'Tablica IO'!BE169*INDEX(Model!$C$93:$CA$93,Model!$A13) + IF(wplyw_cen_import_wlaczony,'Tablica IO'!BE247*INDEX(Model!$C$2:$CA$2,Model!$A13),'Tablica IO'!BE247*1)</f>
        <v>2.5893035338628868E-5</v>
      </c>
      <c r="BF13" s="220" cm="1">
        <f t="array" aca="1" ref="BF13" ca="1">'Tablica IO'!BF169*INDEX(Model!$C$93:$CA$93,Model!$A13) + IF(wplyw_cen_import_wlaczony,'Tablica IO'!BF247*INDEX(Model!$C$2:$CA$2,Model!$A13),'Tablica IO'!BF247*1)</f>
        <v>5.4675150167607291E-3</v>
      </c>
      <c r="BG13" s="220" cm="1">
        <f t="array" aca="1" ref="BG13" ca="1">'Tablica IO'!BG169*INDEX(Model!$C$93:$CA$93,Model!$A13) + IF(wplyw_cen_import_wlaczony,'Tablica IO'!BG247*INDEX(Model!$C$2:$CA$2,Model!$A13),'Tablica IO'!BG247*1)</f>
        <v>4.8512968286130949E-7</v>
      </c>
      <c r="BH13" s="220" cm="1">
        <f t="array" aca="1" ref="BH13" ca="1">'Tablica IO'!BH169*INDEX(Model!$C$93:$CA$93,Model!$A13) + IF(wplyw_cen_import_wlaczony,'Tablica IO'!BH247*INDEX(Model!$C$2:$CA$2,Model!$A13),'Tablica IO'!BH247*1)</f>
        <v>2.4039722856668059E-5</v>
      </c>
      <c r="BI13" s="220" cm="1">
        <f t="array" aca="1" ref="BI13" ca="1">'Tablica IO'!BI169*INDEX(Model!$C$93:$CA$93,Model!$A13) + IF(wplyw_cen_import_wlaczony,'Tablica IO'!BI247*INDEX(Model!$C$2:$CA$2,Model!$A13),'Tablica IO'!BI247*1)</f>
        <v>0</v>
      </c>
      <c r="BJ13" s="220" cm="1">
        <f t="array" aca="1" ref="BJ13" ca="1">'Tablica IO'!BJ169*INDEX(Model!$C$93:$CA$93,Model!$A13) + IF(wplyw_cen_import_wlaczony,'Tablica IO'!BJ247*INDEX(Model!$C$2:$CA$2,Model!$A13),'Tablica IO'!BJ247*1)</f>
        <v>5.5177117451276347E-3</v>
      </c>
      <c r="BK13" s="220" cm="1">
        <f t="array" aca="1" ref="BK13" ca="1">'Tablica IO'!BK169*INDEX(Model!$C$93:$CA$93,Model!$A13) + IF(wplyw_cen_import_wlaczony,'Tablica IO'!BK247*INDEX(Model!$C$2:$CA$2,Model!$A13),'Tablica IO'!BK247*1)</f>
        <v>2.7901551556158742E-3</v>
      </c>
      <c r="BL13" s="220" cm="1">
        <f t="array" aca="1" ref="BL13" ca="1">'Tablica IO'!BL169*INDEX(Model!$C$93:$CA$93,Model!$A13) + IF(wplyw_cen_import_wlaczony,'Tablica IO'!BL247*INDEX(Model!$C$2:$CA$2,Model!$A13),'Tablica IO'!BL247*1)</f>
        <v>2.8528353101521943E-4</v>
      </c>
      <c r="BM13" s="220" cm="1">
        <f t="array" aca="1" ref="BM13" ca="1">'Tablica IO'!BM169*INDEX(Model!$C$93:$CA$93,Model!$A13) + IF(wplyw_cen_import_wlaczony,'Tablica IO'!BM247*INDEX(Model!$C$2:$CA$2,Model!$A13),'Tablica IO'!BM247*1)</f>
        <v>2.3570653640606551E-3</v>
      </c>
      <c r="BN13" s="220" cm="1">
        <f t="array" aca="1" ref="BN13" ca="1">'Tablica IO'!BN169*INDEX(Model!$C$93:$CA$93,Model!$A13) + IF(wplyw_cen_import_wlaczony,'Tablica IO'!BN247*INDEX(Model!$C$2:$CA$2,Model!$A13),'Tablica IO'!BN247*1)</f>
        <v>2.7490476459004588E-2</v>
      </c>
      <c r="BO13" s="220" cm="1">
        <f t="array" aca="1" ref="BO13" ca="1">'Tablica IO'!BO169*INDEX(Model!$C$93:$CA$93,Model!$A13) + IF(wplyw_cen_import_wlaczony,'Tablica IO'!BO247*INDEX(Model!$C$2:$CA$2,Model!$A13),'Tablica IO'!BO247*1)</f>
        <v>0.11398102646554176</v>
      </c>
      <c r="BP13" s="220" cm="1">
        <f t="array" aca="1" ref="BP13" ca="1">'Tablica IO'!BP169*INDEX(Model!$C$93:$CA$93,Model!$A13) + IF(wplyw_cen_import_wlaczony,'Tablica IO'!BP247*INDEX(Model!$C$2:$CA$2,Model!$A13),'Tablica IO'!BP247*1)</f>
        <v>4.1097905495590904E-3</v>
      </c>
      <c r="BQ13" s="220" cm="1">
        <f t="array" aca="1" ref="BQ13" ca="1">'Tablica IO'!BQ169*INDEX(Model!$C$93:$CA$93,Model!$A13) + IF(wplyw_cen_import_wlaczony,'Tablica IO'!BQ247*INDEX(Model!$C$2:$CA$2,Model!$A13),'Tablica IO'!BQ247*1)</f>
        <v>8.5465355770396366E-4</v>
      </c>
      <c r="BR13" s="220" cm="1">
        <f t="array" aca="1" ref="BR13" ca="1">'Tablica IO'!BR169*INDEX(Model!$C$93:$CA$93,Model!$A13) + IF(wplyw_cen_import_wlaczony,'Tablica IO'!BR247*INDEX(Model!$C$2:$CA$2,Model!$A13),'Tablica IO'!BR247*1)</f>
        <v>3.478008027019649E-3</v>
      </c>
      <c r="BS13" s="220" cm="1">
        <f t="array" aca="1" ref="BS13" ca="1">'Tablica IO'!BS169*INDEX(Model!$C$93:$CA$93,Model!$A13) + IF(wplyw_cen_import_wlaczony,'Tablica IO'!BS247*INDEX(Model!$C$2:$CA$2,Model!$A13),'Tablica IO'!BS247*1)</f>
        <v>6.9521978230469191E-3</v>
      </c>
      <c r="BT13" s="220" cm="1">
        <f t="array" aca="1" ref="BT13" ca="1">'Tablica IO'!BT169*INDEX(Model!$C$93:$CA$93,Model!$A13) + IF(wplyw_cen_import_wlaczony,'Tablica IO'!BT247*INDEX(Model!$C$2:$CA$2,Model!$A13),'Tablica IO'!BT247*1)</f>
        <v>1.1457853012404679E-4</v>
      </c>
      <c r="BU13" s="220" cm="1">
        <f t="array" aca="1" ref="BU13" ca="1">'Tablica IO'!BU169*INDEX(Model!$C$93:$CA$93,Model!$A13) + IF(wplyw_cen_import_wlaczony,'Tablica IO'!BU247*INDEX(Model!$C$2:$CA$2,Model!$A13),'Tablica IO'!BU247*1)</f>
        <v>4.1053239472681679E-4</v>
      </c>
      <c r="BV13" s="220" cm="1">
        <f t="array" aca="1" ref="BV13" ca="1">'Tablica IO'!BV169*INDEX(Model!$C$93:$CA$93,Model!$A13) + IF(wplyw_cen_import_wlaczony,'Tablica IO'!BV247*INDEX(Model!$C$2:$CA$2,Model!$A13),'Tablica IO'!BV247*1)</f>
        <v>1.9956794548859408E-5</v>
      </c>
      <c r="BW13" s="220" cm="1">
        <f t="array" aca="1" ref="BW13" ca="1">'Tablica IO'!BW169*INDEX(Model!$C$93:$CA$93,Model!$A13) + IF(wplyw_cen_import_wlaczony,'Tablica IO'!BW247*INDEX(Model!$C$2:$CA$2,Model!$A13),'Tablica IO'!BW247*1)</f>
        <v>2.0487029132186998E-3</v>
      </c>
      <c r="BX13" s="220" cm="1">
        <f t="array" aca="1" ref="BX13" ca="1">'Tablica IO'!BX169*INDEX(Model!$C$93:$CA$93,Model!$A13) + IF(wplyw_cen_import_wlaczony,'Tablica IO'!BX247*INDEX(Model!$C$2:$CA$2,Model!$A13),'Tablica IO'!BX247*1)</f>
        <v>4.0862160232895319E-3</v>
      </c>
      <c r="BY13" s="220" cm="1">
        <f t="array" aca="1" ref="BY13" ca="1">'Tablica IO'!BY169*INDEX(Model!$C$93:$CA$93,Model!$A13) + IF(wplyw_cen_import_wlaczony,'Tablica IO'!BY247*INDEX(Model!$C$2:$CA$2,Model!$A13),'Tablica IO'!BY247*1)</f>
        <v>0</v>
      </c>
      <c r="BZ13" s="220" cm="1">
        <f t="array" aca="1" ref="BZ13" ca="1">'Tablica IO'!BZ169*INDEX(Model!$C$93:$CA$93,Model!$A13) + IF(wplyw_cen_import_wlaczony,'Tablica IO'!BZ247*INDEX(Model!$C$2:$CA$2,Model!$A13),'Tablica IO'!BZ247*1)</f>
        <v>4.5095170435426532E-3</v>
      </c>
      <c r="CA13" s="220" cm="1">
        <f t="array" aca="1" ref="CA13" ca="1">'Tablica IO'!CA169*INDEX(Model!$C$93:$CA$93,Model!$A13) + IF(wplyw_cen_import_wlaczony,'Tablica IO'!CA247*INDEX(Model!$C$2:$CA$2,Model!$A13),'Tablica IO'!CA247*1)</f>
        <v>0</v>
      </c>
      <c r="CB13" s="246">
        <f ca="1">'Tablica IO'!CD169*INDEX(Model!$C$93:$CA$93,Model!$A13)+'Tablica IO'!CD247*INDEX(Model!$C$2:$CA$2,Model!$A13)</f>
        <v>0.10893450034344365</v>
      </c>
      <c r="CC13" s="186">
        <f ca="1">'Tablica IO'!CE169*INDEX(Model!$C$93:$CA$93,Model!$A13)+'Tablica IO'!CE247*INDEX(Model!$C$2:$CA$2,Model!$A13)</f>
        <v>8.9963994466176114E-3</v>
      </c>
      <c r="CD13" s="186">
        <f ca="1">'Tablica IO'!CF169*INDEX(Model!$C$93:$CA$93,Model!$A13)+'Tablica IO'!CF247*INDEX(Model!$C$2:$CA$2,Model!$A13)</f>
        <v>9.7759324151589673E-3</v>
      </c>
      <c r="CE13" s="187">
        <f ca="1">'Tablica IO'!CG169*INDEX(Model!$C$93:$CA$93,Model!$A13)+'Tablica IO'!CG247*INDEX(Model!$C$2:$CA$2,Model!$A13)</f>
        <v>4.5185466804697552E-2</v>
      </c>
    </row>
    <row r="14" spans="1:83" x14ac:dyDescent="0.25">
      <c r="A14" s="164">
        <v>2</v>
      </c>
      <c r="B14" s="172" t="s">
        <v>1</v>
      </c>
      <c r="C14" s="221" cm="1">
        <f t="array" aca="1" ref="C14" ca="1">'Tablica IO'!C170*INDEX(Model!$C$93:$CA$93,Model!$A14) + IF(wplyw_cen_import_wlaczony,'Tablica IO'!C248*INDEX(Model!$C$2:$CA$2,Model!$A14),'Tablica IO'!C248*1)</f>
        <v>1.9106142113524485E-3</v>
      </c>
      <c r="D14" s="222" cm="1">
        <f t="array" aca="1" ref="D14" ca="1">'Tablica IO'!D170*INDEX(Model!$C$93:$CA$93,Model!$A14) + IF(wplyw_cen_import_wlaczony,'Tablica IO'!D248*INDEX(Model!$C$2:$CA$2,Model!$A14),'Tablica IO'!D248*1)</f>
        <v>1.0429072146434231</v>
      </c>
      <c r="E14" s="222" cm="1">
        <f t="array" aca="1" ref="E14" ca="1">'Tablica IO'!E170*INDEX(Model!$C$93:$CA$93,Model!$A14) + IF(wplyw_cen_import_wlaczony,'Tablica IO'!E248*INDEX(Model!$C$2:$CA$2,Model!$A14),'Tablica IO'!E248*1)</f>
        <v>3.4909842745579217E-4</v>
      </c>
      <c r="F14" s="222" cm="1">
        <f t="array" aca="1" ref="F14" ca="1">'Tablica IO'!F170*INDEX(Model!$C$93:$CA$93,Model!$A14) + IF(wplyw_cen_import_wlaczony,'Tablica IO'!F248*INDEX(Model!$C$2:$CA$2,Model!$A14),'Tablica IO'!F248*1)</f>
        <v>4.9234622037612787E-3</v>
      </c>
      <c r="G14" s="222" cm="1">
        <f t="array" aca="1" ref="G14" ca="1">'Tablica IO'!G170*INDEX(Model!$C$93:$CA$93,Model!$A14) + IF(wplyw_cen_import_wlaczony,'Tablica IO'!G248*INDEX(Model!$C$2:$CA$2,Model!$A14),'Tablica IO'!G248*1)</f>
        <v>3.0928303905910586E-3</v>
      </c>
      <c r="H14" s="222" cm="1">
        <f t="array" aca="1" ref="H14" ca="1">'Tablica IO'!H170*INDEX(Model!$C$93:$CA$93,Model!$A14) + IF(wplyw_cen_import_wlaczony,'Tablica IO'!H248*INDEX(Model!$C$2:$CA$2,Model!$A14),'Tablica IO'!H248*1)</f>
        <v>2.1393137595319424E-3</v>
      </c>
      <c r="I14" s="222" cm="1">
        <f t="array" aca="1" ref="I14" ca="1">'Tablica IO'!I170*INDEX(Model!$C$93:$CA$93,Model!$A14) + IF(wplyw_cen_import_wlaczony,'Tablica IO'!I248*INDEX(Model!$C$2:$CA$2,Model!$A14),'Tablica IO'!I248*1)</f>
        <v>8.7573941819513136E-5</v>
      </c>
      <c r="J14" s="222" cm="1">
        <f t="array" aca="1" ref="J14" ca="1">'Tablica IO'!J170*INDEX(Model!$C$93:$CA$93,Model!$A14) + IF(wplyw_cen_import_wlaczony,'Tablica IO'!J248*INDEX(Model!$C$2:$CA$2,Model!$A14),'Tablica IO'!J248*1)</f>
        <v>0</v>
      </c>
      <c r="K14" s="222" cm="1">
        <f t="array" aca="1" ref="K14" ca="1">'Tablica IO'!K170*INDEX(Model!$C$93:$CA$93,Model!$A14) + IF(wplyw_cen_import_wlaczony,'Tablica IO'!K248*INDEX(Model!$C$2:$CA$2,Model!$A14),'Tablica IO'!K248*1)</f>
        <v>2.6007357775714359E-3</v>
      </c>
      <c r="L14" s="222" cm="1">
        <f t="array" aca="1" ref="L14" ca="1">'Tablica IO'!L170*INDEX(Model!$C$93:$CA$93,Model!$A14) + IF(wplyw_cen_import_wlaczony,'Tablica IO'!L248*INDEX(Model!$C$2:$CA$2,Model!$A14),'Tablica IO'!L248*1)</f>
        <v>1.431207301139807E-3</v>
      </c>
      <c r="M14" s="222" cm="1">
        <f t="array" aca="1" ref="M14" ca="1">'Tablica IO'!M170*INDEX(Model!$C$93:$CA$93,Model!$A14) + IF(wplyw_cen_import_wlaczony,'Tablica IO'!M248*INDEX(Model!$C$2:$CA$2,Model!$A14),'Tablica IO'!M248*1)</f>
        <v>5.0353069627730659E-3</v>
      </c>
      <c r="N14" s="222" cm="1">
        <f t="array" aca="1" ref="N14" ca="1">'Tablica IO'!N170*INDEX(Model!$C$93:$CA$93,Model!$A14) + IF(wplyw_cen_import_wlaczony,'Tablica IO'!N248*INDEX(Model!$C$2:$CA$2,Model!$A14),'Tablica IO'!N248*1)</f>
        <v>0.30621462357439172</v>
      </c>
      <c r="O14" s="222" cm="1">
        <f t="array" aca="1" ref="O14" ca="1">'Tablica IO'!O170*INDEX(Model!$C$93:$CA$93,Model!$A14) + IF(wplyw_cen_import_wlaczony,'Tablica IO'!O248*INDEX(Model!$C$2:$CA$2,Model!$A14),'Tablica IO'!O248*1)</f>
        <v>7.6241892600586961E-2</v>
      </c>
      <c r="P14" s="222" cm="1">
        <f t="array" aca="1" ref="P14" ca="1">'Tablica IO'!P170*INDEX(Model!$C$93:$CA$93,Model!$A14) + IF(wplyw_cen_import_wlaczony,'Tablica IO'!P248*INDEX(Model!$C$2:$CA$2,Model!$A14),'Tablica IO'!P248*1)</f>
        <v>1.0852794529479218E-3</v>
      </c>
      <c r="Q14" s="222" cm="1">
        <f t="array" aca="1" ref="Q14" ca="1">'Tablica IO'!Q170*INDEX(Model!$C$93:$CA$93,Model!$A14) + IF(wplyw_cen_import_wlaczony,'Tablica IO'!Q248*INDEX(Model!$C$2:$CA$2,Model!$A14),'Tablica IO'!Q248*1)</f>
        <v>5.4909690968665793E-4</v>
      </c>
      <c r="R14" s="222" cm="1">
        <f t="array" aca="1" ref="R14" ca="1">'Tablica IO'!R170*INDEX(Model!$C$93:$CA$93,Model!$A14) + IF(wplyw_cen_import_wlaczony,'Tablica IO'!R248*INDEX(Model!$C$2:$CA$2,Model!$A14),'Tablica IO'!R248*1)</f>
        <v>2.26161954790992E-3</v>
      </c>
      <c r="S14" s="222" cm="1">
        <f t="array" aca="1" ref="S14" ca="1">'Tablica IO'!S170*INDEX(Model!$C$93:$CA$93,Model!$A14) + IF(wplyw_cen_import_wlaczony,'Tablica IO'!S248*INDEX(Model!$C$2:$CA$2,Model!$A14),'Tablica IO'!S248*1)</f>
        <v>1.2376913121636949E-5</v>
      </c>
      <c r="T14" s="222" cm="1">
        <f t="array" aca="1" ref="T14" ca="1">'Tablica IO'!T170*INDEX(Model!$C$93:$CA$93,Model!$A14) + IF(wplyw_cen_import_wlaczony,'Tablica IO'!T248*INDEX(Model!$C$2:$CA$2,Model!$A14),'Tablica IO'!T248*1)</f>
        <v>1.7279014332583047E-3</v>
      </c>
      <c r="U14" s="222" cm="1">
        <f t="array" aca="1" ref="U14" ca="1">'Tablica IO'!U170*INDEX(Model!$C$93:$CA$93,Model!$A14) + IF(wplyw_cen_import_wlaczony,'Tablica IO'!U248*INDEX(Model!$C$2:$CA$2,Model!$A14),'Tablica IO'!U248*1)</f>
        <v>1.2867611005734176E-3</v>
      </c>
      <c r="V14" s="222" cm="1">
        <f t="array" aca="1" ref="V14" ca="1">'Tablica IO'!V170*INDEX(Model!$C$93:$CA$93,Model!$A14) + IF(wplyw_cen_import_wlaczony,'Tablica IO'!V248*INDEX(Model!$C$2:$CA$2,Model!$A14),'Tablica IO'!V248*1)</f>
        <v>5.3373819122567512E-4</v>
      </c>
      <c r="W14" s="222" cm="1">
        <f t="array" aca="1" ref="W14" ca="1">'Tablica IO'!W170*INDEX(Model!$C$93:$CA$93,Model!$A14) + IF(wplyw_cen_import_wlaczony,'Tablica IO'!W248*INDEX(Model!$C$2:$CA$2,Model!$A14),'Tablica IO'!W248*1)</f>
        <v>8.6812430008522952E-4</v>
      </c>
      <c r="X14" s="222" cm="1">
        <f t="array" aca="1" ref="X14" ca="1">'Tablica IO'!X170*INDEX(Model!$C$93:$CA$93,Model!$A14) + IF(wplyw_cen_import_wlaczony,'Tablica IO'!X248*INDEX(Model!$C$2:$CA$2,Model!$A14),'Tablica IO'!X248*1)</f>
        <v>0</v>
      </c>
      <c r="Y14" s="222" cm="1">
        <f t="array" aca="1" ref="Y14" ca="1">'Tablica IO'!Y170*INDEX(Model!$C$93:$CA$93,Model!$A14) + IF(wplyw_cen_import_wlaczony,'Tablica IO'!Y248*INDEX(Model!$C$2:$CA$2,Model!$A14),'Tablica IO'!Y248*1)</f>
        <v>7.8283548790851487E-4</v>
      </c>
      <c r="Z14" s="222" cm="1">
        <f t="array" aca="1" ref="Z14" ca="1">'Tablica IO'!Z170*INDEX(Model!$C$93:$CA$93,Model!$A14) + IF(wplyw_cen_import_wlaczony,'Tablica IO'!Z248*INDEX(Model!$C$2:$CA$2,Model!$A14),'Tablica IO'!Z248*1)</f>
        <v>8.0817526156849533E-4</v>
      </c>
      <c r="AA14" s="222" cm="1">
        <f t="array" aca="1" ref="AA14" ca="1">'Tablica IO'!AA170*INDEX(Model!$C$93:$CA$93,Model!$A14) + IF(wplyw_cen_import_wlaczony,'Tablica IO'!AA248*INDEX(Model!$C$2:$CA$2,Model!$A14),'Tablica IO'!AA248*1)</f>
        <v>3.5197927258953345E-4</v>
      </c>
      <c r="AB14" s="222" cm="1">
        <f t="array" aca="1" ref="AB14" ca="1">'Tablica IO'!AB170*INDEX(Model!$C$93:$CA$93,Model!$A14) + IF(wplyw_cen_import_wlaczony,'Tablica IO'!AB248*INDEX(Model!$C$2:$CA$2,Model!$A14),'Tablica IO'!AB248*1)</f>
        <v>1.5816299653196146E-3</v>
      </c>
      <c r="AC14" s="222" cm="1">
        <f t="array" aca="1" ref="AC14" ca="1">'Tablica IO'!AC170*INDEX(Model!$C$93:$CA$93,Model!$A14) + IF(wplyw_cen_import_wlaczony,'Tablica IO'!AC248*INDEX(Model!$C$2:$CA$2,Model!$A14),'Tablica IO'!AC248*1)</f>
        <v>3.1710593810982041E-2</v>
      </c>
      <c r="AD14" s="222" cm="1">
        <f t="array" aca="1" ref="AD14" ca="1">'Tablica IO'!AD170*INDEX(Model!$C$93:$CA$93,Model!$A14) + IF(wplyw_cen_import_wlaczony,'Tablica IO'!AD248*INDEX(Model!$C$2:$CA$2,Model!$A14),'Tablica IO'!AD248*1)</f>
        <v>3.6233374710085793E-3</v>
      </c>
      <c r="AE14" s="222" cm="1">
        <f t="array" aca="1" ref="AE14" ca="1">'Tablica IO'!AE170*INDEX(Model!$C$93:$CA$93,Model!$A14) + IF(wplyw_cen_import_wlaczony,'Tablica IO'!AE248*INDEX(Model!$C$2:$CA$2,Model!$A14),'Tablica IO'!AE248*1)</f>
        <v>1.5999000627460625E-5</v>
      </c>
      <c r="AF14" s="222" cm="1">
        <f t="array" aca="1" ref="AF14" ca="1">'Tablica IO'!AF170*INDEX(Model!$C$93:$CA$93,Model!$A14) + IF(wplyw_cen_import_wlaczony,'Tablica IO'!AF248*INDEX(Model!$C$2:$CA$2,Model!$A14),'Tablica IO'!AF248*1)</f>
        <v>1.3964524524204469E-2</v>
      </c>
      <c r="AG14" s="222" cm="1">
        <f t="array" aca="1" ref="AG14" ca="1">'Tablica IO'!AG170*INDEX(Model!$C$93:$CA$93,Model!$A14) + IF(wplyw_cen_import_wlaczony,'Tablica IO'!AG248*INDEX(Model!$C$2:$CA$2,Model!$A14),'Tablica IO'!AG248*1)</f>
        <v>1.660146056153056E-4</v>
      </c>
      <c r="AH14" s="222" cm="1">
        <f t="array" aca="1" ref="AH14" ca="1">'Tablica IO'!AH170*INDEX(Model!$C$93:$CA$93,Model!$A14) + IF(wplyw_cen_import_wlaczony,'Tablica IO'!AH248*INDEX(Model!$C$2:$CA$2,Model!$A14),'Tablica IO'!AH248*1)</f>
        <v>1.3292525378582704E-4</v>
      </c>
      <c r="AI14" s="222" cm="1">
        <f t="array" aca="1" ref="AI14" ca="1">'Tablica IO'!AI170*INDEX(Model!$C$93:$CA$93,Model!$A14) + IF(wplyw_cen_import_wlaczony,'Tablica IO'!AI248*INDEX(Model!$C$2:$CA$2,Model!$A14),'Tablica IO'!AI248*1)</f>
        <v>6.3423090530573679E-4</v>
      </c>
      <c r="AJ14" s="222" cm="1">
        <f t="array" aca="1" ref="AJ14" ca="1">'Tablica IO'!AJ170*INDEX(Model!$C$93:$CA$93,Model!$A14) + IF(wplyw_cen_import_wlaczony,'Tablica IO'!AJ248*INDEX(Model!$C$2:$CA$2,Model!$A14),'Tablica IO'!AJ248*1)</f>
        <v>1.9262897738860358E-3</v>
      </c>
      <c r="AK14" s="222" cm="1">
        <f t="array" aca="1" ref="AK14" ca="1">'Tablica IO'!AK170*INDEX(Model!$C$93:$CA$93,Model!$A14) + IF(wplyw_cen_import_wlaczony,'Tablica IO'!AK248*INDEX(Model!$C$2:$CA$2,Model!$A14),'Tablica IO'!AK248*1)</f>
        <v>4.8191853225132328E-6</v>
      </c>
      <c r="AL14" s="222" cm="1">
        <f t="array" aca="1" ref="AL14" ca="1">'Tablica IO'!AL170*INDEX(Model!$C$93:$CA$93,Model!$A14) + IF(wplyw_cen_import_wlaczony,'Tablica IO'!AL248*INDEX(Model!$C$2:$CA$2,Model!$A14),'Tablica IO'!AL248*1)</f>
        <v>5.425156886113597E-3</v>
      </c>
      <c r="AM14" s="222" cm="1">
        <f t="array" aca="1" ref="AM14" ca="1">'Tablica IO'!AM170*INDEX(Model!$C$93:$CA$93,Model!$A14) + IF(wplyw_cen_import_wlaczony,'Tablica IO'!AM248*INDEX(Model!$C$2:$CA$2,Model!$A14),'Tablica IO'!AM248*1)</f>
        <v>1.7650164128637721E-3</v>
      </c>
      <c r="AN14" s="222" cm="1">
        <f t="array" aca="1" ref="AN14" ca="1">'Tablica IO'!AN170*INDEX(Model!$C$93:$CA$93,Model!$A14) + IF(wplyw_cen_import_wlaczony,'Tablica IO'!AN248*INDEX(Model!$C$2:$CA$2,Model!$A14),'Tablica IO'!AN248*1)</f>
        <v>8.5188208473917172E-4</v>
      </c>
      <c r="AO14" s="222" cm="1">
        <f t="array" aca="1" ref="AO14" ca="1">'Tablica IO'!AO170*INDEX(Model!$C$93:$CA$93,Model!$A14) + IF(wplyw_cen_import_wlaczony,'Tablica IO'!AO248*INDEX(Model!$C$2:$CA$2,Model!$A14),'Tablica IO'!AO248*1)</f>
        <v>1.9137383592682635E-4</v>
      </c>
      <c r="AP14" s="222" cm="1">
        <f t="array" aca="1" ref="AP14" ca="1">'Tablica IO'!AP170*INDEX(Model!$C$93:$CA$93,Model!$A14) + IF(wplyw_cen_import_wlaczony,'Tablica IO'!AP248*INDEX(Model!$C$2:$CA$2,Model!$A14),'Tablica IO'!AP248*1)</f>
        <v>6.9820195144076427E-5</v>
      </c>
      <c r="AQ14" s="222" cm="1">
        <f t="array" aca="1" ref="AQ14" ca="1">'Tablica IO'!AQ170*INDEX(Model!$C$93:$CA$93,Model!$A14) + IF(wplyw_cen_import_wlaczony,'Tablica IO'!AQ248*INDEX(Model!$C$2:$CA$2,Model!$A14),'Tablica IO'!AQ248*1)</f>
        <v>7.2620221135654361E-4</v>
      </c>
      <c r="AR14" s="222" cm="1">
        <f t="array" aca="1" ref="AR14" ca="1">'Tablica IO'!AR170*INDEX(Model!$C$93:$CA$93,Model!$A14) + IF(wplyw_cen_import_wlaczony,'Tablica IO'!AR248*INDEX(Model!$C$2:$CA$2,Model!$A14),'Tablica IO'!AR248*1)</f>
        <v>1.8643633744542322E-5</v>
      </c>
      <c r="AS14" s="222" cm="1">
        <f t="array" aca="1" ref="AS14" ca="1">'Tablica IO'!AS170*INDEX(Model!$C$93:$CA$93,Model!$A14) + IF(wplyw_cen_import_wlaczony,'Tablica IO'!AS248*INDEX(Model!$C$2:$CA$2,Model!$A14),'Tablica IO'!AS248*1)</f>
        <v>2.0440731004209165E-4</v>
      </c>
      <c r="AT14" s="222" cm="1">
        <f t="array" aca="1" ref="AT14" ca="1">'Tablica IO'!AT170*INDEX(Model!$C$93:$CA$93,Model!$A14) + IF(wplyw_cen_import_wlaczony,'Tablica IO'!AT248*INDEX(Model!$C$2:$CA$2,Model!$A14),'Tablica IO'!AT248*1)</f>
        <v>0</v>
      </c>
      <c r="AU14" s="222" cm="1">
        <f t="array" aca="1" ref="AU14" ca="1">'Tablica IO'!AU170*INDEX(Model!$C$93:$CA$93,Model!$A14) + IF(wplyw_cen_import_wlaczony,'Tablica IO'!AU248*INDEX(Model!$C$2:$CA$2,Model!$A14),'Tablica IO'!AU248*1)</f>
        <v>0</v>
      </c>
      <c r="AV14" s="222" cm="1">
        <f t="array" aca="1" ref="AV14" ca="1">'Tablica IO'!AV170*INDEX(Model!$C$93:$CA$93,Model!$A14) + IF(wplyw_cen_import_wlaczony,'Tablica IO'!AV248*INDEX(Model!$C$2:$CA$2,Model!$A14),'Tablica IO'!AV248*1)</f>
        <v>0</v>
      </c>
      <c r="AW14" s="222" cm="1">
        <f t="array" aca="1" ref="AW14" ca="1">'Tablica IO'!AW170*INDEX(Model!$C$93:$CA$93,Model!$A14) + IF(wplyw_cen_import_wlaczony,'Tablica IO'!AW248*INDEX(Model!$C$2:$CA$2,Model!$A14),'Tablica IO'!AW248*1)</f>
        <v>0</v>
      </c>
      <c r="AX14" s="222" cm="1">
        <f t="array" aca="1" ref="AX14" ca="1">'Tablica IO'!AX170*INDEX(Model!$C$93:$CA$93,Model!$A14) + IF(wplyw_cen_import_wlaczony,'Tablica IO'!AX248*INDEX(Model!$C$2:$CA$2,Model!$A14),'Tablica IO'!AX248*1)</f>
        <v>0</v>
      </c>
      <c r="AY14" s="222" cm="1">
        <f t="array" aca="1" ref="AY14" ca="1">'Tablica IO'!AY170*INDEX(Model!$C$93:$CA$93,Model!$A14) + IF(wplyw_cen_import_wlaczony,'Tablica IO'!AY248*INDEX(Model!$C$2:$CA$2,Model!$A14),'Tablica IO'!AY248*1)</f>
        <v>0</v>
      </c>
      <c r="AZ14" s="222" cm="1">
        <f t="array" aca="1" ref="AZ14" ca="1">'Tablica IO'!AZ170*INDEX(Model!$C$93:$CA$93,Model!$A14) + IF(wplyw_cen_import_wlaczony,'Tablica IO'!AZ248*INDEX(Model!$C$2:$CA$2,Model!$A14),'Tablica IO'!AZ248*1)</f>
        <v>0</v>
      </c>
      <c r="BA14" s="222" cm="1">
        <f t="array" aca="1" ref="BA14" ca="1">'Tablica IO'!BA170*INDEX(Model!$C$93:$CA$93,Model!$A14) + IF(wplyw_cen_import_wlaczony,'Tablica IO'!BA248*INDEX(Model!$C$2:$CA$2,Model!$A14),'Tablica IO'!BA248*1)</f>
        <v>2.2867088121117114E-3</v>
      </c>
      <c r="BB14" s="222" cm="1">
        <f t="array" aca="1" ref="BB14" ca="1">'Tablica IO'!BB170*INDEX(Model!$C$93:$CA$93,Model!$A14) + IF(wplyw_cen_import_wlaczony,'Tablica IO'!BB248*INDEX(Model!$C$2:$CA$2,Model!$A14),'Tablica IO'!BB248*1)</f>
        <v>2.7277213813899732E-4</v>
      </c>
      <c r="BC14" s="222" cm="1">
        <f t="array" aca="1" ref="BC14" ca="1">'Tablica IO'!BC170*INDEX(Model!$C$93:$CA$93,Model!$A14) + IF(wplyw_cen_import_wlaczony,'Tablica IO'!BC248*INDEX(Model!$C$2:$CA$2,Model!$A14),'Tablica IO'!BC248*1)</f>
        <v>0</v>
      </c>
      <c r="BD14" s="222" cm="1">
        <f t="array" aca="1" ref="BD14" ca="1">'Tablica IO'!BD170*INDEX(Model!$C$93:$CA$93,Model!$A14) + IF(wplyw_cen_import_wlaczony,'Tablica IO'!BD248*INDEX(Model!$C$2:$CA$2,Model!$A14),'Tablica IO'!BD248*1)</f>
        <v>0</v>
      </c>
      <c r="BE14" s="222" cm="1">
        <f t="array" aca="1" ref="BE14" ca="1">'Tablica IO'!BE170*INDEX(Model!$C$93:$CA$93,Model!$A14) + IF(wplyw_cen_import_wlaczony,'Tablica IO'!BE248*INDEX(Model!$C$2:$CA$2,Model!$A14),'Tablica IO'!BE248*1)</f>
        <v>4.3689637424717889E-6</v>
      </c>
      <c r="BF14" s="222" cm="1">
        <f t="array" aca="1" ref="BF14" ca="1">'Tablica IO'!BF170*INDEX(Model!$C$93:$CA$93,Model!$A14) + IF(wplyw_cen_import_wlaczony,'Tablica IO'!BF248*INDEX(Model!$C$2:$CA$2,Model!$A14),'Tablica IO'!BF248*1)</f>
        <v>7.9604077956391768E-4</v>
      </c>
      <c r="BG14" s="222" cm="1">
        <f t="array" aca="1" ref="BG14" ca="1">'Tablica IO'!BG170*INDEX(Model!$C$93:$CA$93,Model!$A14) + IF(wplyw_cen_import_wlaczony,'Tablica IO'!BG248*INDEX(Model!$C$2:$CA$2,Model!$A14),'Tablica IO'!BG248*1)</f>
        <v>8.1403030098534111E-6</v>
      </c>
      <c r="BH14" s="222" cm="1">
        <f t="array" aca="1" ref="BH14" ca="1">'Tablica IO'!BH170*INDEX(Model!$C$93:$CA$93,Model!$A14) + IF(wplyw_cen_import_wlaczony,'Tablica IO'!BH248*INDEX(Model!$C$2:$CA$2,Model!$A14),'Tablica IO'!BH248*1)</f>
        <v>0</v>
      </c>
      <c r="BI14" s="222" cm="1">
        <f t="array" aca="1" ref="BI14" ca="1">'Tablica IO'!BI170*INDEX(Model!$C$93:$CA$93,Model!$A14) + IF(wplyw_cen_import_wlaczony,'Tablica IO'!BI248*INDEX(Model!$C$2:$CA$2,Model!$A14),'Tablica IO'!BI248*1)</f>
        <v>0</v>
      </c>
      <c r="BJ14" s="222" cm="1">
        <f t="array" aca="1" ref="BJ14" ca="1">'Tablica IO'!BJ170*INDEX(Model!$C$93:$CA$93,Model!$A14) + IF(wplyw_cen_import_wlaczony,'Tablica IO'!BJ248*INDEX(Model!$C$2:$CA$2,Model!$A14),'Tablica IO'!BJ248*1)</f>
        <v>2.605284224416034E-4</v>
      </c>
      <c r="BK14" s="222" cm="1">
        <f t="array" aca="1" ref="BK14" ca="1">'Tablica IO'!BK170*INDEX(Model!$C$93:$CA$93,Model!$A14) + IF(wplyw_cen_import_wlaczony,'Tablica IO'!BK248*INDEX(Model!$C$2:$CA$2,Model!$A14),'Tablica IO'!BK248*1)</f>
        <v>1.3061483316521431E-3</v>
      </c>
      <c r="BL14" s="222" cm="1">
        <f t="array" aca="1" ref="BL14" ca="1">'Tablica IO'!BL170*INDEX(Model!$C$93:$CA$93,Model!$A14) + IF(wplyw_cen_import_wlaczony,'Tablica IO'!BL248*INDEX(Model!$C$2:$CA$2,Model!$A14),'Tablica IO'!BL248*1)</f>
        <v>6.9429131031629741E-6</v>
      </c>
      <c r="BM14" s="222" cm="1">
        <f t="array" aca="1" ref="BM14" ca="1">'Tablica IO'!BM170*INDEX(Model!$C$93:$CA$93,Model!$A14) + IF(wplyw_cen_import_wlaczony,'Tablica IO'!BM248*INDEX(Model!$C$2:$CA$2,Model!$A14),'Tablica IO'!BM248*1)</f>
        <v>5.4961838237572931E-5</v>
      </c>
      <c r="BN14" s="222" cm="1">
        <f t="array" aca="1" ref="BN14" ca="1">'Tablica IO'!BN170*INDEX(Model!$C$93:$CA$93,Model!$A14) + IF(wplyw_cen_import_wlaczony,'Tablica IO'!BN248*INDEX(Model!$C$2:$CA$2,Model!$A14),'Tablica IO'!BN248*1)</f>
        <v>1.0467523225287023E-2</v>
      </c>
      <c r="BO14" s="222" cm="1">
        <f t="array" aca="1" ref="BO14" ca="1">'Tablica IO'!BO170*INDEX(Model!$C$93:$CA$93,Model!$A14) + IF(wplyw_cen_import_wlaczony,'Tablica IO'!BO248*INDEX(Model!$C$2:$CA$2,Model!$A14),'Tablica IO'!BO248*1)</f>
        <v>1.4517320196348109E-5</v>
      </c>
      <c r="BP14" s="222" cm="1">
        <f t="array" aca="1" ref="BP14" ca="1">'Tablica IO'!BP170*INDEX(Model!$C$93:$CA$93,Model!$A14) + IF(wplyw_cen_import_wlaczony,'Tablica IO'!BP248*INDEX(Model!$C$2:$CA$2,Model!$A14),'Tablica IO'!BP248*1)</f>
        <v>2.4360691242806984E-4</v>
      </c>
      <c r="BQ14" s="222" cm="1">
        <f t="array" aca="1" ref="BQ14" ca="1">'Tablica IO'!BQ170*INDEX(Model!$C$93:$CA$93,Model!$A14) + IF(wplyw_cen_import_wlaczony,'Tablica IO'!BQ248*INDEX(Model!$C$2:$CA$2,Model!$A14),'Tablica IO'!BQ248*1)</f>
        <v>3.9394806190599639E-5</v>
      </c>
      <c r="BR14" s="222" cm="1">
        <f t="array" aca="1" ref="BR14" ca="1">'Tablica IO'!BR170*INDEX(Model!$C$93:$CA$93,Model!$A14) + IF(wplyw_cen_import_wlaczony,'Tablica IO'!BR248*INDEX(Model!$C$2:$CA$2,Model!$A14),'Tablica IO'!BR248*1)</f>
        <v>4.291214944519973E-5</v>
      </c>
      <c r="BS14" s="222" cm="1">
        <f t="array" aca="1" ref="BS14" ca="1">'Tablica IO'!BS170*INDEX(Model!$C$93:$CA$93,Model!$A14) + IF(wplyw_cen_import_wlaczony,'Tablica IO'!BS248*INDEX(Model!$C$2:$CA$2,Model!$A14),'Tablica IO'!BS248*1)</f>
        <v>0</v>
      </c>
      <c r="BT14" s="222" cm="1">
        <f t="array" aca="1" ref="BT14" ca="1">'Tablica IO'!BT170*INDEX(Model!$C$93:$CA$93,Model!$A14) + IF(wplyw_cen_import_wlaczony,'Tablica IO'!BT248*INDEX(Model!$C$2:$CA$2,Model!$A14),'Tablica IO'!BT248*1)</f>
        <v>2.388959130216166E-4</v>
      </c>
      <c r="BU14" s="222" cm="1">
        <f t="array" aca="1" ref="BU14" ca="1">'Tablica IO'!BU170*INDEX(Model!$C$93:$CA$93,Model!$A14) + IF(wplyw_cen_import_wlaczony,'Tablica IO'!BU248*INDEX(Model!$C$2:$CA$2,Model!$A14),'Tablica IO'!BU248*1)</f>
        <v>2.9694588729453674E-4</v>
      </c>
      <c r="BV14" s="222" cm="1">
        <f t="array" aca="1" ref="BV14" ca="1">'Tablica IO'!BV170*INDEX(Model!$C$93:$CA$93,Model!$A14) + IF(wplyw_cen_import_wlaczony,'Tablica IO'!BV248*INDEX(Model!$C$2:$CA$2,Model!$A14),'Tablica IO'!BV248*1)</f>
        <v>0</v>
      </c>
      <c r="BW14" s="222" cm="1">
        <f t="array" aca="1" ref="BW14" ca="1">'Tablica IO'!BW170*INDEX(Model!$C$93:$CA$93,Model!$A14) + IF(wplyw_cen_import_wlaczony,'Tablica IO'!BW248*INDEX(Model!$C$2:$CA$2,Model!$A14),'Tablica IO'!BW248*1)</f>
        <v>1.7704134961994071E-4</v>
      </c>
      <c r="BX14" s="222" cm="1">
        <f t="array" aca="1" ref="BX14" ca="1">'Tablica IO'!BX170*INDEX(Model!$C$93:$CA$93,Model!$A14) + IF(wplyw_cen_import_wlaczony,'Tablica IO'!BX248*INDEX(Model!$C$2:$CA$2,Model!$A14),'Tablica IO'!BX248*1)</f>
        <v>2.4495689327849071E-3</v>
      </c>
      <c r="BY14" s="222" cm="1">
        <f t="array" aca="1" ref="BY14" ca="1">'Tablica IO'!BY170*INDEX(Model!$C$93:$CA$93,Model!$A14) + IF(wplyw_cen_import_wlaczony,'Tablica IO'!BY248*INDEX(Model!$C$2:$CA$2,Model!$A14),'Tablica IO'!BY248*1)</f>
        <v>0</v>
      </c>
      <c r="BZ14" s="222" cm="1">
        <f t="array" aca="1" ref="BZ14" ca="1">'Tablica IO'!BZ170*INDEX(Model!$C$93:$CA$93,Model!$A14) + IF(wplyw_cen_import_wlaczony,'Tablica IO'!BZ248*INDEX(Model!$C$2:$CA$2,Model!$A14),'Tablica IO'!BZ248*1)</f>
        <v>3.6518693657090389E-3</v>
      </c>
      <c r="CA14" s="222" cm="1">
        <f t="array" aca="1" ref="CA14" ca="1">'Tablica IO'!CA170*INDEX(Model!$C$93:$CA$93,Model!$A14) + IF(wplyw_cen_import_wlaczony,'Tablica IO'!CA248*INDEX(Model!$C$2:$CA$2,Model!$A14),'Tablica IO'!CA248*1)</f>
        <v>0</v>
      </c>
      <c r="CB14" s="247">
        <f ca="1">'Tablica IO'!CD170*INDEX(Model!$C$93:$CA$93,Model!$A14)+'Tablica IO'!CD248*INDEX(Model!$C$2:$CA$2,Model!$A14)</f>
        <v>7.9075068793878038E-3</v>
      </c>
      <c r="CC14" s="188">
        <f ca="1">'Tablica IO'!CE170*INDEX(Model!$C$93:$CA$93,Model!$A14)+'Tablica IO'!CE248*INDEX(Model!$C$2:$CA$2,Model!$A14)</f>
        <v>8.7202429210916617E-4</v>
      </c>
      <c r="CD14" s="188">
        <f ca="1">'Tablica IO'!CF170*INDEX(Model!$C$93:$CA$93,Model!$A14)+'Tablica IO'!CF248*INDEX(Model!$C$2:$CA$2,Model!$A14)</f>
        <v>-7.6621873789977019E-4</v>
      </c>
      <c r="CE14" s="189">
        <f ca="1">'Tablica IO'!CG170*INDEX(Model!$C$93:$CA$93,Model!$A14)+'Tablica IO'!CG248*INDEX(Model!$C$2:$CA$2,Model!$A14)</f>
        <v>3.9861629165396425E-3</v>
      </c>
    </row>
    <row r="15" spans="1:83" x14ac:dyDescent="0.25">
      <c r="A15" s="164">
        <v>3</v>
      </c>
      <c r="B15" s="172" t="s">
        <v>2</v>
      </c>
      <c r="C15" s="221" cm="1">
        <f t="array" aca="1" ref="C15" ca="1">'Tablica IO'!C171*INDEX(Model!$C$93:$CA$93,Model!$A15) + IF(wplyw_cen_import_wlaczony,'Tablica IO'!C249*INDEX(Model!$C$2:$CA$2,Model!$A15),'Tablica IO'!C249*1)</f>
        <v>2.6029991476553484E-5</v>
      </c>
      <c r="D15" s="222" cm="1">
        <f t="array" aca="1" ref="D15" ca="1">'Tablica IO'!D171*INDEX(Model!$C$93:$CA$93,Model!$A15) + IF(wplyw_cen_import_wlaczony,'Tablica IO'!D249*INDEX(Model!$C$2:$CA$2,Model!$A15),'Tablica IO'!D249*1)</f>
        <v>3.957708508382481E-4</v>
      </c>
      <c r="E15" s="222" cm="1">
        <f t="array" aca="1" ref="E15" ca="1">'Tablica IO'!E171*INDEX(Model!$C$93:$CA$93,Model!$A15) + IF(wplyw_cen_import_wlaczony,'Tablica IO'!E249*INDEX(Model!$C$2:$CA$2,Model!$A15),'Tablica IO'!E249*1)</f>
        <v>7.859087668649116E-2</v>
      </c>
      <c r="F15" s="222" cm="1">
        <f t="array" aca="1" ref="F15" ca="1">'Tablica IO'!F171*INDEX(Model!$C$93:$CA$93,Model!$A15) + IF(wplyw_cen_import_wlaczony,'Tablica IO'!F249*INDEX(Model!$C$2:$CA$2,Model!$A15),'Tablica IO'!F249*1)</f>
        <v>0</v>
      </c>
      <c r="G15" s="222" cm="1">
        <f t="array" aca="1" ref="G15" ca="1">'Tablica IO'!G171*INDEX(Model!$C$93:$CA$93,Model!$A15) + IF(wplyw_cen_import_wlaczony,'Tablica IO'!G249*INDEX(Model!$C$2:$CA$2,Model!$A15),'Tablica IO'!G249*1)</f>
        <v>0</v>
      </c>
      <c r="H15" s="222" cm="1">
        <f t="array" aca="1" ref="H15" ca="1">'Tablica IO'!H171*INDEX(Model!$C$93:$CA$93,Model!$A15) + IF(wplyw_cen_import_wlaczony,'Tablica IO'!H249*INDEX(Model!$C$2:$CA$2,Model!$A15),'Tablica IO'!H249*1)</f>
        <v>1.5198079303115817E-2</v>
      </c>
      <c r="I15" s="222" cm="1">
        <f t="array" aca="1" ref="I15" ca="1">'Tablica IO'!I171*INDEX(Model!$C$93:$CA$93,Model!$A15) + IF(wplyw_cen_import_wlaczony,'Tablica IO'!I249*INDEX(Model!$C$2:$CA$2,Model!$A15),'Tablica IO'!I249*1)</f>
        <v>1.2423584894870054E-6</v>
      </c>
      <c r="J15" s="222" cm="1">
        <f t="array" aca="1" ref="J15" ca="1">'Tablica IO'!J171*INDEX(Model!$C$93:$CA$93,Model!$A15) + IF(wplyw_cen_import_wlaczony,'Tablica IO'!J249*INDEX(Model!$C$2:$CA$2,Model!$A15),'Tablica IO'!J249*1)</f>
        <v>0</v>
      </c>
      <c r="K15" s="222" cm="1">
        <f t="array" aca="1" ref="K15" ca="1">'Tablica IO'!K171*INDEX(Model!$C$93:$CA$93,Model!$A15) + IF(wplyw_cen_import_wlaczony,'Tablica IO'!K249*INDEX(Model!$C$2:$CA$2,Model!$A15),'Tablica IO'!K249*1)</f>
        <v>0</v>
      </c>
      <c r="L15" s="222" cm="1">
        <f t="array" aca="1" ref="L15" ca="1">'Tablica IO'!L171*INDEX(Model!$C$93:$CA$93,Model!$A15) + IF(wplyw_cen_import_wlaczony,'Tablica IO'!L249*INDEX(Model!$C$2:$CA$2,Model!$A15),'Tablica IO'!L249*1)</f>
        <v>0</v>
      </c>
      <c r="M15" s="222" cm="1">
        <f t="array" aca="1" ref="M15" ca="1">'Tablica IO'!M171*INDEX(Model!$C$93:$CA$93,Model!$A15) + IF(wplyw_cen_import_wlaczony,'Tablica IO'!M249*INDEX(Model!$C$2:$CA$2,Model!$A15),'Tablica IO'!M249*1)</f>
        <v>1.3409617760645824E-4</v>
      </c>
      <c r="N15" s="222" cm="1">
        <f t="array" aca="1" ref="N15" ca="1">'Tablica IO'!N171*INDEX(Model!$C$93:$CA$93,Model!$A15) + IF(wplyw_cen_import_wlaczony,'Tablica IO'!N249*INDEX(Model!$C$2:$CA$2,Model!$A15),'Tablica IO'!N249*1)</f>
        <v>2.4052658419867702E-5</v>
      </c>
      <c r="O15" s="222" cm="1">
        <f t="array" aca="1" ref="O15" ca="1">'Tablica IO'!O171*INDEX(Model!$C$93:$CA$93,Model!$A15) + IF(wplyw_cen_import_wlaczony,'Tablica IO'!O249*INDEX(Model!$C$2:$CA$2,Model!$A15),'Tablica IO'!O249*1)</f>
        <v>0</v>
      </c>
      <c r="P15" s="222" cm="1">
        <f t="array" aca="1" ref="P15" ca="1">'Tablica IO'!P171*INDEX(Model!$C$93:$CA$93,Model!$A15) + IF(wplyw_cen_import_wlaczony,'Tablica IO'!P249*INDEX(Model!$C$2:$CA$2,Model!$A15),'Tablica IO'!P249*1)</f>
        <v>0</v>
      </c>
      <c r="Q15" s="222" cm="1">
        <f t="array" aca="1" ref="Q15" ca="1">'Tablica IO'!Q171*INDEX(Model!$C$93:$CA$93,Model!$A15) + IF(wplyw_cen_import_wlaczony,'Tablica IO'!Q249*INDEX(Model!$C$2:$CA$2,Model!$A15),'Tablica IO'!Q249*1)</f>
        <v>0</v>
      </c>
      <c r="R15" s="222" cm="1">
        <f t="array" aca="1" ref="R15" ca="1">'Tablica IO'!R171*INDEX(Model!$C$93:$CA$93,Model!$A15) + IF(wplyw_cen_import_wlaczony,'Tablica IO'!R249*INDEX(Model!$C$2:$CA$2,Model!$A15),'Tablica IO'!R249*1)</f>
        <v>3.7927142328929964E-5</v>
      </c>
      <c r="S15" s="222" cm="1">
        <f t="array" aca="1" ref="S15" ca="1">'Tablica IO'!S171*INDEX(Model!$C$93:$CA$93,Model!$A15) + IF(wplyw_cen_import_wlaczony,'Tablica IO'!S249*INDEX(Model!$C$2:$CA$2,Model!$A15),'Tablica IO'!S249*1)</f>
        <v>0</v>
      </c>
      <c r="T15" s="222" cm="1">
        <f t="array" aca="1" ref="T15" ca="1">'Tablica IO'!T171*INDEX(Model!$C$93:$CA$93,Model!$A15) + IF(wplyw_cen_import_wlaczony,'Tablica IO'!T249*INDEX(Model!$C$2:$CA$2,Model!$A15),'Tablica IO'!T249*1)</f>
        <v>0</v>
      </c>
      <c r="U15" s="222" cm="1">
        <f t="array" aca="1" ref="U15" ca="1">'Tablica IO'!U171*INDEX(Model!$C$93:$CA$93,Model!$A15) + IF(wplyw_cen_import_wlaczony,'Tablica IO'!U249*INDEX(Model!$C$2:$CA$2,Model!$A15),'Tablica IO'!U249*1)</f>
        <v>2.186719180508168E-6</v>
      </c>
      <c r="V15" s="222" cm="1">
        <f t="array" aca="1" ref="V15" ca="1">'Tablica IO'!V171*INDEX(Model!$C$93:$CA$93,Model!$A15) + IF(wplyw_cen_import_wlaczony,'Tablica IO'!V249*INDEX(Model!$C$2:$CA$2,Model!$A15),'Tablica IO'!V249*1)</f>
        <v>0</v>
      </c>
      <c r="W15" s="222" cm="1">
        <f t="array" aca="1" ref="W15" ca="1">'Tablica IO'!W171*INDEX(Model!$C$93:$CA$93,Model!$A15) + IF(wplyw_cen_import_wlaczony,'Tablica IO'!W249*INDEX(Model!$C$2:$CA$2,Model!$A15),'Tablica IO'!W249*1)</f>
        <v>0</v>
      </c>
      <c r="X15" s="222" cm="1">
        <f t="array" aca="1" ref="X15" ca="1">'Tablica IO'!X171*INDEX(Model!$C$93:$CA$93,Model!$A15) + IF(wplyw_cen_import_wlaczony,'Tablica IO'!X249*INDEX(Model!$C$2:$CA$2,Model!$A15),'Tablica IO'!X249*1)</f>
        <v>0</v>
      </c>
      <c r="Y15" s="222" cm="1">
        <f t="array" aca="1" ref="Y15" ca="1">'Tablica IO'!Y171*INDEX(Model!$C$93:$CA$93,Model!$A15) + IF(wplyw_cen_import_wlaczony,'Tablica IO'!Y249*INDEX(Model!$C$2:$CA$2,Model!$A15),'Tablica IO'!Y249*1)</f>
        <v>0</v>
      </c>
      <c r="Z15" s="222" cm="1">
        <f t="array" aca="1" ref="Z15" ca="1">'Tablica IO'!Z171*INDEX(Model!$C$93:$CA$93,Model!$A15) + IF(wplyw_cen_import_wlaczony,'Tablica IO'!Z249*INDEX(Model!$C$2:$CA$2,Model!$A15),'Tablica IO'!Z249*1)</f>
        <v>3.6175476095927874E-6</v>
      </c>
      <c r="AA15" s="222" cm="1">
        <f t="array" aca="1" ref="AA15" ca="1">'Tablica IO'!AA171*INDEX(Model!$C$93:$CA$93,Model!$A15) + IF(wplyw_cen_import_wlaczony,'Tablica IO'!AA249*INDEX(Model!$C$2:$CA$2,Model!$A15),'Tablica IO'!AA249*1)</f>
        <v>0</v>
      </c>
      <c r="AB15" s="222" cm="1">
        <f t="array" aca="1" ref="AB15" ca="1">'Tablica IO'!AB171*INDEX(Model!$C$93:$CA$93,Model!$A15) + IF(wplyw_cen_import_wlaczony,'Tablica IO'!AB249*INDEX(Model!$C$2:$CA$2,Model!$A15),'Tablica IO'!AB249*1)</f>
        <v>0</v>
      </c>
      <c r="AC15" s="222" cm="1">
        <f t="array" aca="1" ref="AC15" ca="1">'Tablica IO'!AC171*INDEX(Model!$C$93:$CA$93,Model!$A15) + IF(wplyw_cen_import_wlaczony,'Tablica IO'!AC249*INDEX(Model!$C$2:$CA$2,Model!$A15),'Tablica IO'!AC249*1)</f>
        <v>1.9189850274677576E-5</v>
      </c>
      <c r="AD15" s="222" cm="1">
        <f t="array" aca="1" ref="AD15" ca="1">'Tablica IO'!AD171*INDEX(Model!$C$93:$CA$93,Model!$A15) + IF(wplyw_cen_import_wlaczony,'Tablica IO'!AD249*INDEX(Model!$C$2:$CA$2,Model!$A15),'Tablica IO'!AD249*1)</f>
        <v>0</v>
      </c>
      <c r="AE15" s="222" cm="1">
        <f t="array" aca="1" ref="AE15" ca="1">'Tablica IO'!AE171*INDEX(Model!$C$93:$CA$93,Model!$A15) + IF(wplyw_cen_import_wlaczony,'Tablica IO'!AE249*INDEX(Model!$C$2:$CA$2,Model!$A15),'Tablica IO'!AE249*1)</f>
        <v>0</v>
      </c>
      <c r="AF15" s="222" cm="1">
        <f t="array" aca="1" ref="AF15" ca="1">'Tablica IO'!AF171*INDEX(Model!$C$93:$CA$93,Model!$A15) + IF(wplyw_cen_import_wlaczony,'Tablica IO'!AF249*INDEX(Model!$C$2:$CA$2,Model!$A15),'Tablica IO'!AF249*1)</f>
        <v>6.4003381348523244E-6</v>
      </c>
      <c r="AG15" s="222" cm="1">
        <f t="array" aca="1" ref="AG15" ca="1">'Tablica IO'!AG171*INDEX(Model!$C$93:$CA$93,Model!$A15) + IF(wplyw_cen_import_wlaczony,'Tablica IO'!AG249*INDEX(Model!$C$2:$CA$2,Model!$A15),'Tablica IO'!AG249*1)</f>
        <v>2.399541499118681E-5</v>
      </c>
      <c r="AH15" s="222" cm="1">
        <f t="array" aca="1" ref="AH15" ca="1">'Tablica IO'!AH171*INDEX(Model!$C$93:$CA$93,Model!$A15) + IF(wplyw_cen_import_wlaczony,'Tablica IO'!AH249*INDEX(Model!$C$2:$CA$2,Model!$A15),'Tablica IO'!AH249*1)</f>
        <v>0</v>
      </c>
      <c r="AI15" s="222" cm="1">
        <f t="array" aca="1" ref="AI15" ca="1">'Tablica IO'!AI171*INDEX(Model!$C$93:$CA$93,Model!$A15) + IF(wplyw_cen_import_wlaczony,'Tablica IO'!AI249*INDEX(Model!$C$2:$CA$2,Model!$A15),'Tablica IO'!AI249*1)</f>
        <v>2.1891190753733965E-6</v>
      </c>
      <c r="AJ15" s="222" cm="1">
        <f t="array" aca="1" ref="AJ15" ca="1">'Tablica IO'!AJ171*INDEX(Model!$C$93:$CA$93,Model!$A15) + IF(wplyw_cen_import_wlaczony,'Tablica IO'!AJ249*INDEX(Model!$C$2:$CA$2,Model!$A15),'Tablica IO'!AJ249*1)</f>
        <v>2.6122062789457994E-6</v>
      </c>
      <c r="AK15" s="222" cm="1">
        <f t="array" aca="1" ref="AK15" ca="1">'Tablica IO'!AK171*INDEX(Model!$C$93:$CA$93,Model!$A15) + IF(wplyw_cen_import_wlaczony,'Tablica IO'!AK249*INDEX(Model!$C$2:$CA$2,Model!$A15),'Tablica IO'!AK249*1)</f>
        <v>0</v>
      </c>
      <c r="AL15" s="222" cm="1">
        <f t="array" aca="1" ref="AL15" ca="1">'Tablica IO'!AL171*INDEX(Model!$C$93:$CA$93,Model!$A15) + IF(wplyw_cen_import_wlaczony,'Tablica IO'!AL249*INDEX(Model!$C$2:$CA$2,Model!$A15),'Tablica IO'!AL249*1)</f>
        <v>9.6813207715561308E-4</v>
      </c>
      <c r="AM15" s="222" cm="1">
        <f t="array" aca="1" ref="AM15" ca="1">'Tablica IO'!AM171*INDEX(Model!$C$93:$CA$93,Model!$A15) + IF(wplyw_cen_import_wlaczony,'Tablica IO'!AM249*INDEX(Model!$C$2:$CA$2,Model!$A15),'Tablica IO'!AM249*1)</f>
        <v>2.4620936840159375E-5</v>
      </c>
      <c r="AN15" s="222" cm="1">
        <f t="array" aca="1" ref="AN15" ca="1">'Tablica IO'!AN171*INDEX(Model!$C$93:$CA$93,Model!$A15) + IF(wplyw_cen_import_wlaczony,'Tablica IO'!AN249*INDEX(Model!$C$2:$CA$2,Model!$A15),'Tablica IO'!AN249*1)</f>
        <v>0</v>
      </c>
      <c r="AO15" s="222" cm="1">
        <f t="array" aca="1" ref="AO15" ca="1">'Tablica IO'!AO171*INDEX(Model!$C$93:$CA$93,Model!$A15) + IF(wplyw_cen_import_wlaczony,'Tablica IO'!AO249*INDEX(Model!$C$2:$CA$2,Model!$A15),'Tablica IO'!AO249*1)</f>
        <v>3.1298200283100967E-7</v>
      </c>
      <c r="AP15" s="222" cm="1">
        <f t="array" aca="1" ref="AP15" ca="1">'Tablica IO'!AP171*INDEX(Model!$C$93:$CA$93,Model!$A15) + IF(wplyw_cen_import_wlaczony,'Tablica IO'!AP249*INDEX(Model!$C$2:$CA$2,Model!$A15),'Tablica IO'!AP249*1)</f>
        <v>2.2878605436755952E-7</v>
      </c>
      <c r="AQ15" s="222" cm="1">
        <f t="array" aca="1" ref="AQ15" ca="1">'Tablica IO'!AQ171*INDEX(Model!$C$93:$CA$93,Model!$A15) + IF(wplyw_cen_import_wlaczony,'Tablica IO'!AQ249*INDEX(Model!$C$2:$CA$2,Model!$A15),'Tablica IO'!AQ249*1)</f>
        <v>2.7416714995998756E-3</v>
      </c>
      <c r="AR15" s="222" cm="1">
        <f t="array" aca="1" ref="AR15" ca="1">'Tablica IO'!AR171*INDEX(Model!$C$93:$CA$93,Model!$A15) + IF(wplyw_cen_import_wlaczony,'Tablica IO'!AR249*INDEX(Model!$C$2:$CA$2,Model!$A15),'Tablica IO'!AR249*1)</f>
        <v>3.5039025867934269E-3</v>
      </c>
      <c r="AS15" s="222" cm="1">
        <f t="array" aca="1" ref="AS15" ca="1">'Tablica IO'!AS171*INDEX(Model!$C$93:$CA$93,Model!$A15) + IF(wplyw_cen_import_wlaczony,'Tablica IO'!AS249*INDEX(Model!$C$2:$CA$2,Model!$A15),'Tablica IO'!AS249*1)</f>
        <v>0</v>
      </c>
      <c r="AT15" s="222" cm="1">
        <f t="array" aca="1" ref="AT15" ca="1">'Tablica IO'!AT171*INDEX(Model!$C$93:$CA$93,Model!$A15) + IF(wplyw_cen_import_wlaczony,'Tablica IO'!AT249*INDEX(Model!$C$2:$CA$2,Model!$A15),'Tablica IO'!AT249*1)</f>
        <v>0</v>
      </c>
      <c r="AU15" s="222" cm="1">
        <f t="array" aca="1" ref="AU15" ca="1">'Tablica IO'!AU171*INDEX(Model!$C$93:$CA$93,Model!$A15) + IF(wplyw_cen_import_wlaczony,'Tablica IO'!AU249*INDEX(Model!$C$2:$CA$2,Model!$A15),'Tablica IO'!AU249*1)</f>
        <v>0</v>
      </c>
      <c r="AV15" s="222" cm="1">
        <f t="array" aca="1" ref="AV15" ca="1">'Tablica IO'!AV171*INDEX(Model!$C$93:$CA$93,Model!$A15) + IF(wplyw_cen_import_wlaczony,'Tablica IO'!AV249*INDEX(Model!$C$2:$CA$2,Model!$A15),'Tablica IO'!AV249*1)</f>
        <v>0</v>
      </c>
      <c r="AW15" s="222" cm="1">
        <f t="array" aca="1" ref="AW15" ca="1">'Tablica IO'!AW171*INDEX(Model!$C$93:$CA$93,Model!$A15) + IF(wplyw_cen_import_wlaczony,'Tablica IO'!AW249*INDEX(Model!$C$2:$CA$2,Model!$A15),'Tablica IO'!AW249*1)</f>
        <v>0</v>
      </c>
      <c r="AX15" s="222" cm="1">
        <f t="array" aca="1" ref="AX15" ca="1">'Tablica IO'!AX171*INDEX(Model!$C$93:$CA$93,Model!$A15) + IF(wplyw_cen_import_wlaczony,'Tablica IO'!AX249*INDEX(Model!$C$2:$CA$2,Model!$A15),'Tablica IO'!AX249*1)</f>
        <v>0</v>
      </c>
      <c r="AY15" s="222" cm="1">
        <f t="array" aca="1" ref="AY15" ca="1">'Tablica IO'!AY171*INDEX(Model!$C$93:$CA$93,Model!$A15) + IF(wplyw_cen_import_wlaczony,'Tablica IO'!AY249*INDEX(Model!$C$2:$CA$2,Model!$A15),'Tablica IO'!AY249*1)</f>
        <v>0</v>
      </c>
      <c r="AZ15" s="222" cm="1">
        <f t="array" aca="1" ref="AZ15" ca="1">'Tablica IO'!AZ171*INDEX(Model!$C$93:$CA$93,Model!$A15) + IF(wplyw_cen_import_wlaczony,'Tablica IO'!AZ249*INDEX(Model!$C$2:$CA$2,Model!$A15),'Tablica IO'!AZ249*1)</f>
        <v>0</v>
      </c>
      <c r="BA15" s="222" cm="1">
        <f t="array" aca="1" ref="BA15" ca="1">'Tablica IO'!BA171*INDEX(Model!$C$93:$CA$93,Model!$A15) + IF(wplyw_cen_import_wlaczony,'Tablica IO'!BA249*INDEX(Model!$C$2:$CA$2,Model!$A15),'Tablica IO'!BA249*1)</f>
        <v>0</v>
      </c>
      <c r="BB15" s="222" cm="1">
        <f t="array" aca="1" ref="BB15" ca="1">'Tablica IO'!BB171*INDEX(Model!$C$93:$CA$93,Model!$A15) + IF(wplyw_cen_import_wlaczony,'Tablica IO'!BB249*INDEX(Model!$C$2:$CA$2,Model!$A15),'Tablica IO'!BB249*1)</f>
        <v>1.0652585341631709E-6</v>
      </c>
      <c r="BC15" s="222" cm="1">
        <f t="array" aca="1" ref="BC15" ca="1">'Tablica IO'!BC171*INDEX(Model!$C$93:$CA$93,Model!$A15) + IF(wplyw_cen_import_wlaczony,'Tablica IO'!BC249*INDEX(Model!$C$2:$CA$2,Model!$A15),'Tablica IO'!BC249*1)</f>
        <v>0</v>
      </c>
      <c r="BD15" s="222" cm="1">
        <f t="array" aca="1" ref="BD15" ca="1">'Tablica IO'!BD171*INDEX(Model!$C$93:$CA$93,Model!$A15) + IF(wplyw_cen_import_wlaczony,'Tablica IO'!BD249*INDEX(Model!$C$2:$CA$2,Model!$A15),'Tablica IO'!BD249*1)</f>
        <v>6.4269310407844931E-7</v>
      </c>
      <c r="BE15" s="222" cm="1">
        <f t="array" aca="1" ref="BE15" ca="1">'Tablica IO'!BE171*INDEX(Model!$C$93:$CA$93,Model!$A15) + IF(wplyw_cen_import_wlaczony,'Tablica IO'!BE249*INDEX(Model!$C$2:$CA$2,Model!$A15),'Tablica IO'!BE249*1)</f>
        <v>0</v>
      </c>
      <c r="BF15" s="222" cm="1">
        <f t="array" aca="1" ref="BF15" ca="1">'Tablica IO'!BF171*INDEX(Model!$C$93:$CA$93,Model!$A15) + IF(wplyw_cen_import_wlaczony,'Tablica IO'!BF249*INDEX(Model!$C$2:$CA$2,Model!$A15),'Tablica IO'!BF249*1)</f>
        <v>2.8368533097046354E-4</v>
      </c>
      <c r="BG15" s="222" cm="1">
        <f t="array" aca="1" ref="BG15" ca="1">'Tablica IO'!BG171*INDEX(Model!$C$93:$CA$93,Model!$A15) + IF(wplyw_cen_import_wlaczony,'Tablica IO'!BG249*INDEX(Model!$C$2:$CA$2,Model!$A15),'Tablica IO'!BG249*1)</f>
        <v>0</v>
      </c>
      <c r="BH15" s="222" cm="1">
        <f t="array" aca="1" ref="BH15" ca="1">'Tablica IO'!BH171*INDEX(Model!$C$93:$CA$93,Model!$A15) + IF(wplyw_cen_import_wlaczony,'Tablica IO'!BH249*INDEX(Model!$C$2:$CA$2,Model!$A15),'Tablica IO'!BH249*1)</f>
        <v>0</v>
      </c>
      <c r="BI15" s="222" cm="1">
        <f t="array" aca="1" ref="BI15" ca="1">'Tablica IO'!BI171*INDEX(Model!$C$93:$CA$93,Model!$A15) + IF(wplyw_cen_import_wlaczony,'Tablica IO'!BI249*INDEX(Model!$C$2:$CA$2,Model!$A15),'Tablica IO'!BI249*1)</f>
        <v>0</v>
      </c>
      <c r="BJ15" s="222" cm="1">
        <f t="array" aca="1" ref="BJ15" ca="1">'Tablica IO'!BJ171*INDEX(Model!$C$93:$CA$93,Model!$A15) + IF(wplyw_cen_import_wlaczony,'Tablica IO'!BJ249*INDEX(Model!$C$2:$CA$2,Model!$A15),'Tablica IO'!BJ249*1)</f>
        <v>0</v>
      </c>
      <c r="BK15" s="222" cm="1">
        <f t="array" aca="1" ref="BK15" ca="1">'Tablica IO'!BK171*INDEX(Model!$C$93:$CA$93,Model!$A15) + IF(wplyw_cen_import_wlaczony,'Tablica IO'!BK249*INDEX(Model!$C$2:$CA$2,Model!$A15),'Tablica IO'!BK249*1)</f>
        <v>0</v>
      </c>
      <c r="BL15" s="222" cm="1">
        <f t="array" aca="1" ref="BL15" ca="1">'Tablica IO'!BL171*INDEX(Model!$C$93:$CA$93,Model!$A15) + IF(wplyw_cen_import_wlaczony,'Tablica IO'!BL249*INDEX(Model!$C$2:$CA$2,Model!$A15),'Tablica IO'!BL249*1)</f>
        <v>7.4418238900541851E-5</v>
      </c>
      <c r="BM15" s="222" cm="1">
        <f t="array" aca="1" ref="BM15" ca="1">'Tablica IO'!BM171*INDEX(Model!$C$93:$CA$93,Model!$A15) + IF(wplyw_cen_import_wlaczony,'Tablica IO'!BM249*INDEX(Model!$C$2:$CA$2,Model!$A15),'Tablica IO'!BM249*1)</f>
        <v>9.1189955166839801E-7</v>
      </c>
      <c r="BN15" s="222" cm="1">
        <f t="array" aca="1" ref="BN15" ca="1">'Tablica IO'!BN171*INDEX(Model!$C$93:$CA$93,Model!$A15) + IF(wplyw_cen_import_wlaczony,'Tablica IO'!BN249*INDEX(Model!$C$2:$CA$2,Model!$A15),'Tablica IO'!BN249*1)</f>
        <v>1.783458802105023E-5</v>
      </c>
      <c r="BO15" s="222" cm="1">
        <f t="array" aca="1" ref="BO15" ca="1">'Tablica IO'!BO171*INDEX(Model!$C$93:$CA$93,Model!$A15) + IF(wplyw_cen_import_wlaczony,'Tablica IO'!BO249*INDEX(Model!$C$2:$CA$2,Model!$A15),'Tablica IO'!BO249*1)</f>
        <v>0</v>
      </c>
      <c r="BP15" s="222" cm="1">
        <f t="array" aca="1" ref="BP15" ca="1">'Tablica IO'!BP171*INDEX(Model!$C$93:$CA$93,Model!$A15) + IF(wplyw_cen_import_wlaczony,'Tablica IO'!BP249*INDEX(Model!$C$2:$CA$2,Model!$A15),'Tablica IO'!BP249*1)</f>
        <v>4.1333796357058885E-6</v>
      </c>
      <c r="BQ15" s="222" cm="1">
        <f t="array" aca="1" ref="BQ15" ca="1">'Tablica IO'!BQ171*INDEX(Model!$C$93:$CA$93,Model!$A15) + IF(wplyw_cen_import_wlaczony,'Tablica IO'!BQ249*INDEX(Model!$C$2:$CA$2,Model!$A15),'Tablica IO'!BQ249*1)</f>
        <v>1.7862965002221035E-5</v>
      </c>
      <c r="BR15" s="222" cm="1">
        <f t="array" aca="1" ref="BR15" ca="1">'Tablica IO'!BR171*INDEX(Model!$C$93:$CA$93,Model!$A15) + IF(wplyw_cen_import_wlaczony,'Tablica IO'!BR249*INDEX(Model!$C$2:$CA$2,Model!$A15),'Tablica IO'!BR249*1)</f>
        <v>6.5187172555796323E-5</v>
      </c>
      <c r="BS15" s="222" cm="1">
        <f t="array" aca="1" ref="BS15" ca="1">'Tablica IO'!BS171*INDEX(Model!$C$93:$CA$93,Model!$A15) + IF(wplyw_cen_import_wlaczony,'Tablica IO'!BS249*INDEX(Model!$C$2:$CA$2,Model!$A15),'Tablica IO'!BS249*1)</f>
        <v>1.3034509898024655E-4</v>
      </c>
      <c r="BT15" s="222" cm="1">
        <f t="array" aca="1" ref="BT15" ca="1">'Tablica IO'!BT171*INDEX(Model!$C$93:$CA$93,Model!$A15) + IF(wplyw_cen_import_wlaczony,'Tablica IO'!BT249*INDEX(Model!$C$2:$CA$2,Model!$A15),'Tablica IO'!BT249*1)</f>
        <v>5.3279108955097466E-6</v>
      </c>
      <c r="BU15" s="222" cm="1">
        <f t="array" aca="1" ref="BU15" ca="1">'Tablica IO'!BU171*INDEX(Model!$C$93:$CA$93,Model!$A15) + IF(wplyw_cen_import_wlaczony,'Tablica IO'!BU249*INDEX(Model!$C$2:$CA$2,Model!$A15),'Tablica IO'!BU249*1)</f>
        <v>3.8433582045285351E-5</v>
      </c>
      <c r="BV15" s="222" cm="1">
        <f t="array" aca="1" ref="BV15" ca="1">'Tablica IO'!BV171*INDEX(Model!$C$93:$CA$93,Model!$A15) + IF(wplyw_cen_import_wlaczony,'Tablica IO'!BV249*INDEX(Model!$C$2:$CA$2,Model!$A15),'Tablica IO'!BV249*1)</f>
        <v>0</v>
      </c>
      <c r="BW15" s="222" cm="1">
        <f t="array" aca="1" ref="BW15" ca="1">'Tablica IO'!BW171*INDEX(Model!$C$93:$CA$93,Model!$A15) + IF(wplyw_cen_import_wlaczony,'Tablica IO'!BW249*INDEX(Model!$C$2:$CA$2,Model!$A15),'Tablica IO'!BW249*1)</f>
        <v>7.4881542245527471E-6</v>
      </c>
      <c r="BX15" s="222" cm="1">
        <f t="array" aca="1" ref="BX15" ca="1">'Tablica IO'!BX171*INDEX(Model!$C$93:$CA$93,Model!$A15) + IF(wplyw_cen_import_wlaczony,'Tablica IO'!BX249*INDEX(Model!$C$2:$CA$2,Model!$A15),'Tablica IO'!BX249*1)</f>
        <v>9.7151411473871976E-5</v>
      </c>
      <c r="BY15" s="222" cm="1">
        <f t="array" aca="1" ref="BY15" ca="1">'Tablica IO'!BY171*INDEX(Model!$C$93:$CA$93,Model!$A15) + IF(wplyw_cen_import_wlaczony,'Tablica IO'!BY249*INDEX(Model!$C$2:$CA$2,Model!$A15),'Tablica IO'!BY249*1)</f>
        <v>0</v>
      </c>
      <c r="BZ15" s="222" cm="1">
        <f t="array" aca="1" ref="BZ15" ca="1">'Tablica IO'!BZ171*INDEX(Model!$C$93:$CA$93,Model!$A15) + IF(wplyw_cen_import_wlaczony,'Tablica IO'!BZ249*INDEX(Model!$C$2:$CA$2,Model!$A15),'Tablica IO'!BZ249*1)</f>
        <v>1.3379065530527178E-4</v>
      </c>
      <c r="CA15" s="222" cm="1">
        <f t="array" aca="1" ref="CA15" ca="1">'Tablica IO'!CA171*INDEX(Model!$C$93:$CA$93,Model!$A15) + IF(wplyw_cen_import_wlaczony,'Tablica IO'!CA249*INDEX(Model!$C$2:$CA$2,Model!$A15),'Tablica IO'!CA249*1)</f>
        <v>0</v>
      </c>
      <c r="CB15" s="247">
        <f ca="1">'Tablica IO'!CD171*INDEX(Model!$C$93:$CA$93,Model!$A15)+'Tablica IO'!CD249*INDEX(Model!$C$2:$CA$2,Model!$A15)</f>
        <v>3.0461775444368176E-4</v>
      </c>
      <c r="CC15" s="188">
        <f ca="1">'Tablica IO'!CE171*INDEX(Model!$C$93:$CA$93,Model!$A15)+'Tablica IO'!CE249*INDEX(Model!$C$2:$CA$2,Model!$A15)</f>
        <v>5.5973436452813636E-5</v>
      </c>
      <c r="CD15" s="188">
        <f ca="1">'Tablica IO'!CF171*INDEX(Model!$C$93:$CA$93,Model!$A15)+'Tablica IO'!CF249*INDEX(Model!$C$2:$CA$2,Model!$A15)</f>
        <v>5.7401624964904916E-5</v>
      </c>
      <c r="CE15" s="189">
        <f ca="1">'Tablica IO'!CG171*INDEX(Model!$C$93:$CA$93,Model!$A15)+'Tablica IO'!CG249*INDEX(Model!$C$2:$CA$2,Model!$A15)</f>
        <v>1.3709867943889623E-4</v>
      </c>
    </row>
    <row r="16" spans="1:83" x14ac:dyDescent="0.25">
      <c r="A16" s="164">
        <v>4</v>
      </c>
      <c r="B16" s="172" t="s">
        <v>3</v>
      </c>
      <c r="C16" s="221" cm="1">
        <f t="array" aca="1" ref="C16" ca="1">'Tablica IO'!C172*INDEX(Model!$C$93:$CA$93,Model!$A16) + IF(wplyw_cen_import_wlaczony,'Tablica IO'!C250*INDEX(Model!$C$2:$CA$2,Model!$A16),'Tablica IO'!C250*1)</f>
        <v>4.2489450827962209E-3</v>
      </c>
      <c r="D16" s="222" cm="1">
        <f t="array" aca="1" ref="D16" ca="1">'Tablica IO'!D172*INDEX(Model!$C$93:$CA$93,Model!$A16) + IF(wplyw_cen_import_wlaczony,'Tablica IO'!D250*INDEX(Model!$C$2:$CA$2,Model!$A16),'Tablica IO'!D250*1)</f>
        <v>1.5977167115689035E-3</v>
      </c>
      <c r="E16" s="222" cm="1">
        <f t="array" aca="1" ref="E16" ca="1">'Tablica IO'!E172*INDEX(Model!$C$93:$CA$93,Model!$A16) + IF(wplyw_cen_import_wlaczony,'Tablica IO'!E250*INDEX(Model!$C$2:$CA$2,Model!$A16),'Tablica IO'!E250*1)</f>
        <v>3.6803557998411402E-4</v>
      </c>
      <c r="F16" s="222" cm="1">
        <f t="array" aca="1" ref="F16" ca="1">'Tablica IO'!F172*INDEX(Model!$C$93:$CA$93,Model!$A16) + IF(wplyw_cen_import_wlaczony,'Tablica IO'!F250*INDEX(Model!$C$2:$CA$2,Model!$A16),'Tablica IO'!F250*1)</f>
        <v>4.7442379696372182E-4</v>
      </c>
      <c r="G16" s="222" cm="1">
        <f t="array" aca="1" ref="G16" ca="1">'Tablica IO'!G172*INDEX(Model!$C$93:$CA$93,Model!$A16) + IF(wplyw_cen_import_wlaczony,'Tablica IO'!G250*INDEX(Model!$C$2:$CA$2,Model!$A16),'Tablica IO'!G250*1)</f>
        <v>3.2766812169906785E-4</v>
      </c>
      <c r="H16" s="222" cm="1">
        <f t="array" aca="1" ref="H16" ca="1">'Tablica IO'!H172*INDEX(Model!$C$93:$CA$93,Model!$A16) + IF(wplyw_cen_import_wlaczony,'Tablica IO'!H250*INDEX(Model!$C$2:$CA$2,Model!$A16),'Tablica IO'!H250*1)</f>
        <v>1.4889850039117381E-3</v>
      </c>
      <c r="I16" s="222" cm="1">
        <f t="array" aca="1" ref="I16" ca="1">'Tablica IO'!I172*INDEX(Model!$C$93:$CA$93,Model!$A16) + IF(wplyw_cen_import_wlaczony,'Tablica IO'!I250*INDEX(Model!$C$2:$CA$2,Model!$A16),'Tablica IO'!I250*1)</f>
        <v>7.2782851948449473E-4</v>
      </c>
      <c r="J16" s="222" cm="1">
        <f t="array" aca="1" ref="J16" ca="1">'Tablica IO'!J172*INDEX(Model!$C$93:$CA$93,Model!$A16) + IF(wplyw_cen_import_wlaczony,'Tablica IO'!J250*INDEX(Model!$C$2:$CA$2,Model!$A16),'Tablica IO'!J250*1)</f>
        <v>1.2704860905991103E-4</v>
      </c>
      <c r="K16" s="222" cm="1">
        <f t="array" aca="1" ref="K16" ca="1">'Tablica IO'!K172*INDEX(Model!$C$93:$CA$93,Model!$A16) + IF(wplyw_cen_import_wlaczony,'Tablica IO'!K250*INDEX(Model!$C$2:$CA$2,Model!$A16),'Tablica IO'!K250*1)</f>
        <v>3.9991690191668158E-4</v>
      </c>
      <c r="L16" s="222" cm="1">
        <f t="array" aca="1" ref="L16" ca="1">'Tablica IO'!L172*INDEX(Model!$C$93:$CA$93,Model!$A16) + IF(wplyw_cen_import_wlaczony,'Tablica IO'!L250*INDEX(Model!$C$2:$CA$2,Model!$A16),'Tablica IO'!L250*1)</f>
        <v>2.6909755444364577E-4</v>
      </c>
      <c r="M16" s="222" cm="1">
        <f t="array" aca="1" ref="M16" ca="1">'Tablica IO'!M172*INDEX(Model!$C$93:$CA$93,Model!$A16) + IF(wplyw_cen_import_wlaczony,'Tablica IO'!M250*INDEX(Model!$C$2:$CA$2,Model!$A16),'Tablica IO'!M250*1)</f>
        <v>4.8253978882987705E-4</v>
      </c>
      <c r="N16" s="222" cm="1">
        <f t="array" aca="1" ref="N16" ca="1">'Tablica IO'!N172*INDEX(Model!$C$93:$CA$93,Model!$A16) + IF(wplyw_cen_import_wlaczony,'Tablica IO'!N250*INDEX(Model!$C$2:$CA$2,Model!$A16),'Tablica IO'!N250*1)</f>
        <v>5.2027736424617877E-4</v>
      </c>
      <c r="O16" s="222" cm="1">
        <f t="array" aca="1" ref="O16" ca="1">'Tablica IO'!O172*INDEX(Model!$C$93:$CA$93,Model!$A16) + IF(wplyw_cen_import_wlaczony,'Tablica IO'!O250*INDEX(Model!$C$2:$CA$2,Model!$A16),'Tablica IO'!O250*1)</f>
        <v>4.4608945318245575E-3</v>
      </c>
      <c r="P16" s="222" cm="1">
        <f t="array" aca="1" ref="P16" ca="1">'Tablica IO'!P172*INDEX(Model!$C$93:$CA$93,Model!$A16) + IF(wplyw_cen_import_wlaczony,'Tablica IO'!P250*INDEX(Model!$C$2:$CA$2,Model!$A16),'Tablica IO'!P250*1)</f>
        <v>9.4877109733153933E-6</v>
      </c>
      <c r="Q16" s="222" cm="1">
        <f t="array" aca="1" ref="Q16" ca="1">'Tablica IO'!Q172*INDEX(Model!$C$93:$CA$93,Model!$A16) + IF(wplyw_cen_import_wlaczony,'Tablica IO'!Q250*INDEX(Model!$C$2:$CA$2,Model!$A16),'Tablica IO'!Q250*1)</f>
        <v>3.9150946465511337E-2</v>
      </c>
      <c r="R16" s="222" cm="1">
        <f t="array" aca="1" ref="R16" ca="1">'Tablica IO'!R172*INDEX(Model!$C$93:$CA$93,Model!$A16) + IF(wplyw_cen_import_wlaczony,'Tablica IO'!R250*INDEX(Model!$C$2:$CA$2,Model!$A16),'Tablica IO'!R250*1)</f>
        <v>7.6598594616728065E-3</v>
      </c>
      <c r="S16" s="222" cm="1">
        <f t="array" aca="1" ref="S16" ca="1">'Tablica IO'!S172*INDEX(Model!$C$93:$CA$93,Model!$A16) + IF(wplyw_cen_import_wlaczony,'Tablica IO'!S250*INDEX(Model!$C$2:$CA$2,Model!$A16),'Tablica IO'!S250*1)</f>
        <v>3.2213391791364283E-5</v>
      </c>
      <c r="T16" s="222" cm="1">
        <f t="array" aca="1" ref="T16" ca="1">'Tablica IO'!T172*INDEX(Model!$C$93:$CA$93,Model!$A16) + IF(wplyw_cen_import_wlaczony,'Tablica IO'!T250*INDEX(Model!$C$2:$CA$2,Model!$A16),'Tablica IO'!T250*1)</f>
        <v>9.4669782982518744E-4</v>
      </c>
      <c r="U16" s="222" cm="1">
        <f t="array" aca="1" ref="U16" ca="1">'Tablica IO'!U172*INDEX(Model!$C$93:$CA$93,Model!$A16) + IF(wplyw_cen_import_wlaczony,'Tablica IO'!U250*INDEX(Model!$C$2:$CA$2,Model!$A16),'Tablica IO'!U250*1)</f>
        <v>9.930215581755962E-3</v>
      </c>
      <c r="V16" s="222" cm="1">
        <f t="array" aca="1" ref="V16" ca="1">'Tablica IO'!V172*INDEX(Model!$C$93:$CA$93,Model!$A16) + IF(wplyw_cen_import_wlaczony,'Tablica IO'!V250*INDEX(Model!$C$2:$CA$2,Model!$A16),'Tablica IO'!V250*1)</f>
        <v>5.0890998477748653E-2</v>
      </c>
      <c r="W16" s="222" cm="1">
        <f t="array" aca="1" ref="W16" ca="1">'Tablica IO'!W172*INDEX(Model!$C$93:$CA$93,Model!$A16) + IF(wplyw_cen_import_wlaczony,'Tablica IO'!W250*INDEX(Model!$C$2:$CA$2,Model!$A16),'Tablica IO'!W250*1)</f>
        <v>1.3096994884217528E-4</v>
      </c>
      <c r="X16" s="222" cm="1">
        <f t="array" aca="1" ref="X16" ca="1">'Tablica IO'!X172*INDEX(Model!$C$93:$CA$93,Model!$A16) + IF(wplyw_cen_import_wlaczony,'Tablica IO'!X250*INDEX(Model!$C$2:$CA$2,Model!$A16),'Tablica IO'!X250*1)</f>
        <v>3.4039839583437277E-4</v>
      </c>
      <c r="Y16" s="222" cm="1">
        <f t="array" aca="1" ref="Y16" ca="1">'Tablica IO'!Y172*INDEX(Model!$C$93:$CA$93,Model!$A16) + IF(wplyw_cen_import_wlaczony,'Tablica IO'!Y250*INDEX(Model!$C$2:$CA$2,Model!$A16),'Tablica IO'!Y250*1)</f>
        <v>3.8248032376221215E-5</v>
      </c>
      <c r="Z16" s="222" cm="1">
        <f t="array" aca="1" ref="Z16" ca="1">'Tablica IO'!Z172*INDEX(Model!$C$93:$CA$93,Model!$A16) + IF(wplyw_cen_import_wlaczony,'Tablica IO'!Z250*INDEX(Model!$C$2:$CA$2,Model!$A16),'Tablica IO'!Z250*1)</f>
        <v>1.483693794463218E-4</v>
      </c>
      <c r="AA16" s="222" cm="1">
        <f t="array" aca="1" ref="AA16" ca="1">'Tablica IO'!AA172*INDEX(Model!$C$93:$CA$93,Model!$A16) + IF(wplyw_cen_import_wlaczony,'Tablica IO'!AA250*INDEX(Model!$C$2:$CA$2,Model!$A16),'Tablica IO'!AA250*1)</f>
        <v>1.0107080477518778E-5</v>
      </c>
      <c r="AB16" s="222" cm="1">
        <f t="array" aca="1" ref="AB16" ca="1">'Tablica IO'!AB172*INDEX(Model!$C$93:$CA$93,Model!$A16) + IF(wplyw_cen_import_wlaczony,'Tablica IO'!AB250*INDEX(Model!$C$2:$CA$2,Model!$A16),'Tablica IO'!AB250*1)</f>
        <v>2.9690452531795506E-4</v>
      </c>
      <c r="AC16" s="222" cm="1">
        <f t="array" aca="1" ref="AC16" ca="1">'Tablica IO'!AC172*INDEX(Model!$C$93:$CA$93,Model!$A16) + IF(wplyw_cen_import_wlaczony,'Tablica IO'!AC250*INDEX(Model!$C$2:$CA$2,Model!$A16),'Tablica IO'!AC250*1)</f>
        <v>9.9470825200426608E-5</v>
      </c>
      <c r="AD16" s="222" cm="1">
        <f t="array" aca="1" ref="AD16" ca="1">'Tablica IO'!AD172*INDEX(Model!$C$93:$CA$93,Model!$A16) + IF(wplyw_cen_import_wlaczony,'Tablica IO'!AD250*INDEX(Model!$C$2:$CA$2,Model!$A16),'Tablica IO'!AD250*1)</f>
        <v>1.6246014307962688E-4</v>
      </c>
      <c r="AE16" s="222" cm="1">
        <f t="array" aca="1" ref="AE16" ca="1">'Tablica IO'!AE172*INDEX(Model!$C$93:$CA$93,Model!$A16) + IF(wplyw_cen_import_wlaczony,'Tablica IO'!AE250*INDEX(Model!$C$2:$CA$2,Model!$A16),'Tablica IO'!AE250*1)</f>
        <v>3.7736879932472067E-5</v>
      </c>
      <c r="AF16" s="222" cm="1">
        <f t="array" aca="1" ref="AF16" ca="1">'Tablica IO'!AF172*INDEX(Model!$C$93:$CA$93,Model!$A16) + IF(wplyw_cen_import_wlaczony,'Tablica IO'!AF250*INDEX(Model!$C$2:$CA$2,Model!$A16),'Tablica IO'!AF250*1)</f>
        <v>9.5054942192126776E-2</v>
      </c>
      <c r="AG16" s="222" cm="1">
        <f t="array" aca="1" ref="AG16" ca="1">'Tablica IO'!AG172*INDEX(Model!$C$93:$CA$93,Model!$A16) + IF(wplyw_cen_import_wlaczony,'Tablica IO'!AG250*INDEX(Model!$C$2:$CA$2,Model!$A16),'Tablica IO'!AG250*1)</f>
        <v>5.179363654191912E-4</v>
      </c>
      <c r="AH16" s="222" cm="1">
        <f t="array" aca="1" ref="AH16" ca="1">'Tablica IO'!AH172*INDEX(Model!$C$93:$CA$93,Model!$A16) + IF(wplyw_cen_import_wlaczony,'Tablica IO'!AH250*INDEX(Model!$C$2:$CA$2,Model!$A16),'Tablica IO'!AH250*1)</f>
        <v>2.0949311830564398E-3</v>
      </c>
      <c r="AI16" s="222" cm="1">
        <f t="array" aca="1" ref="AI16" ca="1">'Tablica IO'!AI172*INDEX(Model!$C$93:$CA$93,Model!$A16) + IF(wplyw_cen_import_wlaczony,'Tablica IO'!AI250*INDEX(Model!$C$2:$CA$2,Model!$A16),'Tablica IO'!AI250*1)</f>
        <v>1.8572650627995812E-3</v>
      </c>
      <c r="AJ16" s="222" cm="1">
        <f t="array" aca="1" ref="AJ16" ca="1">'Tablica IO'!AJ172*INDEX(Model!$C$93:$CA$93,Model!$A16) + IF(wplyw_cen_import_wlaczony,'Tablica IO'!AJ250*INDEX(Model!$C$2:$CA$2,Model!$A16),'Tablica IO'!AJ250*1)</f>
        <v>2.6147511401262428E-5</v>
      </c>
      <c r="AK16" s="222" cm="1">
        <f t="array" aca="1" ref="AK16" ca="1">'Tablica IO'!AK172*INDEX(Model!$C$93:$CA$93,Model!$A16) + IF(wplyw_cen_import_wlaczony,'Tablica IO'!AK250*INDEX(Model!$C$2:$CA$2,Model!$A16),'Tablica IO'!AK250*1)</f>
        <v>1.5086179882756455E-4</v>
      </c>
      <c r="AL16" s="222" cm="1">
        <f t="array" aca="1" ref="AL16" ca="1">'Tablica IO'!AL172*INDEX(Model!$C$93:$CA$93,Model!$A16) + IF(wplyw_cen_import_wlaczony,'Tablica IO'!AL250*INDEX(Model!$C$2:$CA$2,Model!$A16),'Tablica IO'!AL250*1)</f>
        <v>1.0904712215365727E-5</v>
      </c>
      <c r="AM16" s="222" cm="1">
        <f t="array" aca="1" ref="AM16" ca="1">'Tablica IO'!AM172*INDEX(Model!$C$93:$CA$93,Model!$A16) + IF(wplyw_cen_import_wlaczony,'Tablica IO'!AM250*INDEX(Model!$C$2:$CA$2,Model!$A16),'Tablica IO'!AM250*1)</f>
        <v>2.4510712123132182E-5</v>
      </c>
      <c r="AN16" s="222" cm="1">
        <f t="array" aca="1" ref="AN16" ca="1">'Tablica IO'!AN172*INDEX(Model!$C$93:$CA$93,Model!$A16) + IF(wplyw_cen_import_wlaczony,'Tablica IO'!AN250*INDEX(Model!$C$2:$CA$2,Model!$A16),'Tablica IO'!AN250*1)</f>
        <v>2.6207529964162871E-5</v>
      </c>
      <c r="AO16" s="222" cm="1">
        <f t="array" aca="1" ref="AO16" ca="1">'Tablica IO'!AO172*INDEX(Model!$C$93:$CA$93,Model!$A16) + IF(wplyw_cen_import_wlaczony,'Tablica IO'!AO250*INDEX(Model!$C$2:$CA$2,Model!$A16),'Tablica IO'!AO250*1)</f>
        <v>8.3542475644730443E-7</v>
      </c>
      <c r="AP16" s="222" cm="1">
        <f t="array" aca="1" ref="AP16" ca="1">'Tablica IO'!AP172*INDEX(Model!$C$93:$CA$93,Model!$A16) + IF(wplyw_cen_import_wlaczony,'Tablica IO'!AP250*INDEX(Model!$C$2:$CA$2,Model!$A16),'Tablica IO'!AP250*1)</f>
        <v>4.7074173695672642E-5</v>
      </c>
      <c r="AQ16" s="222" cm="1">
        <f t="array" aca="1" ref="AQ16" ca="1">'Tablica IO'!AQ172*INDEX(Model!$C$93:$CA$93,Model!$A16) + IF(wplyw_cen_import_wlaczony,'Tablica IO'!AQ250*INDEX(Model!$C$2:$CA$2,Model!$A16),'Tablica IO'!AQ250*1)</f>
        <v>1.8304062439985765E-4</v>
      </c>
      <c r="AR16" s="222" cm="1">
        <f t="array" aca="1" ref="AR16" ca="1">'Tablica IO'!AR172*INDEX(Model!$C$93:$CA$93,Model!$A16) + IF(wplyw_cen_import_wlaczony,'Tablica IO'!AR250*INDEX(Model!$C$2:$CA$2,Model!$A16),'Tablica IO'!AR250*1)</f>
        <v>9.1777127133703927E-5</v>
      </c>
      <c r="AS16" s="222" cm="1">
        <f t="array" aca="1" ref="AS16" ca="1">'Tablica IO'!AS172*INDEX(Model!$C$93:$CA$93,Model!$A16) + IF(wplyw_cen_import_wlaczony,'Tablica IO'!AS250*INDEX(Model!$C$2:$CA$2,Model!$A16),'Tablica IO'!AS250*1)</f>
        <v>0</v>
      </c>
      <c r="AT16" s="222" cm="1">
        <f t="array" aca="1" ref="AT16" ca="1">'Tablica IO'!AT172*INDEX(Model!$C$93:$CA$93,Model!$A16) + IF(wplyw_cen_import_wlaczony,'Tablica IO'!AT250*INDEX(Model!$C$2:$CA$2,Model!$A16),'Tablica IO'!AT250*1)</f>
        <v>0</v>
      </c>
      <c r="AU16" s="222" cm="1">
        <f t="array" aca="1" ref="AU16" ca="1">'Tablica IO'!AU172*INDEX(Model!$C$93:$CA$93,Model!$A16) + IF(wplyw_cen_import_wlaczony,'Tablica IO'!AU250*INDEX(Model!$C$2:$CA$2,Model!$A16),'Tablica IO'!AU250*1)</f>
        <v>0</v>
      </c>
      <c r="AV16" s="222" cm="1">
        <f t="array" aca="1" ref="AV16" ca="1">'Tablica IO'!AV172*INDEX(Model!$C$93:$CA$93,Model!$A16) + IF(wplyw_cen_import_wlaczony,'Tablica IO'!AV250*INDEX(Model!$C$2:$CA$2,Model!$A16),'Tablica IO'!AV250*1)</f>
        <v>0</v>
      </c>
      <c r="AW16" s="222" cm="1">
        <f t="array" aca="1" ref="AW16" ca="1">'Tablica IO'!AW172*INDEX(Model!$C$93:$CA$93,Model!$A16) + IF(wplyw_cen_import_wlaczony,'Tablica IO'!AW250*INDEX(Model!$C$2:$CA$2,Model!$A16),'Tablica IO'!AW250*1)</f>
        <v>3.7095752658338618E-5</v>
      </c>
      <c r="AX16" s="222" cm="1">
        <f t="array" aca="1" ref="AX16" ca="1">'Tablica IO'!AX172*INDEX(Model!$C$93:$CA$93,Model!$A16) + IF(wplyw_cen_import_wlaczony,'Tablica IO'!AX250*INDEX(Model!$C$2:$CA$2,Model!$A16),'Tablica IO'!AX250*1)</f>
        <v>7.1478591512491867E-4</v>
      </c>
      <c r="AY16" s="222" cm="1">
        <f t="array" aca="1" ref="AY16" ca="1">'Tablica IO'!AY172*INDEX(Model!$C$93:$CA$93,Model!$A16) + IF(wplyw_cen_import_wlaczony,'Tablica IO'!AY250*INDEX(Model!$C$2:$CA$2,Model!$A16),'Tablica IO'!AY250*1)</f>
        <v>3.5888669572332081E-5</v>
      </c>
      <c r="AZ16" s="222" cm="1">
        <f t="array" aca="1" ref="AZ16" ca="1">'Tablica IO'!AZ172*INDEX(Model!$C$93:$CA$93,Model!$A16) + IF(wplyw_cen_import_wlaczony,'Tablica IO'!AZ250*INDEX(Model!$C$2:$CA$2,Model!$A16),'Tablica IO'!AZ250*1)</f>
        <v>2.0099899415124703E-4</v>
      </c>
      <c r="BA16" s="222" cm="1">
        <f t="array" aca="1" ref="BA16" ca="1">'Tablica IO'!BA172*INDEX(Model!$C$93:$CA$93,Model!$A16) + IF(wplyw_cen_import_wlaczony,'Tablica IO'!BA250*INDEX(Model!$C$2:$CA$2,Model!$A16),'Tablica IO'!BA250*1)</f>
        <v>2.4612435528728068E-4</v>
      </c>
      <c r="BB16" s="222" cm="1">
        <f t="array" aca="1" ref="BB16" ca="1">'Tablica IO'!BB172*INDEX(Model!$C$93:$CA$93,Model!$A16) + IF(wplyw_cen_import_wlaczony,'Tablica IO'!BB250*INDEX(Model!$C$2:$CA$2,Model!$A16),'Tablica IO'!BB250*1)</f>
        <v>1.2136586265941892E-4</v>
      </c>
      <c r="BC16" s="222" cm="1">
        <f t="array" aca="1" ref="BC16" ca="1">'Tablica IO'!BC172*INDEX(Model!$C$93:$CA$93,Model!$A16) + IF(wplyw_cen_import_wlaczony,'Tablica IO'!BC250*INDEX(Model!$C$2:$CA$2,Model!$A16),'Tablica IO'!BC250*1)</f>
        <v>2.1684339059252714E-4</v>
      </c>
      <c r="BD16" s="222" cm="1">
        <f t="array" aca="1" ref="BD16" ca="1">'Tablica IO'!BD172*INDEX(Model!$C$93:$CA$93,Model!$A16) + IF(wplyw_cen_import_wlaczony,'Tablica IO'!BD250*INDEX(Model!$C$2:$CA$2,Model!$A16),'Tablica IO'!BD250*1)</f>
        <v>8.3249734396036675E-5</v>
      </c>
      <c r="BE16" s="222" cm="1">
        <f t="array" aca="1" ref="BE16" ca="1">'Tablica IO'!BE172*INDEX(Model!$C$93:$CA$93,Model!$A16) + IF(wplyw_cen_import_wlaczony,'Tablica IO'!BE250*INDEX(Model!$C$2:$CA$2,Model!$A16),'Tablica IO'!BE250*1)</f>
        <v>2.8592260975376021E-5</v>
      </c>
      <c r="BF16" s="222" cm="1">
        <f t="array" aca="1" ref="BF16" ca="1">'Tablica IO'!BF172*INDEX(Model!$C$93:$CA$93,Model!$A16) + IF(wplyw_cen_import_wlaczony,'Tablica IO'!BF250*INDEX(Model!$C$2:$CA$2,Model!$A16),'Tablica IO'!BF250*1)</f>
        <v>4.9717923430859698E-4</v>
      </c>
      <c r="BG16" s="222" cm="1">
        <f t="array" aca="1" ref="BG16" ca="1">'Tablica IO'!BG172*INDEX(Model!$C$93:$CA$93,Model!$A16) + IF(wplyw_cen_import_wlaczony,'Tablica IO'!BG250*INDEX(Model!$C$2:$CA$2,Model!$A16),'Tablica IO'!BG250*1)</f>
        <v>9.3281314525082764E-6</v>
      </c>
      <c r="BH16" s="222" cm="1">
        <f t="array" aca="1" ref="BH16" ca="1">'Tablica IO'!BH172*INDEX(Model!$C$93:$CA$93,Model!$A16) + IF(wplyw_cen_import_wlaczony,'Tablica IO'!BH250*INDEX(Model!$C$2:$CA$2,Model!$A16),'Tablica IO'!BH250*1)</f>
        <v>2.479815869293166E-4</v>
      </c>
      <c r="BI16" s="222" cm="1">
        <f t="array" aca="1" ref="BI16" ca="1">'Tablica IO'!BI172*INDEX(Model!$C$93:$CA$93,Model!$A16) + IF(wplyw_cen_import_wlaczony,'Tablica IO'!BI250*INDEX(Model!$C$2:$CA$2,Model!$A16),'Tablica IO'!BI250*1)</f>
        <v>6.2125074534455284E-4</v>
      </c>
      <c r="BJ16" s="222" cm="1">
        <f t="array" aca="1" ref="BJ16" ca="1">'Tablica IO'!BJ172*INDEX(Model!$C$93:$CA$93,Model!$A16) + IF(wplyw_cen_import_wlaczony,'Tablica IO'!BJ250*INDEX(Model!$C$2:$CA$2,Model!$A16),'Tablica IO'!BJ250*1)</f>
        <v>1.6367644971409723E-5</v>
      </c>
      <c r="BK16" s="222" cm="1">
        <f t="array" aca="1" ref="BK16" ca="1">'Tablica IO'!BK172*INDEX(Model!$C$93:$CA$93,Model!$A16) + IF(wplyw_cen_import_wlaczony,'Tablica IO'!BK250*INDEX(Model!$C$2:$CA$2,Model!$A16),'Tablica IO'!BK250*1)</f>
        <v>1.5012679644668819E-4</v>
      </c>
      <c r="BL16" s="222" cm="1">
        <f t="array" aca="1" ref="BL16" ca="1">'Tablica IO'!BL172*INDEX(Model!$C$93:$CA$93,Model!$A16) + IF(wplyw_cen_import_wlaczony,'Tablica IO'!BL250*INDEX(Model!$C$2:$CA$2,Model!$A16),'Tablica IO'!BL250*1)</f>
        <v>1.4493698903810301E-4</v>
      </c>
      <c r="BM16" s="222" cm="1">
        <f t="array" aca="1" ref="BM16" ca="1">'Tablica IO'!BM172*INDEX(Model!$C$93:$CA$93,Model!$A16) + IF(wplyw_cen_import_wlaczony,'Tablica IO'!BM250*INDEX(Model!$C$2:$CA$2,Model!$A16),'Tablica IO'!BM250*1)</f>
        <v>1.25560352252653E-4</v>
      </c>
      <c r="BN16" s="222" cm="1">
        <f t="array" aca="1" ref="BN16" ca="1">'Tablica IO'!BN172*INDEX(Model!$C$93:$CA$93,Model!$A16) + IF(wplyw_cen_import_wlaczony,'Tablica IO'!BN250*INDEX(Model!$C$2:$CA$2,Model!$A16),'Tablica IO'!BN250*1)</f>
        <v>4.9838470182684527E-5</v>
      </c>
      <c r="BO16" s="222" cm="1">
        <f t="array" aca="1" ref="BO16" ca="1">'Tablica IO'!BO172*INDEX(Model!$C$93:$CA$93,Model!$A16) + IF(wplyw_cen_import_wlaczony,'Tablica IO'!BO250*INDEX(Model!$C$2:$CA$2,Model!$A16),'Tablica IO'!BO250*1)</f>
        <v>3.7834618090732673E-5</v>
      </c>
      <c r="BP16" s="222" cm="1">
        <f t="array" aca="1" ref="BP16" ca="1">'Tablica IO'!BP172*INDEX(Model!$C$93:$CA$93,Model!$A16) + IF(wplyw_cen_import_wlaczony,'Tablica IO'!BP250*INDEX(Model!$C$2:$CA$2,Model!$A16),'Tablica IO'!BP250*1)</f>
        <v>3.8788479804543029E-5</v>
      </c>
      <c r="BQ16" s="222" cm="1">
        <f t="array" aca="1" ref="BQ16" ca="1">'Tablica IO'!BQ172*INDEX(Model!$C$93:$CA$93,Model!$A16) + IF(wplyw_cen_import_wlaczony,'Tablica IO'!BQ250*INDEX(Model!$C$2:$CA$2,Model!$A16),'Tablica IO'!BQ250*1)</f>
        <v>3.1367144646637563E-5</v>
      </c>
      <c r="BR16" s="222" cm="1">
        <f t="array" aca="1" ref="BR16" ca="1">'Tablica IO'!BR172*INDEX(Model!$C$93:$CA$93,Model!$A16) + IF(wplyw_cen_import_wlaczony,'Tablica IO'!BR250*INDEX(Model!$C$2:$CA$2,Model!$A16),'Tablica IO'!BR250*1)</f>
        <v>3.7099542281220876E-5</v>
      </c>
      <c r="BS16" s="222" cm="1">
        <f t="array" aca="1" ref="BS16" ca="1">'Tablica IO'!BS172*INDEX(Model!$C$93:$CA$93,Model!$A16) + IF(wplyw_cen_import_wlaczony,'Tablica IO'!BS250*INDEX(Model!$C$2:$CA$2,Model!$A16),'Tablica IO'!BS250*1)</f>
        <v>5.3488757158308077E-5</v>
      </c>
      <c r="BT16" s="222" cm="1">
        <f t="array" aca="1" ref="BT16" ca="1">'Tablica IO'!BT172*INDEX(Model!$C$93:$CA$93,Model!$A16) + IF(wplyw_cen_import_wlaczony,'Tablica IO'!BT250*INDEX(Model!$C$2:$CA$2,Model!$A16),'Tablica IO'!BT250*1)</f>
        <v>7.5525346058058029E-5</v>
      </c>
      <c r="BU16" s="222" cm="1">
        <f t="array" aca="1" ref="BU16" ca="1">'Tablica IO'!BU172*INDEX(Model!$C$93:$CA$93,Model!$A16) + IF(wplyw_cen_import_wlaczony,'Tablica IO'!BU250*INDEX(Model!$C$2:$CA$2,Model!$A16),'Tablica IO'!BU250*1)</f>
        <v>2.3624261793780732E-4</v>
      </c>
      <c r="BV16" s="222" cm="1">
        <f t="array" aca="1" ref="BV16" ca="1">'Tablica IO'!BV172*INDEX(Model!$C$93:$CA$93,Model!$A16) + IF(wplyw_cen_import_wlaczony,'Tablica IO'!BV250*INDEX(Model!$C$2:$CA$2,Model!$A16),'Tablica IO'!BV250*1)</f>
        <v>1.5520781523395842E-4</v>
      </c>
      <c r="BW16" s="222" cm="1">
        <f t="array" aca="1" ref="BW16" ca="1">'Tablica IO'!BW172*INDEX(Model!$C$93:$CA$93,Model!$A16) + IF(wplyw_cen_import_wlaczony,'Tablica IO'!BW250*INDEX(Model!$C$2:$CA$2,Model!$A16),'Tablica IO'!BW250*1)</f>
        <v>9.6545003366027852E-5</v>
      </c>
      <c r="BX16" s="222" cm="1">
        <f t="array" aca="1" ref="BX16" ca="1">'Tablica IO'!BX172*INDEX(Model!$C$93:$CA$93,Model!$A16) + IF(wplyw_cen_import_wlaczony,'Tablica IO'!BX250*INDEX(Model!$C$2:$CA$2,Model!$A16),'Tablica IO'!BX250*1)</f>
        <v>3.207640940377129E-5</v>
      </c>
      <c r="BY16" s="222" cm="1">
        <f t="array" aca="1" ref="BY16" ca="1">'Tablica IO'!BY172*INDEX(Model!$C$93:$CA$93,Model!$A16) + IF(wplyw_cen_import_wlaczony,'Tablica IO'!BY250*INDEX(Model!$C$2:$CA$2,Model!$A16),'Tablica IO'!BY250*1)</f>
        <v>5.5149059924611094E-5</v>
      </c>
      <c r="BZ16" s="222" cm="1">
        <f t="array" aca="1" ref="BZ16" ca="1">'Tablica IO'!BZ172*INDEX(Model!$C$93:$CA$93,Model!$A16) + IF(wplyw_cen_import_wlaczony,'Tablica IO'!BZ250*INDEX(Model!$C$2:$CA$2,Model!$A16),'Tablica IO'!BZ250*1)</f>
        <v>1.2333691930569644E-4</v>
      </c>
      <c r="CA16" s="222" cm="1">
        <f t="array" aca="1" ref="CA16" ca="1">'Tablica IO'!CA172*INDEX(Model!$C$93:$CA$93,Model!$A16) + IF(wplyw_cen_import_wlaczony,'Tablica IO'!CA250*INDEX(Model!$C$2:$CA$2,Model!$A16),'Tablica IO'!CA250*1)</f>
        <v>0</v>
      </c>
      <c r="CB16" s="247">
        <f ca="1">'Tablica IO'!CD172*INDEX(Model!$C$93:$CA$93,Model!$A16)+'Tablica IO'!CD250*INDEX(Model!$C$2:$CA$2,Model!$A16)</f>
        <v>5.1532403589874239E-3</v>
      </c>
      <c r="CC16" s="188">
        <f ca="1">'Tablica IO'!CE172*INDEX(Model!$C$93:$CA$93,Model!$A16)+'Tablica IO'!CE250*INDEX(Model!$C$2:$CA$2,Model!$A16)</f>
        <v>7.8778589963185032E-5</v>
      </c>
      <c r="CD16" s="188">
        <f ca="1">'Tablica IO'!CF172*INDEX(Model!$C$93:$CA$93,Model!$A16)+'Tablica IO'!CF250*INDEX(Model!$C$2:$CA$2,Model!$A16)</f>
        <v>-5.8274995487213365E-3</v>
      </c>
      <c r="CE16" s="189">
        <f ca="1">'Tablica IO'!CG172*INDEX(Model!$C$93:$CA$93,Model!$A16)+'Tablica IO'!CG250*INDEX(Model!$C$2:$CA$2,Model!$A16)</f>
        <v>3.2065017848754702E-3</v>
      </c>
    </row>
    <row r="17" spans="1:83" ht="27.6" x14ac:dyDescent="0.25">
      <c r="A17" s="164">
        <v>5</v>
      </c>
      <c r="B17" s="172" t="s">
        <v>4</v>
      </c>
      <c r="C17" s="221" cm="1">
        <f t="array" aca="1" ref="C17" ca="1">'Tablica IO'!C173*INDEX(Model!$C$93:$CA$93,Model!$A17) + IF(wplyw_cen_import_wlaczony,'Tablica IO'!C251*INDEX(Model!$C$2:$CA$2,Model!$A17),'Tablica IO'!C251*1)</f>
        <v>8.7864467928273102E-4</v>
      </c>
      <c r="D17" s="222" cm="1">
        <f t="array" aca="1" ref="D17" ca="1">'Tablica IO'!D173*INDEX(Model!$C$93:$CA$93,Model!$A17) + IF(wplyw_cen_import_wlaczony,'Tablica IO'!D251*INDEX(Model!$C$2:$CA$2,Model!$A17),'Tablica IO'!D251*1)</f>
        <v>1.6618455416387802E-3</v>
      </c>
      <c r="E17" s="222" cm="1">
        <f t="array" aca="1" ref="E17" ca="1">'Tablica IO'!E173*INDEX(Model!$C$93:$CA$93,Model!$A17) + IF(wplyw_cen_import_wlaczony,'Tablica IO'!E251*INDEX(Model!$C$2:$CA$2,Model!$A17),'Tablica IO'!E251*1)</f>
        <v>1.5604174886721277E-5</v>
      </c>
      <c r="F17" s="222" cm="1">
        <f t="array" aca="1" ref="F17" ca="1">'Tablica IO'!F173*INDEX(Model!$C$93:$CA$93,Model!$A17) + IF(wplyw_cen_import_wlaczony,'Tablica IO'!F251*INDEX(Model!$C$2:$CA$2,Model!$A17),'Tablica IO'!F251*1)</f>
        <v>7.570182298819092E-2</v>
      </c>
      <c r="G17" s="222" cm="1">
        <f t="array" aca="1" ref="G17" ca="1">'Tablica IO'!G173*INDEX(Model!$C$93:$CA$93,Model!$A17) + IF(wplyw_cen_import_wlaczony,'Tablica IO'!G251*INDEX(Model!$C$2:$CA$2,Model!$A17),'Tablica IO'!G251*1)</f>
        <v>0.17526954848296114</v>
      </c>
      <c r="H17" s="222" cm="1">
        <f t="array" aca="1" ref="H17" ca="1">'Tablica IO'!H173*INDEX(Model!$C$93:$CA$93,Model!$A17) + IF(wplyw_cen_import_wlaczony,'Tablica IO'!H251*INDEX(Model!$C$2:$CA$2,Model!$A17),'Tablica IO'!H251*1)</f>
        <v>1.3110140414303382E-4</v>
      </c>
      <c r="I17" s="222" cm="1">
        <f t="array" aca="1" ref="I17" ca="1">'Tablica IO'!I173*INDEX(Model!$C$93:$CA$93,Model!$A17) + IF(wplyw_cen_import_wlaczony,'Tablica IO'!I251*INDEX(Model!$C$2:$CA$2,Model!$A17),'Tablica IO'!I251*1)</f>
        <v>6.2574114939968694E-6</v>
      </c>
      <c r="J17" s="222" cm="1">
        <f t="array" aca="1" ref="J17" ca="1">'Tablica IO'!J173*INDEX(Model!$C$93:$CA$93,Model!$A17) + IF(wplyw_cen_import_wlaczony,'Tablica IO'!J251*INDEX(Model!$C$2:$CA$2,Model!$A17),'Tablica IO'!J251*1)</f>
        <v>1.0476767820821954E-5</v>
      </c>
      <c r="K17" s="222" cm="1">
        <f t="array" aca="1" ref="K17" ca="1">'Tablica IO'!K173*INDEX(Model!$C$93:$CA$93,Model!$A17) + IF(wplyw_cen_import_wlaczony,'Tablica IO'!K251*INDEX(Model!$C$2:$CA$2,Model!$A17),'Tablica IO'!K251*1)</f>
        <v>1.8175978942112762E-4</v>
      </c>
      <c r="L17" s="222" cm="1">
        <f t="array" aca="1" ref="L17" ca="1">'Tablica IO'!L173*INDEX(Model!$C$93:$CA$93,Model!$A17) + IF(wplyw_cen_import_wlaczony,'Tablica IO'!L251*INDEX(Model!$C$2:$CA$2,Model!$A17),'Tablica IO'!L251*1)</f>
        <v>8.7238960172078301E-5</v>
      </c>
      <c r="M17" s="222" cm="1">
        <f t="array" aca="1" ref="M17" ca="1">'Tablica IO'!M173*INDEX(Model!$C$93:$CA$93,Model!$A17) + IF(wplyw_cen_import_wlaczony,'Tablica IO'!M251*INDEX(Model!$C$2:$CA$2,Model!$A17),'Tablica IO'!M251*1)</f>
        <v>2.4637623235154922E-4</v>
      </c>
      <c r="N17" s="222" cm="1">
        <f t="array" aca="1" ref="N17" ca="1">'Tablica IO'!N173*INDEX(Model!$C$93:$CA$93,Model!$A17) + IF(wplyw_cen_import_wlaczony,'Tablica IO'!N251*INDEX(Model!$C$2:$CA$2,Model!$A17),'Tablica IO'!N251*1)</f>
        <v>6.1396956679534277E-5</v>
      </c>
      <c r="O17" s="222" cm="1">
        <f t="array" aca="1" ref="O17" ca="1">'Tablica IO'!O173*INDEX(Model!$C$93:$CA$93,Model!$A17) + IF(wplyw_cen_import_wlaczony,'Tablica IO'!O251*INDEX(Model!$C$2:$CA$2,Model!$A17),'Tablica IO'!O251*1)</f>
        <v>2.6280087376476019E-4</v>
      </c>
      <c r="P17" s="222" cm="1">
        <f t="array" aca="1" ref="P17" ca="1">'Tablica IO'!P173*INDEX(Model!$C$93:$CA$93,Model!$A17) + IF(wplyw_cen_import_wlaczony,'Tablica IO'!P251*INDEX(Model!$C$2:$CA$2,Model!$A17),'Tablica IO'!P251*1)</f>
        <v>9.6457004669933997E-5</v>
      </c>
      <c r="Q17" s="222" cm="1">
        <f t="array" aca="1" ref="Q17" ca="1">'Tablica IO'!Q173*INDEX(Model!$C$93:$CA$93,Model!$A17) + IF(wplyw_cen_import_wlaczony,'Tablica IO'!Q251*INDEX(Model!$C$2:$CA$2,Model!$A17),'Tablica IO'!Q251*1)</f>
        <v>0.61860098575909694</v>
      </c>
      <c r="R17" s="222" cm="1">
        <f t="array" aca="1" ref="R17" ca="1">'Tablica IO'!R173*INDEX(Model!$C$93:$CA$93,Model!$A17) + IF(wplyw_cen_import_wlaczony,'Tablica IO'!R251*INDEX(Model!$C$2:$CA$2,Model!$A17),'Tablica IO'!R251*1)</f>
        <v>5.6880572479835446E-2</v>
      </c>
      <c r="S17" s="222" cm="1">
        <f t="array" aca="1" ref="S17" ca="1">'Tablica IO'!S173*INDEX(Model!$C$93:$CA$93,Model!$A17) + IF(wplyw_cen_import_wlaczony,'Tablica IO'!S251*INDEX(Model!$C$2:$CA$2,Model!$A17),'Tablica IO'!S251*1)</f>
        <v>3.7481492698841052E-4</v>
      </c>
      <c r="T17" s="222" cm="1">
        <f t="array" aca="1" ref="T17" ca="1">'Tablica IO'!T173*INDEX(Model!$C$93:$CA$93,Model!$A17) + IF(wplyw_cen_import_wlaczony,'Tablica IO'!T251*INDEX(Model!$C$2:$CA$2,Model!$A17),'Tablica IO'!T251*1)</f>
        <v>1.1245015392299051E-3</v>
      </c>
      <c r="U17" s="222" cm="1">
        <f t="array" aca="1" ref="U17" ca="1">'Tablica IO'!U173*INDEX(Model!$C$93:$CA$93,Model!$A17) + IF(wplyw_cen_import_wlaczony,'Tablica IO'!U251*INDEX(Model!$C$2:$CA$2,Model!$A17),'Tablica IO'!U251*1)</f>
        <v>6.7943403991849588E-2</v>
      </c>
      <c r="V17" s="222" cm="1">
        <f t="array" aca="1" ref="V17" ca="1">'Tablica IO'!V173*INDEX(Model!$C$93:$CA$93,Model!$A17) + IF(wplyw_cen_import_wlaczony,'Tablica IO'!V251*INDEX(Model!$C$2:$CA$2,Model!$A17),'Tablica IO'!V251*1)</f>
        <v>4.9267949772409989E-2</v>
      </c>
      <c r="W17" s="222" cm="1">
        <f t="array" aca="1" ref="W17" ca="1">'Tablica IO'!W173*INDEX(Model!$C$93:$CA$93,Model!$A17) + IF(wplyw_cen_import_wlaczony,'Tablica IO'!W251*INDEX(Model!$C$2:$CA$2,Model!$A17),'Tablica IO'!W251*1)</f>
        <v>1.5934015609877167E-3</v>
      </c>
      <c r="X17" s="222" cm="1">
        <f t="array" aca="1" ref="X17" ca="1">'Tablica IO'!X173*INDEX(Model!$C$93:$CA$93,Model!$A17) + IF(wplyw_cen_import_wlaczony,'Tablica IO'!X251*INDEX(Model!$C$2:$CA$2,Model!$A17),'Tablica IO'!X251*1)</f>
        <v>4.4202293664047645E-3</v>
      </c>
      <c r="Y17" s="222" cm="1">
        <f t="array" aca="1" ref="Y17" ca="1">'Tablica IO'!Y173*INDEX(Model!$C$93:$CA$93,Model!$A17) + IF(wplyw_cen_import_wlaczony,'Tablica IO'!Y251*INDEX(Model!$C$2:$CA$2,Model!$A17),'Tablica IO'!Y251*1)</f>
        <v>2.7141191984371852E-3</v>
      </c>
      <c r="Z17" s="222" cm="1">
        <f t="array" aca="1" ref="Z17" ca="1">'Tablica IO'!Z173*INDEX(Model!$C$93:$CA$93,Model!$A17) + IF(wplyw_cen_import_wlaczony,'Tablica IO'!Z251*INDEX(Model!$C$2:$CA$2,Model!$A17),'Tablica IO'!Z251*1)</f>
        <v>1.4716398178841019E-3</v>
      </c>
      <c r="AA17" s="222" cm="1">
        <f t="array" aca="1" ref="AA17" ca="1">'Tablica IO'!AA173*INDEX(Model!$C$93:$CA$93,Model!$A17) + IF(wplyw_cen_import_wlaczony,'Tablica IO'!AA251*INDEX(Model!$C$2:$CA$2,Model!$A17),'Tablica IO'!AA251*1)</f>
        <v>3.2400879797246797E-4</v>
      </c>
      <c r="AB17" s="222" cm="1">
        <f t="array" aca="1" ref="AB17" ca="1">'Tablica IO'!AB173*INDEX(Model!$C$93:$CA$93,Model!$A17) + IF(wplyw_cen_import_wlaczony,'Tablica IO'!AB251*INDEX(Model!$C$2:$CA$2,Model!$A17),'Tablica IO'!AB251*1)</f>
        <v>5.8128523844730819E-4</v>
      </c>
      <c r="AC17" s="222" cm="1">
        <f t="array" aca="1" ref="AC17" ca="1">'Tablica IO'!AC173*INDEX(Model!$C$93:$CA$93,Model!$A17) + IF(wplyw_cen_import_wlaczony,'Tablica IO'!AC251*INDEX(Model!$C$2:$CA$2,Model!$A17),'Tablica IO'!AC251*1)</f>
        <v>4.5847497105603566E-4</v>
      </c>
      <c r="AD17" s="222" cm="1">
        <f t="array" aca="1" ref="AD17" ca="1">'Tablica IO'!AD173*INDEX(Model!$C$93:$CA$93,Model!$A17) + IF(wplyw_cen_import_wlaczony,'Tablica IO'!AD251*INDEX(Model!$C$2:$CA$2,Model!$A17),'Tablica IO'!AD251*1)</f>
        <v>3.0138556036103377E-4</v>
      </c>
      <c r="AE17" s="222" cm="1">
        <f t="array" aca="1" ref="AE17" ca="1">'Tablica IO'!AE173*INDEX(Model!$C$93:$CA$93,Model!$A17) + IF(wplyw_cen_import_wlaczony,'Tablica IO'!AE251*INDEX(Model!$C$2:$CA$2,Model!$A17),'Tablica IO'!AE251*1)</f>
        <v>3.1007279412348864E-4</v>
      </c>
      <c r="AF17" s="222" cm="1">
        <f t="array" aca="1" ref="AF17" ca="1">'Tablica IO'!AF173*INDEX(Model!$C$93:$CA$93,Model!$A17) + IF(wplyw_cen_import_wlaczony,'Tablica IO'!AF251*INDEX(Model!$C$2:$CA$2,Model!$A17),'Tablica IO'!AF251*1)</f>
        <v>0.10030457397234718</v>
      </c>
      <c r="AG17" s="222" cm="1">
        <f t="array" aca="1" ref="AG17" ca="1">'Tablica IO'!AG173*INDEX(Model!$C$93:$CA$93,Model!$A17) + IF(wplyw_cen_import_wlaczony,'Tablica IO'!AG251*INDEX(Model!$C$2:$CA$2,Model!$A17),'Tablica IO'!AG251*1)</f>
        <v>6.4811112101107504E-5</v>
      </c>
      <c r="AH17" s="222" cm="1">
        <f t="array" aca="1" ref="AH17" ca="1">'Tablica IO'!AH173*INDEX(Model!$C$93:$CA$93,Model!$A17) + IF(wplyw_cen_import_wlaczony,'Tablica IO'!AH251*INDEX(Model!$C$2:$CA$2,Model!$A17),'Tablica IO'!AH251*1)</f>
        <v>5.7774094633649287E-3</v>
      </c>
      <c r="AI17" s="222" cm="1">
        <f t="array" aca="1" ref="AI17" ca="1">'Tablica IO'!AI173*INDEX(Model!$C$93:$CA$93,Model!$A17) + IF(wplyw_cen_import_wlaczony,'Tablica IO'!AI251*INDEX(Model!$C$2:$CA$2,Model!$A17),'Tablica IO'!AI251*1)</f>
        <v>1.017334151211888E-3</v>
      </c>
      <c r="AJ17" s="222" cm="1">
        <f t="array" aca="1" ref="AJ17" ca="1">'Tablica IO'!AJ173*INDEX(Model!$C$93:$CA$93,Model!$A17) + IF(wplyw_cen_import_wlaczony,'Tablica IO'!AJ251*INDEX(Model!$C$2:$CA$2,Model!$A17),'Tablica IO'!AJ251*1)</f>
        <v>9.1200674292994249E-3</v>
      </c>
      <c r="AK17" s="222" cm="1">
        <f t="array" aca="1" ref="AK17" ca="1">'Tablica IO'!AK173*INDEX(Model!$C$93:$CA$93,Model!$A17) + IF(wplyw_cen_import_wlaczony,'Tablica IO'!AK251*INDEX(Model!$C$2:$CA$2,Model!$A17),'Tablica IO'!AK251*1)</f>
        <v>5.1996317457033901E-5</v>
      </c>
      <c r="AL17" s="222" cm="1">
        <f t="array" aca="1" ref="AL17" ca="1">'Tablica IO'!AL173*INDEX(Model!$C$93:$CA$93,Model!$A17) + IF(wplyw_cen_import_wlaczony,'Tablica IO'!AL251*INDEX(Model!$C$2:$CA$2,Model!$A17),'Tablica IO'!AL251*1)</f>
        <v>4.1787436144087868E-4</v>
      </c>
      <c r="AM17" s="222" cm="1">
        <f t="array" aca="1" ref="AM17" ca="1">'Tablica IO'!AM173*INDEX(Model!$C$93:$CA$93,Model!$A17) + IF(wplyw_cen_import_wlaczony,'Tablica IO'!AM251*INDEX(Model!$C$2:$CA$2,Model!$A17),'Tablica IO'!AM251*1)</f>
        <v>3.2042357602655091E-5</v>
      </c>
      <c r="AN17" s="222" cm="1">
        <f t="array" aca="1" ref="AN17" ca="1">'Tablica IO'!AN173*INDEX(Model!$C$93:$CA$93,Model!$A17) + IF(wplyw_cen_import_wlaczony,'Tablica IO'!AN251*INDEX(Model!$C$2:$CA$2,Model!$A17),'Tablica IO'!AN251*1)</f>
        <v>8.5102726715200546E-4</v>
      </c>
      <c r="AO17" s="222" cm="1">
        <f t="array" aca="1" ref="AO17" ca="1">'Tablica IO'!AO173*INDEX(Model!$C$93:$CA$93,Model!$A17) + IF(wplyw_cen_import_wlaczony,'Tablica IO'!AO251*INDEX(Model!$C$2:$CA$2,Model!$A17),'Tablica IO'!AO251*1)</f>
        <v>0</v>
      </c>
      <c r="AP17" s="222" cm="1">
        <f t="array" aca="1" ref="AP17" ca="1">'Tablica IO'!AP173*INDEX(Model!$C$93:$CA$93,Model!$A17) + IF(wplyw_cen_import_wlaczony,'Tablica IO'!AP251*INDEX(Model!$C$2:$CA$2,Model!$A17),'Tablica IO'!AP251*1)</f>
        <v>2.6897318653442125E-4</v>
      </c>
      <c r="AQ17" s="222" cm="1">
        <f t="array" aca="1" ref="AQ17" ca="1">'Tablica IO'!AQ173*INDEX(Model!$C$93:$CA$93,Model!$A17) + IF(wplyw_cen_import_wlaczony,'Tablica IO'!AQ251*INDEX(Model!$C$2:$CA$2,Model!$A17),'Tablica IO'!AQ251*1)</f>
        <v>9.7559812229980491E-5</v>
      </c>
      <c r="AR17" s="222" cm="1">
        <f t="array" aca="1" ref="AR17" ca="1">'Tablica IO'!AR173*INDEX(Model!$C$93:$CA$93,Model!$A17) + IF(wplyw_cen_import_wlaczony,'Tablica IO'!AR251*INDEX(Model!$C$2:$CA$2,Model!$A17),'Tablica IO'!AR251*1)</f>
        <v>1.1555657048950114E-4</v>
      </c>
      <c r="AS17" s="222" cm="1">
        <f t="array" aca="1" ref="AS17" ca="1">'Tablica IO'!AS173*INDEX(Model!$C$93:$CA$93,Model!$A17) + IF(wplyw_cen_import_wlaczony,'Tablica IO'!AS251*INDEX(Model!$C$2:$CA$2,Model!$A17),'Tablica IO'!AS251*1)</f>
        <v>2.8112967257847209E-6</v>
      </c>
      <c r="AT17" s="222" cm="1">
        <f t="array" aca="1" ref="AT17" ca="1">'Tablica IO'!AT173*INDEX(Model!$C$93:$CA$93,Model!$A17) + IF(wplyw_cen_import_wlaczony,'Tablica IO'!AT251*INDEX(Model!$C$2:$CA$2,Model!$A17),'Tablica IO'!AT251*1)</f>
        <v>9.6561157430629576E-7</v>
      </c>
      <c r="AU17" s="222" cm="1">
        <f t="array" aca="1" ref="AU17" ca="1">'Tablica IO'!AU173*INDEX(Model!$C$93:$CA$93,Model!$A17) + IF(wplyw_cen_import_wlaczony,'Tablica IO'!AU251*INDEX(Model!$C$2:$CA$2,Model!$A17),'Tablica IO'!AU251*1)</f>
        <v>0</v>
      </c>
      <c r="AV17" s="222" cm="1">
        <f t="array" aca="1" ref="AV17" ca="1">'Tablica IO'!AV173*INDEX(Model!$C$93:$CA$93,Model!$A17) + IF(wplyw_cen_import_wlaczony,'Tablica IO'!AV251*INDEX(Model!$C$2:$CA$2,Model!$A17),'Tablica IO'!AV251*1)</f>
        <v>0</v>
      </c>
      <c r="AW17" s="222" cm="1">
        <f t="array" aca="1" ref="AW17" ca="1">'Tablica IO'!AW173*INDEX(Model!$C$93:$CA$93,Model!$A17) + IF(wplyw_cen_import_wlaczony,'Tablica IO'!AW251*INDEX(Model!$C$2:$CA$2,Model!$A17),'Tablica IO'!AW251*1)</f>
        <v>0</v>
      </c>
      <c r="AX17" s="222" cm="1">
        <f t="array" aca="1" ref="AX17" ca="1">'Tablica IO'!AX173*INDEX(Model!$C$93:$CA$93,Model!$A17) + IF(wplyw_cen_import_wlaczony,'Tablica IO'!AX251*INDEX(Model!$C$2:$CA$2,Model!$A17),'Tablica IO'!AX251*1)</f>
        <v>0</v>
      </c>
      <c r="AY17" s="222" cm="1">
        <f t="array" aca="1" ref="AY17" ca="1">'Tablica IO'!AY173*INDEX(Model!$C$93:$CA$93,Model!$A17) + IF(wplyw_cen_import_wlaczony,'Tablica IO'!AY251*INDEX(Model!$C$2:$CA$2,Model!$A17),'Tablica IO'!AY251*1)</f>
        <v>3.2945047505543641E-4</v>
      </c>
      <c r="AZ17" s="222" cm="1">
        <f t="array" aca="1" ref="AZ17" ca="1">'Tablica IO'!AZ173*INDEX(Model!$C$93:$CA$93,Model!$A17) + IF(wplyw_cen_import_wlaczony,'Tablica IO'!AZ251*INDEX(Model!$C$2:$CA$2,Model!$A17),'Tablica IO'!AZ251*1)</f>
        <v>0</v>
      </c>
      <c r="BA17" s="222" cm="1">
        <f t="array" aca="1" ref="BA17" ca="1">'Tablica IO'!BA173*INDEX(Model!$C$93:$CA$93,Model!$A17) + IF(wplyw_cen_import_wlaczony,'Tablica IO'!BA251*INDEX(Model!$C$2:$CA$2,Model!$A17),'Tablica IO'!BA251*1)</f>
        <v>2.4954745979734502E-6</v>
      </c>
      <c r="BB17" s="222" cm="1">
        <f t="array" aca="1" ref="BB17" ca="1">'Tablica IO'!BB173*INDEX(Model!$C$93:$CA$93,Model!$A17) + IF(wplyw_cen_import_wlaczony,'Tablica IO'!BB251*INDEX(Model!$C$2:$CA$2,Model!$A17),'Tablica IO'!BB251*1)</f>
        <v>3.1489066379068015E-4</v>
      </c>
      <c r="BC17" s="222" cm="1">
        <f t="array" aca="1" ref="BC17" ca="1">'Tablica IO'!BC173*INDEX(Model!$C$93:$CA$93,Model!$A17) + IF(wplyw_cen_import_wlaczony,'Tablica IO'!BC251*INDEX(Model!$C$2:$CA$2,Model!$A17),'Tablica IO'!BC251*1)</f>
        <v>2.445156230961362E-5</v>
      </c>
      <c r="BD17" s="222" cm="1">
        <f t="array" aca="1" ref="BD17" ca="1">'Tablica IO'!BD173*INDEX(Model!$C$93:$CA$93,Model!$A17) + IF(wplyw_cen_import_wlaczony,'Tablica IO'!BD251*INDEX(Model!$C$2:$CA$2,Model!$A17),'Tablica IO'!BD251*1)</f>
        <v>1.5135767066210676E-4</v>
      </c>
      <c r="BE17" s="222" cm="1">
        <f t="array" aca="1" ref="BE17" ca="1">'Tablica IO'!BE173*INDEX(Model!$C$93:$CA$93,Model!$A17) + IF(wplyw_cen_import_wlaczony,'Tablica IO'!BE251*INDEX(Model!$C$2:$CA$2,Model!$A17),'Tablica IO'!BE251*1)</f>
        <v>3.0249647158834599E-3</v>
      </c>
      <c r="BF17" s="222" cm="1">
        <f t="array" aca="1" ref="BF17" ca="1">'Tablica IO'!BF173*INDEX(Model!$C$93:$CA$93,Model!$A17) + IF(wplyw_cen_import_wlaczony,'Tablica IO'!BF251*INDEX(Model!$C$2:$CA$2,Model!$A17),'Tablica IO'!BF251*1)</f>
        <v>1.134651768826211E-3</v>
      </c>
      <c r="BG17" s="222" cm="1">
        <f t="array" aca="1" ref="BG17" ca="1">'Tablica IO'!BG173*INDEX(Model!$C$93:$CA$93,Model!$A17) + IF(wplyw_cen_import_wlaczony,'Tablica IO'!BG251*INDEX(Model!$C$2:$CA$2,Model!$A17),'Tablica IO'!BG251*1)</f>
        <v>1.5918844669695474E-7</v>
      </c>
      <c r="BH17" s="222" cm="1">
        <f t="array" aca="1" ref="BH17" ca="1">'Tablica IO'!BH173*INDEX(Model!$C$93:$CA$93,Model!$A17) + IF(wplyw_cen_import_wlaczony,'Tablica IO'!BH251*INDEX(Model!$C$2:$CA$2,Model!$A17),'Tablica IO'!BH251*1)</f>
        <v>0</v>
      </c>
      <c r="BI17" s="222" cm="1">
        <f t="array" aca="1" ref="BI17" ca="1">'Tablica IO'!BI173*INDEX(Model!$C$93:$CA$93,Model!$A17) + IF(wplyw_cen_import_wlaczony,'Tablica IO'!BI251*INDEX(Model!$C$2:$CA$2,Model!$A17),'Tablica IO'!BI251*1)</f>
        <v>0</v>
      </c>
      <c r="BJ17" s="222" cm="1">
        <f t="array" aca="1" ref="BJ17" ca="1">'Tablica IO'!BJ173*INDEX(Model!$C$93:$CA$93,Model!$A17) + IF(wplyw_cen_import_wlaczony,'Tablica IO'!BJ251*INDEX(Model!$C$2:$CA$2,Model!$A17),'Tablica IO'!BJ251*1)</f>
        <v>9.1815478647276638E-4</v>
      </c>
      <c r="BK17" s="222" cm="1">
        <f t="array" aca="1" ref="BK17" ca="1">'Tablica IO'!BK173*INDEX(Model!$C$93:$CA$93,Model!$A17) + IF(wplyw_cen_import_wlaczony,'Tablica IO'!BK251*INDEX(Model!$C$2:$CA$2,Model!$A17),'Tablica IO'!BK251*1)</f>
        <v>0</v>
      </c>
      <c r="BL17" s="222" cm="1">
        <f t="array" aca="1" ref="BL17" ca="1">'Tablica IO'!BL173*INDEX(Model!$C$93:$CA$93,Model!$A17) + IF(wplyw_cen_import_wlaczony,'Tablica IO'!BL251*INDEX(Model!$C$2:$CA$2,Model!$A17),'Tablica IO'!BL251*1)</f>
        <v>0</v>
      </c>
      <c r="BM17" s="222" cm="1">
        <f t="array" aca="1" ref="BM17" ca="1">'Tablica IO'!BM173*INDEX(Model!$C$93:$CA$93,Model!$A17) + IF(wplyw_cen_import_wlaczony,'Tablica IO'!BM251*INDEX(Model!$C$2:$CA$2,Model!$A17),'Tablica IO'!BM251*1)</f>
        <v>3.738474085347381E-5</v>
      </c>
      <c r="BN17" s="222" cm="1">
        <f t="array" aca="1" ref="BN17" ca="1">'Tablica IO'!BN173*INDEX(Model!$C$93:$CA$93,Model!$A17) + IF(wplyw_cen_import_wlaczony,'Tablica IO'!BN251*INDEX(Model!$C$2:$CA$2,Model!$A17),'Tablica IO'!BN251*1)</f>
        <v>1.4131829504595968E-2</v>
      </c>
      <c r="BO17" s="222" cm="1">
        <f t="array" aca="1" ref="BO17" ca="1">'Tablica IO'!BO173*INDEX(Model!$C$93:$CA$93,Model!$A17) + IF(wplyw_cen_import_wlaczony,'Tablica IO'!BO251*INDEX(Model!$C$2:$CA$2,Model!$A17),'Tablica IO'!BO251*1)</f>
        <v>3.9883881538663535E-3</v>
      </c>
      <c r="BP17" s="222" cm="1">
        <f t="array" aca="1" ref="BP17" ca="1">'Tablica IO'!BP173*INDEX(Model!$C$93:$CA$93,Model!$A17) + IF(wplyw_cen_import_wlaczony,'Tablica IO'!BP251*INDEX(Model!$C$2:$CA$2,Model!$A17),'Tablica IO'!BP251*1)</f>
        <v>6.8811058788786612E-4</v>
      </c>
      <c r="BQ17" s="222" cm="1">
        <f t="array" aca="1" ref="BQ17" ca="1">'Tablica IO'!BQ173*INDEX(Model!$C$93:$CA$93,Model!$A17) + IF(wplyw_cen_import_wlaczony,'Tablica IO'!BQ251*INDEX(Model!$C$2:$CA$2,Model!$A17),'Tablica IO'!BQ251*1)</f>
        <v>1.7218538954907829E-4</v>
      </c>
      <c r="BR17" s="222" cm="1">
        <f t="array" aca="1" ref="BR17" ca="1">'Tablica IO'!BR173*INDEX(Model!$C$93:$CA$93,Model!$A17) + IF(wplyw_cen_import_wlaczony,'Tablica IO'!BR251*INDEX(Model!$C$2:$CA$2,Model!$A17),'Tablica IO'!BR251*1)</f>
        <v>2.9129777462172883E-5</v>
      </c>
      <c r="BS17" s="222" cm="1">
        <f t="array" aca="1" ref="BS17" ca="1">'Tablica IO'!BS173*INDEX(Model!$C$93:$CA$93,Model!$A17) + IF(wplyw_cen_import_wlaczony,'Tablica IO'!BS251*INDEX(Model!$C$2:$CA$2,Model!$A17),'Tablica IO'!BS251*1)</f>
        <v>1.2542730027777644E-4</v>
      </c>
      <c r="BT17" s="222" cm="1">
        <f t="array" aca="1" ref="BT17" ca="1">'Tablica IO'!BT173*INDEX(Model!$C$93:$CA$93,Model!$A17) + IF(wplyw_cen_import_wlaczony,'Tablica IO'!BT251*INDEX(Model!$C$2:$CA$2,Model!$A17),'Tablica IO'!BT251*1)</f>
        <v>2.5806845028196651E-5</v>
      </c>
      <c r="BU17" s="222" cm="1">
        <f t="array" aca="1" ref="BU17" ca="1">'Tablica IO'!BU173*INDEX(Model!$C$93:$CA$93,Model!$A17) + IF(wplyw_cen_import_wlaczony,'Tablica IO'!BU251*INDEX(Model!$C$2:$CA$2,Model!$A17),'Tablica IO'!BU251*1)</f>
        <v>1.3805185257692071E-3</v>
      </c>
      <c r="BV17" s="222" cm="1">
        <f t="array" aca="1" ref="BV17" ca="1">'Tablica IO'!BV173*INDEX(Model!$C$93:$CA$93,Model!$A17) + IF(wplyw_cen_import_wlaczony,'Tablica IO'!BV251*INDEX(Model!$C$2:$CA$2,Model!$A17),'Tablica IO'!BV251*1)</f>
        <v>0</v>
      </c>
      <c r="BW17" s="222" cm="1">
        <f t="array" aca="1" ref="BW17" ca="1">'Tablica IO'!BW173*INDEX(Model!$C$93:$CA$93,Model!$A17) + IF(wplyw_cen_import_wlaczony,'Tablica IO'!BW251*INDEX(Model!$C$2:$CA$2,Model!$A17),'Tablica IO'!BW251*1)</f>
        <v>2.5752926893208276E-4</v>
      </c>
      <c r="BX17" s="222" cm="1">
        <f t="array" aca="1" ref="BX17" ca="1">'Tablica IO'!BX173*INDEX(Model!$C$93:$CA$93,Model!$A17) + IF(wplyw_cen_import_wlaczony,'Tablica IO'!BX251*INDEX(Model!$C$2:$CA$2,Model!$A17),'Tablica IO'!BX251*1)</f>
        <v>1.5595351798256747E-3</v>
      </c>
      <c r="BY17" s="222" cm="1">
        <f t="array" aca="1" ref="BY17" ca="1">'Tablica IO'!BY173*INDEX(Model!$C$93:$CA$93,Model!$A17) + IF(wplyw_cen_import_wlaczony,'Tablica IO'!BY251*INDEX(Model!$C$2:$CA$2,Model!$A17),'Tablica IO'!BY251*1)</f>
        <v>0</v>
      </c>
      <c r="BZ17" s="222" cm="1">
        <f t="array" aca="1" ref="BZ17" ca="1">'Tablica IO'!BZ173*INDEX(Model!$C$93:$CA$93,Model!$A17) + IF(wplyw_cen_import_wlaczony,'Tablica IO'!BZ251*INDEX(Model!$C$2:$CA$2,Model!$A17),'Tablica IO'!BZ251*1)</f>
        <v>9.6301516449046152E-4</v>
      </c>
      <c r="CA17" s="222" cm="1">
        <f t="array" aca="1" ref="CA17" ca="1">'Tablica IO'!CA173*INDEX(Model!$C$93:$CA$93,Model!$A17) + IF(wplyw_cen_import_wlaczony,'Tablica IO'!CA251*INDEX(Model!$C$2:$CA$2,Model!$A17),'Tablica IO'!CA251*1)</f>
        <v>0</v>
      </c>
      <c r="CB17" s="247">
        <f ca="1">'Tablica IO'!CD173*INDEX(Model!$C$93:$CA$93,Model!$A17)+'Tablica IO'!CD251*INDEX(Model!$C$2:$CA$2,Model!$A17)</f>
        <v>2.6943596871884402E-4</v>
      </c>
      <c r="CC17" s="188">
        <f ca="1">'Tablica IO'!CE173*INDEX(Model!$C$93:$CA$93,Model!$A17)+'Tablica IO'!CE251*INDEX(Model!$C$2:$CA$2,Model!$A17)</f>
        <v>1.7365437035874788E-3</v>
      </c>
      <c r="CD17" s="188">
        <f ca="1">'Tablica IO'!CF173*INDEX(Model!$C$93:$CA$93,Model!$A17)+'Tablica IO'!CF251*INDEX(Model!$C$2:$CA$2,Model!$A17)</f>
        <v>-1.8743887285045981E-3</v>
      </c>
      <c r="CE17" s="189">
        <f ca="1">'Tablica IO'!CG173*INDEX(Model!$C$93:$CA$93,Model!$A17)+'Tablica IO'!CG251*INDEX(Model!$C$2:$CA$2,Model!$A17)</f>
        <v>2.8050567926906499E-3</v>
      </c>
    </row>
    <row r="18" spans="1:83" x14ac:dyDescent="0.25">
      <c r="A18" s="164">
        <v>6</v>
      </c>
      <c r="B18" s="172" t="s">
        <v>5</v>
      </c>
      <c r="C18" s="221" cm="1">
        <f t="array" aca="1" ref="C18" ca="1">'Tablica IO'!C174*INDEX(Model!$C$93:$CA$93,Model!$A18) + IF(wplyw_cen_import_wlaczony,'Tablica IO'!C252*INDEX(Model!$C$2:$CA$2,Model!$A18),'Tablica IO'!C252*1)</f>
        <v>0.21126144592076229</v>
      </c>
      <c r="D18" s="222" cm="1">
        <f t="array" aca="1" ref="D18" ca="1">'Tablica IO'!D174*INDEX(Model!$C$93:$CA$93,Model!$A18) + IF(wplyw_cen_import_wlaczony,'Tablica IO'!D252*INDEX(Model!$C$2:$CA$2,Model!$A18),'Tablica IO'!D252*1)</f>
        <v>5.2769576259200186E-3</v>
      </c>
      <c r="E18" s="222" cm="1">
        <f t="array" aca="1" ref="E18" ca="1">'Tablica IO'!E174*INDEX(Model!$C$93:$CA$93,Model!$A18) + IF(wplyw_cen_import_wlaczony,'Tablica IO'!E252*INDEX(Model!$C$2:$CA$2,Model!$A18),'Tablica IO'!E252*1)</f>
        <v>7.0196669643242976E-2</v>
      </c>
      <c r="F18" s="222" cm="1">
        <f t="array" aca="1" ref="F18" ca="1">'Tablica IO'!F174*INDEX(Model!$C$93:$CA$93,Model!$A18) + IF(wplyw_cen_import_wlaczony,'Tablica IO'!F252*INDEX(Model!$C$2:$CA$2,Model!$A18),'Tablica IO'!F252*1)</f>
        <v>2.5698025449722401E-5</v>
      </c>
      <c r="G18" s="222" cm="1">
        <f t="array" aca="1" ref="G18" ca="1">'Tablica IO'!G174*INDEX(Model!$C$93:$CA$93,Model!$A18) + IF(wplyw_cen_import_wlaczony,'Tablica IO'!G252*INDEX(Model!$C$2:$CA$2,Model!$A18),'Tablica IO'!G252*1)</f>
        <v>3.707475609099418E-4</v>
      </c>
      <c r="H18" s="222" cm="1">
        <f t="array" aca="1" ref="H18" ca="1">'Tablica IO'!H174*INDEX(Model!$C$93:$CA$93,Model!$A18) + IF(wplyw_cen_import_wlaczony,'Tablica IO'!H252*INDEX(Model!$C$2:$CA$2,Model!$A18),'Tablica IO'!H252*1)</f>
        <v>0.33537303574996424</v>
      </c>
      <c r="I18" s="222" cm="1">
        <f t="array" aca="1" ref="I18" ca="1">'Tablica IO'!I174*INDEX(Model!$C$93:$CA$93,Model!$A18) + IF(wplyw_cen_import_wlaczony,'Tablica IO'!I252*INDEX(Model!$C$2:$CA$2,Model!$A18),'Tablica IO'!I252*1)</f>
        <v>8.8803627438715629E-2</v>
      </c>
      <c r="J18" s="222" cm="1">
        <f t="array" aca="1" ref="J18" ca="1">'Tablica IO'!J174*INDEX(Model!$C$93:$CA$93,Model!$A18) + IF(wplyw_cen_import_wlaczony,'Tablica IO'!J252*INDEX(Model!$C$2:$CA$2,Model!$A18),'Tablica IO'!J252*1)</f>
        <v>1.0721901503664599E-4</v>
      </c>
      <c r="K18" s="222" cm="1">
        <f t="array" aca="1" ref="K18" ca="1">'Tablica IO'!K174*INDEX(Model!$C$93:$CA$93,Model!$A18) + IF(wplyw_cen_import_wlaczony,'Tablica IO'!K252*INDEX(Model!$C$2:$CA$2,Model!$A18),'Tablica IO'!K252*1)</f>
        <v>5.0001385439138249E-3</v>
      </c>
      <c r="L18" s="222" cm="1">
        <f t="array" aca="1" ref="L18" ca="1">'Tablica IO'!L174*INDEX(Model!$C$93:$CA$93,Model!$A18) + IF(wplyw_cen_import_wlaczony,'Tablica IO'!L252*INDEX(Model!$C$2:$CA$2,Model!$A18),'Tablica IO'!L252*1)</f>
        <v>1.5955889192157263E-3</v>
      </c>
      <c r="M18" s="222" cm="1">
        <f t="array" aca="1" ref="M18" ca="1">'Tablica IO'!M174*INDEX(Model!$C$93:$CA$93,Model!$A18) + IF(wplyw_cen_import_wlaczony,'Tablica IO'!M252*INDEX(Model!$C$2:$CA$2,Model!$A18),'Tablica IO'!M252*1)</f>
        <v>9.2209444296819081E-3</v>
      </c>
      <c r="N18" s="222" cm="1">
        <f t="array" aca="1" ref="N18" ca="1">'Tablica IO'!N174*INDEX(Model!$C$93:$CA$93,Model!$A18) + IF(wplyw_cen_import_wlaczony,'Tablica IO'!N252*INDEX(Model!$C$2:$CA$2,Model!$A18),'Tablica IO'!N252*1)</f>
        <v>3.7137190437977453E-4</v>
      </c>
      <c r="O18" s="222" cm="1">
        <f t="array" aca="1" ref="O18" ca="1">'Tablica IO'!O174*INDEX(Model!$C$93:$CA$93,Model!$A18) + IF(wplyw_cen_import_wlaczony,'Tablica IO'!O252*INDEX(Model!$C$2:$CA$2,Model!$A18),'Tablica IO'!O252*1)</f>
        <v>8.2208975419024283E-4</v>
      </c>
      <c r="P18" s="222" cm="1">
        <f t="array" aca="1" ref="P18" ca="1">'Tablica IO'!P174*INDEX(Model!$C$93:$CA$93,Model!$A18) + IF(wplyw_cen_import_wlaczony,'Tablica IO'!P252*INDEX(Model!$C$2:$CA$2,Model!$A18),'Tablica IO'!P252*1)</f>
        <v>3.0854505428769074E-4</v>
      </c>
      <c r="Q18" s="222" cm="1">
        <f t="array" aca="1" ref="Q18" ca="1">'Tablica IO'!Q174*INDEX(Model!$C$93:$CA$93,Model!$A18) + IF(wplyw_cen_import_wlaczony,'Tablica IO'!Q252*INDEX(Model!$C$2:$CA$2,Model!$A18),'Tablica IO'!Q252*1)</f>
        <v>2.1684492504225506E-3</v>
      </c>
      <c r="R18" s="222" cm="1">
        <f t="array" aca="1" ref="R18" ca="1">'Tablica IO'!R174*INDEX(Model!$C$93:$CA$93,Model!$A18) + IF(wplyw_cen_import_wlaczony,'Tablica IO'!R252*INDEX(Model!$C$2:$CA$2,Model!$A18),'Tablica IO'!R252*1)</f>
        <v>1.1819773303622747E-3</v>
      </c>
      <c r="S18" s="222" cm="1">
        <f t="array" aca="1" ref="S18" ca="1">'Tablica IO'!S174*INDEX(Model!$C$93:$CA$93,Model!$A18) + IF(wplyw_cen_import_wlaczony,'Tablica IO'!S252*INDEX(Model!$C$2:$CA$2,Model!$A18),'Tablica IO'!S252*1)</f>
        <v>1.4170825873690226E-3</v>
      </c>
      <c r="T18" s="222" cm="1">
        <f t="array" aca="1" ref="T18" ca="1">'Tablica IO'!T174*INDEX(Model!$C$93:$CA$93,Model!$A18) + IF(wplyw_cen_import_wlaczony,'Tablica IO'!T252*INDEX(Model!$C$2:$CA$2,Model!$A18),'Tablica IO'!T252*1)</f>
        <v>3.1628761326965002E-4</v>
      </c>
      <c r="U18" s="222" cm="1">
        <f t="array" aca="1" ref="U18" ca="1">'Tablica IO'!U174*INDEX(Model!$C$93:$CA$93,Model!$A18) + IF(wplyw_cen_import_wlaczony,'Tablica IO'!U252*INDEX(Model!$C$2:$CA$2,Model!$A18),'Tablica IO'!U252*1)</f>
        <v>7.7410284981914266E-5</v>
      </c>
      <c r="V18" s="222" cm="1">
        <f t="array" aca="1" ref="V18" ca="1">'Tablica IO'!V174*INDEX(Model!$C$93:$CA$93,Model!$A18) + IF(wplyw_cen_import_wlaczony,'Tablica IO'!V252*INDEX(Model!$C$2:$CA$2,Model!$A18),'Tablica IO'!V252*1)</f>
        <v>1.7155092496736605E-6</v>
      </c>
      <c r="W18" s="222" cm="1">
        <f t="array" aca="1" ref="W18" ca="1">'Tablica IO'!W174*INDEX(Model!$C$93:$CA$93,Model!$A18) + IF(wplyw_cen_import_wlaczony,'Tablica IO'!W252*INDEX(Model!$C$2:$CA$2,Model!$A18),'Tablica IO'!W252*1)</f>
        <v>4.6354335231107044E-5</v>
      </c>
      <c r="X18" s="222" cm="1">
        <f t="array" aca="1" ref="X18" ca="1">'Tablica IO'!X174*INDEX(Model!$C$93:$CA$93,Model!$A18) + IF(wplyw_cen_import_wlaczony,'Tablica IO'!X252*INDEX(Model!$C$2:$CA$2,Model!$A18),'Tablica IO'!X252*1)</f>
        <v>1.0876913143637657E-4</v>
      </c>
      <c r="Y18" s="222" cm="1">
        <f t="array" aca="1" ref="Y18" ca="1">'Tablica IO'!Y174*INDEX(Model!$C$93:$CA$93,Model!$A18) + IF(wplyw_cen_import_wlaczony,'Tablica IO'!Y252*INDEX(Model!$C$2:$CA$2,Model!$A18),'Tablica IO'!Y252*1)</f>
        <v>2.1416967874418269E-4</v>
      </c>
      <c r="Z18" s="222" cm="1">
        <f t="array" aca="1" ref="Z18" ca="1">'Tablica IO'!Z174*INDEX(Model!$C$93:$CA$93,Model!$A18) + IF(wplyw_cen_import_wlaczony,'Tablica IO'!Z252*INDEX(Model!$C$2:$CA$2,Model!$A18),'Tablica IO'!Z252*1)</f>
        <v>6.5180574857458772E-4</v>
      </c>
      <c r="AA18" s="222" cm="1">
        <f t="array" aca="1" ref="AA18" ca="1">'Tablica IO'!AA174*INDEX(Model!$C$93:$CA$93,Model!$A18) + IF(wplyw_cen_import_wlaczony,'Tablica IO'!AA252*INDEX(Model!$C$2:$CA$2,Model!$A18),'Tablica IO'!AA252*1)</f>
        <v>2.8603658953359018E-5</v>
      </c>
      <c r="AB18" s="222" cm="1">
        <f t="array" aca="1" ref="AB18" ca="1">'Tablica IO'!AB174*INDEX(Model!$C$93:$CA$93,Model!$A18) + IF(wplyw_cen_import_wlaczony,'Tablica IO'!AB252*INDEX(Model!$C$2:$CA$2,Model!$A18),'Tablica IO'!AB252*1)</f>
        <v>3.1249411400105943E-5</v>
      </c>
      <c r="AC18" s="222" cm="1">
        <f t="array" aca="1" ref="AC18" ca="1">'Tablica IO'!AC174*INDEX(Model!$C$93:$CA$93,Model!$A18) + IF(wplyw_cen_import_wlaczony,'Tablica IO'!AC252*INDEX(Model!$C$2:$CA$2,Model!$A18),'Tablica IO'!AC252*1)</f>
        <v>9.0729007685774361E-3</v>
      </c>
      <c r="AD18" s="222" cm="1">
        <f t="array" aca="1" ref="AD18" ca="1">'Tablica IO'!AD174*INDEX(Model!$C$93:$CA$93,Model!$A18) + IF(wplyw_cen_import_wlaczony,'Tablica IO'!AD252*INDEX(Model!$C$2:$CA$2,Model!$A18),'Tablica IO'!AD252*1)</f>
        <v>9.026846353570614E-4</v>
      </c>
      <c r="AE18" s="222" cm="1">
        <f t="array" aca="1" ref="AE18" ca="1">'Tablica IO'!AE174*INDEX(Model!$C$93:$CA$93,Model!$A18) + IF(wplyw_cen_import_wlaczony,'Tablica IO'!AE252*INDEX(Model!$C$2:$CA$2,Model!$A18),'Tablica IO'!AE252*1)</f>
        <v>8.5583472579500947E-4</v>
      </c>
      <c r="AF18" s="222" cm="1">
        <f t="array" aca="1" ref="AF18" ca="1">'Tablica IO'!AF174*INDEX(Model!$C$93:$CA$93,Model!$A18) + IF(wplyw_cen_import_wlaczony,'Tablica IO'!AF252*INDEX(Model!$C$2:$CA$2,Model!$A18),'Tablica IO'!AF252*1)</f>
        <v>3.3281918892348117E-4</v>
      </c>
      <c r="AG18" s="222" cm="1">
        <f t="array" aca="1" ref="AG18" ca="1">'Tablica IO'!AG174*INDEX(Model!$C$93:$CA$93,Model!$A18) + IF(wplyw_cen_import_wlaczony,'Tablica IO'!AG252*INDEX(Model!$C$2:$CA$2,Model!$A18),'Tablica IO'!AG252*1)</f>
        <v>6.7271204562141464E-5</v>
      </c>
      <c r="AH18" s="222" cm="1">
        <f t="array" aca="1" ref="AH18" ca="1">'Tablica IO'!AH174*INDEX(Model!$C$93:$CA$93,Model!$A18) + IF(wplyw_cen_import_wlaczony,'Tablica IO'!AH252*INDEX(Model!$C$2:$CA$2,Model!$A18),'Tablica IO'!AH252*1)</f>
        <v>3.9302933884631398E-3</v>
      </c>
      <c r="AI18" s="222" cm="1">
        <f t="array" aca="1" ref="AI18" ca="1">'Tablica IO'!AI174*INDEX(Model!$C$93:$CA$93,Model!$A18) + IF(wplyw_cen_import_wlaczony,'Tablica IO'!AI252*INDEX(Model!$C$2:$CA$2,Model!$A18),'Tablica IO'!AI252*1)</f>
        <v>1.260777067425769E-3</v>
      </c>
      <c r="AJ18" s="222" cm="1">
        <f t="array" aca="1" ref="AJ18" ca="1">'Tablica IO'!AJ174*INDEX(Model!$C$93:$CA$93,Model!$A18) + IF(wplyw_cen_import_wlaczony,'Tablica IO'!AJ252*INDEX(Model!$C$2:$CA$2,Model!$A18),'Tablica IO'!AJ252*1)</f>
        <v>4.1724723543767504E-4</v>
      </c>
      <c r="AK18" s="222" cm="1">
        <f t="array" aca="1" ref="AK18" ca="1">'Tablica IO'!AK174*INDEX(Model!$C$93:$CA$93,Model!$A18) + IF(wplyw_cen_import_wlaczony,'Tablica IO'!AK252*INDEX(Model!$C$2:$CA$2,Model!$A18),'Tablica IO'!AK252*1)</f>
        <v>6.2918311337171139E-4</v>
      </c>
      <c r="AL18" s="222" cm="1">
        <f t="array" aca="1" ref="AL18" ca="1">'Tablica IO'!AL174*INDEX(Model!$C$93:$CA$93,Model!$A18) + IF(wplyw_cen_import_wlaczony,'Tablica IO'!AL252*INDEX(Model!$C$2:$CA$2,Model!$A18),'Tablica IO'!AL252*1)</f>
        <v>2.5332254173334904E-2</v>
      </c>
      <c r="AM18" s="222" cm="1">
        <f t="array" aca="1" ref="AM18" ca="1">'Tablica IO'!AM174*INDEX(Model!$C$93:$CA$93,Model!$A18) + IF(wplyw_cen_import_wlaczony,'Tablica IO'!AM252*INDEX(Model!$C$2:$CA$2,Model!$A18),'Tablica IO'!AM252*1)</f>
        <v>3.2282089114558155E-2</v>
      </c>
      <c r="AN18" s="222" cm="1">
        <f t="array" aca="1" ref="AN18" ca="1">'Tablica IO'!AN174*INDEX(Model!$C$93:$CA$93,Model!$A18) + IF(wplyw_cen_import_wlaczony,'Tablica IO'!AN252*INDEX(Model!$C$2:$CA$2,Model!$A18),'Tablica IO'!AN252*1)</f>
        <v>2.449784011018468E-4</v>
      </c>
      <c r="AO18" s="222" cm="1">
        <f t="array" aca="1" ref="AO18" ca="1">'Tablica IO'!AO174*INDEX(Model!$C$93:$CA$93,Model!$A18) + IF(wplyw_cen_import_wlaczony,'Tablica IO'!AO252*INDEX(Model!$C$2:$CA$2,Model!$A18),'Tablica IO'!AO252*1)</f>
        <v>1.2617713768708024E-3</v>
      </c>
      <c r="AP18" s="222" cm="1">
        <f t="array" aca="1" ref="AP18" ca="1">'Tablica IO'!AP174*INDEX(Model!$C$93:$CA$93,Model!$A18) + IF(wplyw_cen_import_wlaczony,'Tablica IO'!AP252*INDEX(Model!$C$2:$CA$2,Model!$A18),'Tablica IO'!AP252*1)</f>
        <v>4.6660116487763008E-4</v>
      </c>
      <c r="AQ18" s="222" cm="1">
        <f t="array" aca="1" ref="AQ18" ca="1">'Tablica IO'!AQ174*INDEX(Model!$C$93:$CA$93,Model!$A18) + IF(wplyw_cen_import_wlaczony,'Tablica IO'!AQ252*INDEX(Model!$C$2:$CA$2,Model!$A18),'Tablica IO'!AQ252*1)</f>
        <v>9.8990977921052076E-2</v>
      </c>
      <c r="AR18" s="222" cm="1">
        <f t="array" aca="1" ref="AR18" ca="1">'Tablica IO'!AR174*INDEX(Model!$C$93:$CA$93,Model!$A18) + IF(wplyw_cen_import_wlaczony,'Tablica IO'!AR252*INDEX(Model!$C$2:$CA$2,Model!$A18),'Tablica IO'!AR252*1)</f>
        <v>0.23850314255912328</v>
      </c>
      <c r="AS18" s="222" cm="1">
        <f t="array" aca="1" ref="AS18" ca="1">'Tablica IO'!AS174*INDEX(Model!$C$93:$CA$93,Model!$A18) + IF(wplyw_cen_import_wlaczony,'Tablica IO'!AS252*INDEX(Model!$C$2:$CA$2,Model!$A18),'Tablica IO'!AS252*1)</f>
        <v>6.6735483580414973E-5</v>
      </c>
      <c r="AT18" s="222" cm="1">
        <f t="array" aca="1" ref="AT18" ca="1">'Tablica IO'!AT174*INDEX(Model!$C$93:$CA$93,Model!$A18) + IF(wplyw_cen_import_wlaczony,'Tablica IO'!AT252*INDEX(Model!$C$2:$CA$2,Model!$A18),'Tablica IO'!AT252*1)</f>
        <v>1.8600104664112072E-5</v>
      </c>
      <c r="AU18" s="222" cm="1">
        <f t="array" aca="1" ref="AU18" ca="1">'Tablica IO'!AU174*INDEX(Model!$C$93:$CA$93,Model!$A18) + IF(wplyw_cen_import_wlaczony,'Tablica IO'!AU252*INDEX(Model!$C$2:$CA$2,Model!$A18),'Tablica IO'!AU252*1)</f>
        <v>1.5749218069479752E-6</v>
      </c>
      <c r="AV18" s="222" cm="1">
        <f t="array" aca="1" ref="AV18" ca="1">'Tablica IO'!AV174*INDEX(Model!$C$93:$CA$93,Model!$A18) + IF(wplyw_cen_import_wlaczony,'Tablica IO'!AV252*INDEX(Model!$C$2:$CA$2,Model!$A18),'Tablica IO'!AV252*1)</f>
        <v>2.6703023406341006E-4</v>
      </c>
      <c r="AW18" s="222" cm="1">
        <f t="array" aca="1" ref="AW18" ca="1">'Tablica IO'!AW174*INDEX(Model!$C$93:$CA$93,Model!$A18) + IF(wplyw_cen_import_wlaczony,'Tablica IO'!AW252*INDEX(Model!$C$2:$CA$2,Model!$A18),'Tablica IO'!AW252*1)</f>
        <v>8.1966074048520109E-4</v>
      </c>
      <c r="AX18" s="222" cm="1">
        <f t="array" aca="1" ref="AX18" ca="1">'Tablica IO'!AX174*INDEX(Model!$C$93:$CA$93,Model!$A18) + IF(wplyw_cen_import_wlaczony,'Tablica IO'!AX252*INDEX(Model!$C$2:$CA$2,Model!$A18),'Tablica IO'!AX252*1)</f>
        <v>1.2827449374161772E-3</v>
      </c>
      <c r="AY18" s="222" cm="1">
        <f t="array" aca="1" ref="AY18" ca="1">'Tablica IO'!AY174*INDEX(Model!$C$93:$CA$93,Model!$A18) + IF(wplyw_cen_import_wlaczony,'Tablica IO'!AY252*INDEX(Model!$C$2:$CA$2,Model!$A18),'Tablica IO'!AY252*1)</f>
        <v>1.863927412855701E-3</v>
      </c>
      <c r="AZ18" s="222" cm="1">
        <f t="array" aca="1" ref="AZ18" ca="1">'Tablica IO'!AZ174*INDEX(Model!$C$93:$CA$93,Model!$A18) + IF(wplyw_cen_import_wlaczony,'Tablica IO'!AZ252*INDEX(Model!$C$2:$CA$2,Model!$A18),'Tablica IO'!AZ252*1)</f>
        <v>6.2507149430802832E-3</v>
      </c>
      <c r="BA18" s="222" cm="1">
        <f t="array" aca="1" ref="BA18" ca="1">'Tablica IO'!BA174*INDEX(Model!$C$93:$CA$93,Model!$A18) + IF(wplyw_cen_import_wlaczony,'Tablica IO'!BA252*INDEX(Model!$C$2:$CA$2,Model!$A18),'Tablica IO'!BA252*1)</f>
        <v>2.2789624870771005E-4</v>
      </c>
      <c r="BB18" s="222" cm="1">
        <f t="array" aca="1" ref="BB18" ca="1">'Tablica IO'!BB174*INDEX(Model!$C$93:$CA$93,Model!$A18) + IF(wplyw_cen_import_wlaczony,'Tablica IO'!BB252*INDEX(Model!$C$2:$CA$2,Model!$A18),'Tablica IO'!BB252*1)</f>
        <v>8.6541200304396642E-4</v>
      </c>
      <c r="BC18" s="222" cm="1">
        <f t="array" aca="1" ref="BC18" ca="1">'Tablica IO'!BC174*INDEX(Model!$C$93:$CA$93,Model!$A18) + IF(wplyw_cen_import_wlaczony,'Tablica IO'!BC252*INDEX(Model!$C$2:$CA$2,Model!$A18),'Tablica IO'!BC252*1)</f>
        <v>1.655019476744505E-3</v>
      </c>
      <c r="BD18" s="222" cm="1">
        <f t="array" aca="1" ref="BD18" ca="1">'Tablica IO'!BD174*INDEX(Model!$C$93:$CA$93,Model!$A18) + IF(wplyw_cen_import_wlaczony,'Tablica IO'!BD252*INDEX(Model!$C$2:$CA$2,Model!$A18),'Tablica IO'!BD252*1)</f>
        <v>9.2988170716876281E-4</v>
      </c>
      <c r="BE18" s="222" cm="1">
        <f t="array" aca="1" ref="BE18" ca="1">'Tablica IO'!BE174*INDEX(Model!$C$93:$CA$93,Model!$A18) + IF(wplyw_cen_import_wlaczony,'Tablica IO'!BE252*INDEX(Model!$C$2:$CA$2,Model!$A18),'Tablica IO'!BE252*1)</f>
        <v>3.3632837173974559E-4</v>
      </c>
      <c r="BF18" s="222" cm="1">
        <f t="array" aca="1" ref="BF18" ca="1">'Tablica IO'!BF174*INDEX(Model!$C$93:$CA$93,Model!$A18) + IF(wplyw_cen_import_wlaczony,'Tablica IO'!BF252*INDEX(Model!$C$2:$CA$2,Model!$A18),'Tablica IO'!BF252*1)</f>
        <v>1.517124693143833E-3</v>
      </c>
      <c r="BG18" s="222" cm="1">
        <f t="array" aca="1" ref="BG18" ca="1">'Tablica IO'!BG174*INDEX(Model!$C$93:$CA$93,Model!$A18) + IF(wplyw_cen_import_wlaczony,'Tablica IO'!BG252*INDEX(Model!$C$2:$CA$2,Model!$A18),'Tablica IO'!BG252*1)</f>
        <v>3.7243017426800171E-4</v>
      </c>
      <c r="BH18" s="222" cm="1">
        <f t="array" aca="1" ref="BH18" ca="1">'Tablica IO'!BH174*INDEX(Model!$C$93:$CA$93,Model!$A18) + IF(wplyw_cen_import_wlaczony,'Tablica IO'!BH252*INDEX(Model!$C$2:$CA$2,Model!$A18),'Tablica IO'!BH252*1)</f>
        <v>1.2475497602357517E-3</v>
      </c>
      <c r="BI18" s="222" cm="1">
        <f t="array" aca="1" ref="BI18" ca="1">'Tablica IO'!BI174*INDEX(Model!$C$93:$CA$93,Model!$A18) + IF(wplyw_cen_import_wlaczony,'Tablica IO'!BI252*INDEX(Model!$C$2:$CA$2,Model!$A18),'Tablica IO'!BI252*1)</f>
        <v>9.4312857278105936E-7</v>
      </c>
      <c r="BJ18" s="222" cm="1">
        <f t="array" aca="1" ref="BJ18" ca="1">'Tablica IO'!BJ174*INDEX(Model!$C$93:$CA$93,Model!$A18) + IF(wplyw_cen_import_wlaczony,'Tablica IO'!BJ252*INDEX(Model!$C$2:$CA$2,Model!$A18),'Tablica IO'!BJ252*1)</f>
        <v>4.9015914689370921E-4</v>
      </c>
      <c r="BK18" s="222" cm="1">
        <f t="array" aca="1" ref="BK18" ca="1">'Tablica IO'!BK174*INDEX(Model!$C$93:$CA$93,Model!$A18) + IF(wplyw_cen_import_wlaczony,'Tablica IO'!BK252*INDEX(Model!$C$2:$CA$2,Model!$A18),'Tablica IO'!BK252*1)</f>
        <v>5.0226747186910411E-3</v>
      </c>
      <c r="BL18" s="222" cm="1">
        <f t="array" aca="1" ref="BL18" ca="1">'Tablica IO'!BL174*INDEX(Model!$C$93:$CA$93,Model!$A18) + IF(wplyw_cen_import_wlaczony,'Tablica IO'!BL252*INDEX(Model!$C$2:$CA$2,Model!$A18),'Tablica IO'!BL252*1)</f>
        <v>4.8063832232476044E-3</v>
      </c>
      <c r="BM18" s="222" cm="1">
        <f t="array" aca="1" ref="BM18" ca="1">'Tablica IO'!BM174*INDEX(Model!$C$93:$CA$93,Model!$A18) + IF(wplyw_cen_import_wlaczony,'Tablica IO'!BM252*INDEX(Model!$C$2:$CA$2,Model!$A18),'Tablica IO'!BM252*1)</f>
        <v>8.5902788557828773E-4</v>
      </c>
      <c r="BN18" s="222" cm="1">
        <f t="array" aca="1" ref="BN18" ca="1">'Tablica IO'!BN174*INDEX(Model!$C$93:$CA$93,Model!$A18) + IF(wplyw_cen_import_wlaczony,'Tablica IO'!BN252*INDEX(Model!$C$2:$CA$2,Model!$A18),'Tablica IO'!BN252*1)</f>
        <v>1.7408718109961765E-2</v>
      </c>
      <c r="BO18" s="222" cm="1">
        <f t="array" aca="1" ref="BO18" ca="1">'Tablica IO'!BO174*INDEX(Model!$C$93:$CA$93,Model!$A18) + IF(wplyw_cen_import_wlaczony,'Tablica IO'!BO252*INDEX(Model!$C$2:$CA$2,Model!$A18),'Tablica IO'!BO252*1)</f>
        <v>4.0965748525768836E-3</v>
      </c>
      <c r="BP18" s="222" cm="1">
        <f t="array" aca="1" ref="BP18" ca="1">'Tablica IO'!BP174*INDEX(Model!$C$93:$CA$93,Model!$A18) + IF(wplyw_cen_import_wlaczony,'Tablica IO'!BP252*INDEX(Model!$C$2:$CA$2,Model!$A18),'Tablica IO'!BP252*1)</f>
        <v>2.7239855215156128E-3</v>
      </c>
      <c r="BQ18" s="222" cm="1">
        <f t="array" aca="1" ref="BQ18" ca="1">'Tablica IO'!BQ174*INDEX(Model!$C$93:$CA$93,Model!$A18) + IF(wplyw_cen_import_wlaczony,'Tablica IO'!BQ252*INDEX(Model!$C$2:$CA$2,Model!$A18),'Tablica IO'!BQ252*1)</f>
        <v>7.1537584809840508E-3</v>
      </c>
      <c r="BR18" s="222" cm="1">
        <f t="array" aca="1" ref="BR18" ca="1">'Tablica IO'!BR174*INDEX(Model!$C$93:$CA$93,Model!$A18) + IF(wplyw_cen_import_wlaczony,'Tablica IO'!BR252*INDEX(Model!$C$2:$CA$2,Model!$A18),'Tablica IO'!BR252*1)</f>
        <v>4.2925116116471684E-3</v>
      </c>
      <c r="BS18" s="222" cm="1">
        <f t="array" aca="1" ref="BS18" ca="1">'Tablica IO'!BS174*INDEX(Model!$C$93:$CA$93,Model!$A18) + IF(wplyw_cen_import_wlaczony,'Tablica IO'!BS252*INDEX(Model!$C$2:$CA$2,Model!$A18),'Tablica IO'!BS252*1)</f>
        <v>4.8080734925228047E-2</v>
      </c>
      <c r="BT18" s="222" cm="1">
        <f t="array" aca="1" ref="BT18" ca="1">'Tablica IO'!BT174*INDEX(Model!$C$93:$CA$93,Model!$A18) + IF(wplyw_cen_import_wlaczony,'Tablica IO'!BT252*INDEX(Model!$C$2:$CA$2,Model!$A18),'Tablica IO'!BT252*1)</f>
        <v>2.1935704693057225E-3</v>
      </c>
      <c r="BU18" s="222" cm="1">
        <f t="array" aca="1" ref="BU18" ca="1">'Tablica IO'!BU174*INDEX(Model!$C$93:$CA$93,Model!$A18) + IF(wplyw_cen_import_wlaczony,'Tablica IO'!BU252*INDEX(Model!$C$2:$CA$2,Model!$A18),'Tablica IO'!BU252*1)</f>
        <v>5.0960319233406325E-4</v>
      </c>
      <c r="BV18" s="222" cm="1">
        <f t="array" aca="1" ref="BV18" ca="1">'Tablica IO'!BV174*INDEX(Model!$C$93:$CA$93,Model!$A18) + IF(wplyw_cen_import_wlaczony,'Tablica IO'!BV252*INDEX(Model!$C$2:$CA$2,Model!$A18),'Tablica IO'!BV252*1)</f>
        <v>1.0232153932579354E-4</v>
      </c>
      <c r="BW18" s="222" cm="1">
        <f t="array" aca="1" ref="BW18" ca="1">'Tablica IO'!BW174*INDEX(Model!$C$93:$CA$93,Model!$A18) + IF(wplyw_cen_import_wlaczony,'Tablica IO'!BW252*INDEX(Model!$C$2:$CA$2,Model!$A18),'Tablica IO'!BW252*1)</f>
        <v>6.8381453240946846E-3</v>
      </c>
      <c r="BX18" s="222" cm="1">
        <f t="array" aca="1" ref="BX18" ca="1">'Tablica IO'!BX174*INDEX(Model!$C$93:$CA$93,Model!$A18) + IF(wplyw_cen_import_wlaczony,'Tablica IO'!BX252*INDEX(Model!$C$2:$CA$2,Model!$A18),'Tablica IO'!BX252*1)</f>
        <v>0.17074948679837201</v>
      </c>
      <c r="BY18" s="222" cm="1">
        <f t="array" aca="1" ref="BY18" ca="1">'Tablica IO'!BY174*INDEX(Model!$C$93:$CA$93,Model!$A18) + IF(wplyw_cen_import_wlaczony,'Tablica IO'!BY252*INDEX(Model!$C$2:$CA$2,Model!$A18),'Tablica IO'!BY252*1)</f>
        <v>1.5702765248808761E-4</v>
      </c>
      <c r="BZ18" s="222" cm="1">
        <f t="array" aca="1" ref="BZ18" ca="1">'Tablica IO'!BZ174*INDEX(Model!$C$93:$CA$93,Model!$A18) + IF(wplyw_cen_import_wlaczony,'Tablica IO'!BZ252*INDEX(Model!$C$2:$CA$2,Model!$A18),'Tablica IO'!BZ252*1)</f>
        <v>5.2883304277795938E-3</v>
      </c>
      <c r="CA18" s="222" cm="1">
        <f t="array" aca="1" ref="CA18" ca="1">'Tablica IO'!CA174*INDEX(Model!$C$93:$CA$93,Model!$A18) + IF(wplyw_cen_import_wlaczony,'Tablica IO'!CA252*INDEX(Model!$C$2:$CA$2,Model!$A18),'Tablica IO'!CA252*1)</f>
        <v>0</v>
      </c>
      <c r="CB18" s="247">
        <f ca="1">'Tablica IO'!CD174*INDEX(Model!$C$93:$CA$93,Model!$A18)+'Tablica IO'!CD252*INDEX(Model!$C$2:$CA$2,Model!$A18)</f>
        <v>0.137115749511868</v>
      </c>
      <c r="CC18" s="188">
        <f ca="1">'Tablica IO'!CE174*INDEX(Model!$C$93:$CA$93,Model!$A18)+'Tablica IO'!CE252*INDEX(Model!$C$2:$CA$2,Model!$A18)</f>
        <v>3.5915826982886747E-4</v>
      </c>
      <c r="CD18" s="188">
        <f ca="1">'Tablica IO'!CF174*INDEX(Model!$C$93:$CA$93,Model!$A18)+'Tablica IO'!CF252*INDEX(Model!$C$2:$CA$2,Model!$A18)</f>
        <v>-2.5829938377720199E-2</v>
      </c>
      <c r="CE18" s="189">
        <f ca="1">'Tablica IO'!CG174*INDEX(Model!$C$93:$CA$93,Model!$A18)+'Tablica IO'!CG252*INDEX(Model!$C$2:$CA$2,Model!$A18)</f>
        <v>9.7360397652069719E-2</v>
      </c>
    </row>
    <row r="19" spans="1:83" x14ac:dyDescent="0.25">
      <c r="A19" s="164">
        <v>7</v>
      </c>
      <c r="B19" s="172" t="s">
        <v>6</v>
      </c>
      <c r="C19" s="221" cm="1">
        <f t="array" aca="1" ref="C19" ca="1">'Tablica IO'!C175*INDEX(Model!$C$93:$CA$93,Model!$A19) + IF(wplyw_cen_import_wlaczony,'Tablica IO'!C253*INDEX(Model!$C$2:$CA$2,Model!$A19),'Tablica IO'!C253*1)</f>
        <v>2.6085876954751912E-4</v>
      </c>
      <c r="D19" s="222" cm="1">
        <f t="array" aca="1" ref="D19" ca="1">'Tablica IO'!D175*INDEX(Model!$C$93:$CA$93,Model!$A19) + IF(wplyw_cen_import_wlaczony,'Tablica IO'!D253*INDEX(Model!$C$2:$CA$2,Model!$A19),'Tablica IO'!D253*1)</f>
        <v>1.2413467164842443E-4</v>
      </c>
      <c r="E19" s="222" cm="1">
        <f t="array" aca="1" ref="E19" ca="1">'Tablica IO'!E175*INDEX(Model!$C$93:$CA$93,Model!$A19) + IF(wplyw_cen_import_wlaczony,'Tablica IO'!E253*INDEX(Model!$C$2:$CA$2,Model!$A19),'Tablica IO'!E253*1)</f>
        <v>3.822253836319877E-4</v>
      </c>
      <c r="F19" s="222" cm="1">
        <f t="array" aca="1" ref="F19" ca="1">'Tablica IO'!F175*INDEX(Model!$C$93:$CA$93,Model!$A19) + IF(wplyw_cen_import_wlaczony,'Tablica IO'!F253*INDEX(Model!$C$2:$CA$2,Model!$A19),'Tablica IO'!F253*1)</f>
        <v>2.9268287607666927E-4</v>
      </c>
      <c r="G19" s="222" cm="1">
        <f t="array" aca="1" ref="G19" ca="1">'Tablica IO'!G175*INDEX(Model!$C$93:$CA$93,Model!$A19) + IF(wplyw_cen_import_wlaczony,'Tablica IO'!G253*INDEX(Model!$C$2:$CA$2,Model!$A19),'Tablica IO'!G253*1)</f>
        <v>4.6221162743430251E-4</v>
      </c>
      <c r="H19" s="222" cm="1">
        <f t="array" aca="1" ref="H19" ca="1">'Tablica IO'!H175*INDEX(Model!$C$93:$CA$93,Model!$A19) + IF(wplyw_cen_import_wlaczony,'Tablica IO'!H253*INDEX(Model!$C$2:$CA$2,Model!$A19),'Tablica IO'!H253*1)</f>
        <v>1.5321939697413439E-3</v>
      </c>
      <c r="I19" s="222" cm="1">
        <f t="array" aca="1" ref="I19" ca="1">'Tablica IO'!I175*INDEX(Model!$C$93:$CA$93,Model!$A19) + IF(wplyw_cen_import_wlaczony,'Tablica IO'!I253*INDEX(Model!$C$2:$CA$2,Model!$A19),'Tablica IO'!I253*1)</f>
        <v>6.3345220298859362E-2</v>
      </c>
      <c r="J19" s="222" cm="1">
        <f t="array" aca="1" ref="J19" ca="1">'Tablica IO'!J175*INDEX(Model!$C$93:$CA$93,Model!$A19) + IF(wplyw_cen_import_wlaczony,'Tablica IO'!J253*INDEX(Model!$C$2:$CA$2,Model!$A19),'Tablica IO'!J253*1)</f>
        <v>9.7484968509575226E-6</v>
      </c>
      <c r="K19" s="222" cm="1">
        <f t="array" aca="1" ref="K19" ca="1">'Tablica IO'!K175*INDEX(Model!$C$93:$CA$93,Model!$A19) + IF(wplyw_cen_import_wlaczony,'Tablica IO'!K253*INDEX(Model!$C$2:$CA$2,Model!$A19),'Tablica IO'!K253*1)</f>
        <v>6.3446666104316984E-5</v>
      </c>
      <c r="L19" s="222" cm="1">
        <f t="array" aca="1" ref="L19" ca="1">'Tablica IO'!L175*INDEX(Model!$C$93:$CA$93,Model!$A19) + IF(wplyw_cen_import_wlaczony,'Tablica IO'!L253*INDEX(Model!$C$2:$CA$2,Model!$A19),'Tablica IO'!L253*1)</f>
        <v>7.7171653593450336E-4</v>
      </c>
      <c r="M19" s="222" cm="1">
        <f t="array" aca="1" ref="M19" ca="1">'Tablica IO'!M175*INDEX(Model!$C$93:$CA$93,Model!$A19) + IF(wplyw_cen_import_wlaczony,'Tablica IO'!M253*INDEX(Model!$C$2:$CA$2,Model!$A19),'Tablica IO'!M253*1)</f>
        <v>1.0645893825127503E-3</v>
      </c>
      <c r="N19" s="222" cm="1">
        <f t="array" aca="1" ref="N19" ca="1">'Tablica IO'!N175*INDEX(Model!$C$93:$CA$93,Model!$A19) + IF(wplyw_cen_import_wlaczony,'Tablica IO'!N253*INDEX(Model!$C$2:$CA$2,Model!$A19),'Tablica IO'!N253*1)</f>
        <v>2.8609054697319919E-5</v>
      </c>
      <c r="O19" s="222" cm="1">
        <f t="array" aca="1" ref="O19" ca="1">'Tablica IO'!O175*INDEX(Model!$C$93:$CA$93,Model!$A19) + IF(wplyw_cen_import_wlaczony,'Tablica IO'!O253*INDEX(Model!$C$2:$CA$2,Model!$A19),'Tablica IO'!O253*1)</f>
        <v>7.8945985926896344E-4</v>
      </c>
      <c r="P19" s="222" cm="1">
        <f t="array" aca="1" ref="P19" ca="1">'Tablica IO'!P175*INDEX(Model!$C$93:$CA$93,Model!$A19) + IF(wplyw_cen_import_wlaczony,'Tablica IO'!P253*INDEX(Model!$C$2:$CA$2,Model!$A19),'Tablica IO'!P253*1)</f>
        <v>2.0287661871832289E-4</v>
      </c>
      <c r="Q19" s="222" cm="1">
        <f t="array" aca="1" ref="Q19" ca="1">'Tablica IO'!Q175*INDEX(Model!$C$93:$CA$93,Model!$A19) + IF(wplyw_cen_import_wlaczony,'Tablica IO'!Q253*INDEX(Model!$C$2:$CA$2,Model!$A19),'Tablica IO'!Q253*1)</f>
        <v>5.7547757995226342E-4</v>
      </c>
      <c r="R19" s="222" cm="1">
        <f t="array" aca="1" ref="R19" ca="1">'Tablica IO'!R175*INDEX(Model!$C$93:$CA$93,Model!$A19) + IF(wplyw_cen_import_wlaczony,'Tablica IO'!R253*INDEX(Model!$C$2:$CA$2,Model!$A19),'Tablica IO'!R253*1)</f>
        <v>1.5366037776275774E-3</v>
      </c>
      <c r="S19" s="222" cm="1">
        <f t="array" aca="1" ref="S19" ca="1">'Tablica IO'!S175*INDEX(Model!$C$93:$CA$93,Model!$A19) + IF(wplyw_cen_import_wlaczony,'Tablica IO'!S253*INDEX(Model!$C$2:$CA$2,Model!$A19),'Tablica IO'!S253*1)</f>
        <v>8.7209220000173459E-5</v>
      </c>
      <c r="T19" s="222" cm="1">
        <f t="array" aca="1" ref="T19" ca="1">'Tablica IO'!T175*INDEX(Model!$C$93:$CA$93,Model!$A19) + IF(wplyw_cen_import_wlaczony,'Tablica IO'!T253*INDEX(Model!$C$2:$CA$2,Model!$A19),'Tablica IO'!T253*1)</f>
        <v>3.5885026966225609E-4</v>
      </c>
      <c r="U19" s="222" cm="1">
        <f t="array" aca="1" ref="U19" ca="1">'Tablica IO'!U175*INDEX(Model!$C$93:$CA$93,Model!$A19) + IF(wplyw_cen_import_wlaczony,'Tablica IO'!U253*INDEX(Model!$C$2:$CA$2,Model!$A19),'Tablica IO'!U253*1)</f>
        <v>2.3447930827371144E-4</v>
      </c>
      <c r="V19" s="222" cm="1">
        <f t="array" aca="1" ref="V19" ca="1">'Tablica IO'!V175*INDEX(Model!$C$93:$CA$93,Model!$A19) + IF(wplyw_cen_import_wlaczony,'Tablica IO'!V253*INDEX(Model!$C$2:$CA$2,Model!$A19),'Tablica IO'!V253*1)</f>
        <v>3.7585501122612097E-4</v>
      </c>
      <c r="W19" s="222" cm="1">
        <f t="array" aca="1" ref="W19" ca="1">'Tablica IO'!W175*INDEX(Model!$C$93:$CA$93,Model!$A19) + IF(wplyw_cen_import_wlaczony,'Tablica IO'!W253*INDEX(Model!$C$2:$CA$2,Model!$A19),'Tablica IO'!W253*1)</f>
        <v>3.0796632283737165E-4</v>
      </c>
      <c r="X19" s="222" cm="1">
        <f t="array" aca="1" ref="X19" ca="1">'Tablica IO'!X175*INDEX(Model!$C$93:$CA$93,Model!$A19) + IF(wplyw_cen_import_wlaczony,'Tablica IO'!X253*INDEX(Model!$C$2:$CA$2,Model!$A19),'Tablica IO'!X253*1)</f>
        <v>3.2526827851191366E-5</v>
      </c>
      <c r="Y19" s="222" cm="1">
        <f t="array" aca="1" ref="Y19" ca="1">'Tablica IO'!Y175*INDEX(Model!$C$93:$CA$93,Model!$A19) + IF(wplyw_cen_import_wlaczony,'Tablica IO'!Y253*INDEX(Model!$C$2:$CA$2,Model!$A19),'Tablica IO'!Y253*1)</f>
        <v>4.5826468720368854E-4</v>
      </c>
      <c r="Z19" s="222" cm="1">
        <f t="array" aca="1" ref="Z19" ca="1">'Tablica IO'!Z175*INDEX(Model!$C$93:$CA$93,Model!$A19) + IF(wplyw_cen_import_wlaczony,'Tablica IO'!Z253*INDEX(Model!$C$2:$CA$2,Model!$A19),'Tablica IO'!Z253*1)</f>
        <v>7.8446086450763882E-4</v>
      </c>
      <c r="AA19" s="222" cm="1">
        <f t="array" aca="1" ref="AA19" ca="1">'Tablica IO'!AA175*INDEX(Model!$C$93:$CA$93,Model!$A19) + IF(wplyw_cen_import_wlaczony,'Tablica IO'!AA253*INDEX(Model!$C$2:$CA$2,Model!$A19),'Tablica IO'!AA253*1)</f>
        <v>4.8017446543475825E-5</v>
      </c>
      <c r="AB19" s="222" cm="1">
        <f t="array" aca="1" ref="AB19" ca="1">'Tablica IO'!AB175*INDEX(Model!$C$93:$CA$93,Model!$A19) + IF(wplyw_cen_import_wlaczony,'Tablica IO'!AB253*INDEX(Model!$C$2:$CA$2,Model!$A19),'Tablica IO'!AB253*1)</f>
        <v>1.3223035665618841E-4</v>
      </c>
      <c r="AC19" s="222" cm="1">
        <f t="array" aca="1" ref="AC19" ca="1">'Tablica IO'!AC175*INDEX(Model!$C$93:$CA$93,Model!$A19) + IF(wplyw_cen_import_wlaczony,'Tablica IO'!AC253*INDEX(Model!$C$2:$CA$2,Model!$A19),'Tablica IO'!AC253*1)</f>
        <v>1.2575587190113147E-4</v>
      </c>
      <c r="AD19" s="222" cm="1">
        <f t="array" aca="1" ref="AD19" ca="1">'Tablica IO'!AD175*INDEX(Model!$C$93:$CA$93,Model!$A19) + IF(wplyw_cen_import_wlaczony,'Tablica IO'!AD253*INDEX(Model!$C$2:$CA$2,Model!$A19),'Tablica IO'!AD253*1)</f>
        <v>2.5884153163896213E-5</v>
      </c>
      <c r="AE19" s="222" cm="1">
        <f t="array" aca="1" ref="AE19" ca="1">'Tablica IO'!AE175*INDEX(Model!$C$93:$CA$93,Model!$A19) + IF(wplyw_cen_import_wlaczony,'Tablica IO'!AE253*INDEX(Model!$C$2:$CA$2,Model!$A19),'Tablica IO'!AE253*1)</f>
        <v>1.8299410873672686E-4</v>
      </c>
      <c r="AF19" s="222" cm="1">
        <f t="array" aca="1" ref="AF19" ca="1">'Tablica IO'!AF175*INDEX(Model!$C$93:$CA$93,Model!$A19) + IF(wplyw_cen_import_wlaczony,'Tablica IO'!AF253*INDEX(Model!$C$2:$CA$2,Model!$A19),'Tablica IO'!AF253*1)</f>
        <v>6.6912027472112447E-5</v>
      </c>
      <c r="AG19" s="222" cm="1">
        <f t="array" aca="1" ref="AG19" ca="1">'Tablica IO'!AG175*INDEX(Model!$C$93:$CA$93,Model!$A19) + IF(wplyw_cen_import_wlaczony,'Tablica IO'!AG253*INDEX(Model!$C$2:$CA$2,Model!$A19),'Tablica IO'!AG253*1)</f>
        <v>2.3787657476961589E-4</v>
      </c>
      <c r="AH19" s="222" cm="1">
        <f t="array" aca="1" ref="AH19" ca="1">'Tablica IO'!AH175*INDEX(Model!$C$93:$CA$93,Model!$A19) + IF(wplyw_cen_import_wlaczony,'Tablica IO'!AH253*INDEX(Model!$C$2:$CA$2,Model!$A19),'Tablica IO'!AH253*1)</f>
        <v>4.4336452138480856E-4</v>
      </c>
      <c r="AI19" s="222" cm="1">
        <f t="array" aca="1" ref="AI19" ca="1">'Tablica IO'!AI175*INDEX(Model!$C$93:$CA$93,Model!$A19) + IF(wplyw_cen_import_wlaczony,'Tablica IO'!AI253*INDEX(Model!$C$2:$CA$2,Model!$A19),'Tablica IO'!AI253*1)</f>
        <v>1.9110374421005684E-4</v>
      </c>
      <c r="AJ19" s="222" cm="1">
        <f t="array" aca="1" ref="AJ19" ca="1">'Tablica IO'!AJ175*INDEX(Model!$C$93:$CA$93,Model!$A19) + IF(wplyw_cen_import_wlaczony,'Tablica IO'!AJ253*INDEX(Model!$C$2:$CA$2,Model!$A19),'Tablica IO'!AJ253*1)</f>
        <v>3.2531761708549906E-4</v>
      </c>
      <c r="AK19" s="222" cm="1">
        <f t="array" aca="1" ref="AK19" ca="1">'Tablica IO'!AK175*INDEX(Model!$C$93:$CA$93,Model!$A19) + IF(wplyw_cen_import_wlaczony,'Tablica IO'!AK253*INDEX(Model!$C$2:$CA$2,Model!$A19),'Tablica IO'!AK253*1)</f>
        <v>6.265256328281194E-4</v>
      </c>
      <c r="AL19" s="222" cm="1">
        <f t="array" aca="1" ref="AL19" ca="1">'Tablica IO'!AL175*INDEX(Model!$C$93:$CA$93,Model!$A19) + IF(wplyw_cen_import_wlaczony,'Tablica IO'!AL253*INDEX(Model!$C$2:$CA$2,Model!$A19),'Tablica IO'!AL253*1)</f>
        <v>3.4305413173081893E-3</v>
      </c>
      <c r="AM19" s="222" cm="1">
        <f t="array" aca="1" ref="AM19" ca="1">'Tablica IO'!AM175*INDEX(Model!$C$93:$CA$93,Model!$A19) + IF(wplyw_cen_import_wlaczony,'Tablica IO'!AM253*INDEX(Model!$C$2:$CA$2,Model!$A19),'Tablica IO'!AM253*1)</f>
        <v>1.3685524286434485E-3</v>
      </c>
      <c r="AN19" s="222" cm="1">
        <f t="array" aca="1" ref="AN19" ca="1">'Tablica IO'!AN175*INDEX(Model!$C$93:$CA$93,Model!$A19) + IF(wplyw_cen_import_wlaczony,'Tablica IO'!AN253*INDEX(Model!$C$2:$CA$2,Model!$A19),'Tablica IO'!AN253*1)</f>
        <v>4.5861186434549003E-4</v>
      </c>
      <c r="AO19" s="222" cm="1">
        <f t="array" aca="1" ref="AO19" ca="1">'Tablica IO'!AO175*INDEX(Model!$C$93:$CA$93,Model!$A19) + IF(wplyw_cen_import_wlaczony,'Tablica IO'!AO253*INDEX(Model!$C$2:$CA$2,Model!$A19),'Tablica IO'!AO253*1)</f>
        <v>2.0730564881993362E-3</v>
      </c>
      <c r="AP19" s="222" cm="1">
        <f t="array" aca="1" ref="AP19" ca="1">'Tablica IO'!AP175*INDEX(Model!$C$93:$CA$93,Model!$A19) + IF(wplyw_cen_import_wlaczony,'Tablica IO'!AP253*INDEX(Model!$C$2:$CA$2,Model!$A19),'Tablica IO'!AP253*1)</f>
        <v>2.4819290640647272E-4</v>
      </c>
      <c r="AQ19" s="222" cm="1">
        <f t="array" aca="1" ref="AQ19" ca="1">'Tablica IO'!AQ175*INDEX(Model!$C$93:$CA$93,Model!$A19) + IF(wplyw_cen_import_wlaczony,'Tablica IO'!AQ253*INDEX(Model!$C$2:$CA$2,Model!$A19),'Tablica IO'!AQ253*1)</f>
        <v>9.9462322591650672E-3</v>
      </c>
      <c r="AR19" s="222" cm="1">
        <f t="array" aca="1" ref="AR19" ca="1">'Tablica IO'!AR175*INDEX(Model!$C$93:$CA$93,Model!$A19) + IF(wplyw_cen_import_wlaczony,'Tablica IO'!AR253*INDEX(Model!$C$2:$CA$2,Model!$A19),'Tablica IO'!AR253*1)</f>
        <v>9.7172119377420166E-2</v>
      </c>
      <c r="AS19" s="222" cm="1">
        <f t="array" aca="1" ref="AS19" ca="1">'Tablica IO'!AS175*INDEX(Model!$C$93:$CA$93,Model!$A19) + IF(wplyw_cen_import_wlaczony,'Tablica IO'!AS253*INDEX(Model!$C$2:$CA$2,Model!$A19),'Tablica IO'!AS253*1)</f>
        <v>7.8244624036246808E-5</v>
      </c>
      <c r="AT19" s="222" cm="1">
        <f t="array" aca="1" ref="AT19" ca="1">'Tablica IO'!AT175*INDEX(Model!$C$93:$CA$93,Model!$A19) + IF(wplyw_cen_import_wlaczony,'Tablica IO'!AT253*INDEX(Model!$C$2:$CA$2,Model!$A19),'Tablica IO'!AT253*1)</f>
        <v>4.8876043184545076E-5</v>
      </c>
      <c r="AU19" s="222" cm="1">
        <f t="array" aca="1" ref="AU19" ca="1">'Tablica IO'!AU175*INDEX(Model!$C$93:$CA$93,Model!$A19) + IF(wplyw_cen_import_wlaczony,'Tablica IO'!AU253*INDEX(Model!$C$2:$CA$2,Model!$A19),'Tablica IO'!AU253*1)</f>
        <v>5.488830810366443E-6</v>
      </c>
      <c r="AV19" s="222" cm="1">
        <f t="array" aca="1" ref="AV19" ca="1">'Tablica IO'!AV175*INDEX(Model!$C$93:$CA$93,Model!$A19) + IF(wplyw_cen_import_wlaczony,'Tablica IO'!AV253*INDEX(Model!$C$2:$CA$2,Model!$A19),'Tablica IO'!AV253*1)</f>
        <v>2.7462780364037522E-4</v>
      </c>
      <c r="AW19" s="222" cm="1">
        <f t="array" aca="1" ref="AW19" ca="1">'Tablica IO'!AW175*INDEX(Model!$C$93:$CA$93,Model!$A19) + IF(wplyw_cen_import_wlaczony,'Tablica IO'!AW253*INDEX(Model!$C$2:$CA$2,Model!$A19),'Tablica IO'!AW253*1)</f>
        <v>1.9022313281510123E-4</v>
      </c>
      <c r="AX19" s="222" cm="1">
        <f t="array" aca="1" ref="AX19" ca="1">'Tablica IO'!AX175*INDEX(Model!$C$93:$CA$93,Model!$A19) + IF(wplyw_cen_import_wlaczony,'Tablica IO'!AX253*INDEX(Model!$C$2:$CA$2,Model!$A19),'Tablica IO'!AX253*1)</f>
        <v>3.534830344953182E-4</v>
      </c>
      <c r="AY19" s="222" cm="1">
        <f t="array" aca="1" ref="AY19" ca="1">'Tablica IO'!AY175*INDEX(Model!$C$93:$CA$93,Model!$A19) + IF(wplyw_cen_import_wlaczony,'Tablica IO'!AY253*INDEX(Model!$C$2:$CA$2,Model!$A19),'Tablica IO'!AY253*1)</f>
        <v>1.292254427632892E-3</v>
      </c>
      <c r="AZ19" s="222" cm="1">
        <f t="array" aca="1" ref="AZ19" ca="1">'Tablica IO'!AZ175*INDEX(Model!$C$93:$CA$93,Model!$A19) + IF(wplyw_cen_import_wlaczony,'Tablica IO'!AZ253*INDEX(Model!$C$2:$CA$2,Model!$A19),'Tablica IO'!AZ253*1)</f>
        <v>4.6615327789454518E-4</v>
      </c>
      <c r="BA19" s="222" cm="1">
        <f t="array" aca="1" ref="BA19" ca="1">'Tablica IO'!BA175*INDEX(Model!$C$93:$CA$93,Model!$A19) + IF(wplyw_cen_import_wlaczony,'Tablica IO'!BA253*INDEX(Model!$C$2:$CA$2,Model!$A19),'Tablica IO'!BA253*1)</f>
        <v>3.3643956081794412E-4</v>
      </c>
      <c r="BB19" s="222" cm="1">
        <f t="array" aca="1" ref="BB19" ca="1">'Tablica IO'!BB175*INDEX(Model!$C$93:$CA$93,Model!$A19) + IF(wplyw_cen_import_wlaczony,'Tablica IO'!BB253*INDEX(Model!$C$2:$CA$2,Model!$A19),'Tablica IO'!BB253*1)</f>
        <v>2.9377168962643092E-5</v>
      </c>
      <c r="BC19" s="222" cm="1">
        <f t="array" aca="1" ref="BC19" ca="1">'Tablica IO'!BC175*INDEX(Model!$C$93:$CA$93,Model!$A19) + IF(wplyw_cen_import_wlaczony,'Tablica IO'!BC253*INDEX(Model!$C$2:$CA$2,Model!$A19),'Tablica IO'!BC253*1)</f>
        <v>4.9253125800747719E-4</v>
      </c>
      <c r="BD19" s="222" cm="1">
        <f t="array" aca="1" ref="BD19" ca="1">'Tablica IO'!BD175*INDEX(Model!$C$93:$CA$93,Model!$A19) + IF(wplyw_cen_import_wlaczony,'Tablica IO'!BD253*INDEX(Model!$C$2:$CA$2,Model!$A19),'Tablica IO'!BD253*1)</f>
        <v>4.3213760195672532E-4</v>
      </c>
      <c r="BE19" s="222" cm="1">
        <f t="array" aca="1" ref="BE19" ca="1">'Tablica IO'!BE175*INDEX(Model!$C$93:$CA$93,Model!$A19) + IF(wplyw_cen_import_wlaczony,'Tablica IO'!BE253*INDEX(Model!$C$2:$CA$2,Model!$A19),'Tablica IO'!BE253*1)</f>
        <v>1.1145906994500928E-4</v>
      </c>
      <c r="BF19" s="222" cm="1">
        <f t="array" aca="1" ref="BF19" ca="1">'Tablica IO'!BF175*INDEX(Model!$C$93:$CA$93,Model!$A19) + IF(wplyw_cen_import_wlaczony,'Tablica IO'!BF253*INDEX(Model!$C$2:$CA$2,Model!$A19),'Tablica IO'!BF253*1)</f>
        <v>5.7452427814765603E-4</v>
      </c>
      <c r="BG19" s="222" cm="1">
        <f t="array" aca="1" ref="BG19" ca="1">'Tablica IO'!BG175*INDEX(Model!$C$93:$CA$93,Model!$A19) + IF(wplyw_cen_import_wlaczony,'Tablica IO'!BG253*INDEX(Model!$C$2:$CA$2,Model!$A19),'Tablica IO'!BG253*1)</f>
        <v>3.1826774259173678E-5</v>
      </c>
      <c r="BH19" s="222" cm="1">
        <f t="array" aca="1" ref="BH19" ca="1">'Tablica IO'!BH175*INDEX(Model!$C$93:$CA$93,Model!$A19) + IF(wplyw_cen_import_wlaczony,'Tablica IO'!BH253*INDEX(Model!$C$2:$CA$2,Model!$A19),'Tablica IO'!BH253*1)</f>
        <v>1.0109466399522749E-4</v>
      </c>
      <c r="BI19" s="222" cm="1">
        <f t="array" aca="1" ref="BI19" ca="1">'Tablica IO'!BI175*INDEX(Model!$C$93:$CA$93,Model!$A19) + IF(wplyw_cen_import_wlaczony,'Tablica IO'!BI253*INDEX(Model!$C$2:$CA$2,Model!$A19),'Tablica IO'!BI253*1)</f>
        <v>2.2932138136311657E-6</v>
      </c>
      <c r="BJ19" s="222" cm="1">
        <f t="array" aca="1" ref="BJ19" ca="1">'Tablica IO'!BJ175*INDEX(Model!$C$93:$CA$93,Model!$A19) + IF(wplyw_cen_import_wlaczony,'Tablica IO'!BJ253*INDEX(Model!$C$2:$CA$2,Model!$A19),'Tablica IO'!BJ253*1)</f>
        <v>4.5340935270145869E-4</v>
      </c>
      <c r="BK19" s="222" cm="1">
        <f t="array" aca="1" ref="BK19" ca="1">'Tablica IO'!BK175*INDEX(Model!$C$93:$CA$93,Model!$A19) + IF(wplyw_cen_import_wlaczony,'Tablica IO'!BK253*INDEX(Model!$C$2:$CA$2,Model!$A19),'Tablica IO'!BK253*1)</f>
        <v>3.549517551241583E-4</v>
      </c>
      <c r="BL19" s="222" cm="1">
        <f t="array" aca="1" ref="BL19" ca="1">'Tablica IO'!BL175*INDEX(Model!$C$93:$CA$93,Model!$A19) + IF(wplyw_cen_import_wlaczony,'Tablica IO'!BL253*INDEX(Model!$C$2:$CA$2,Model!$A19),'Tablica IO'!BL253*1)</f>
        <v>2.394030809692663E-4</v>
      </c>
      <c r="BM19" s="222" cm="1">
        <f t="array" aca="1" ref="BM19" ca="1">'Tablica IO'!BM175*INDEX(Model!$C$93:$CA$93,Model!$A19) + IF(wplyw_cen_import_wlaczony,'Tablica IO'!BM253*INDEX(Model!$C$2:$CA$2,Model!$A19),'Tablica IO'!BM253*1)</f>
        <v>2.4827153950407574E-4</v>
      </c>
      <c r="BN19" s="222" cm="1">
        <f t="array" aca="1" ref="BN19" ca="1">'Tablica IO'!BN175*INDEX(Model!$C$93:$CA$93,Model!$A19) + IF(wplyw_cen_import_wlaczony,'Tablica IO'!BN253*INDEX(Model!$C$2:$CA$2,Model!$A19),'Tablica IO'!BN253*1)</f>
        <v>3.4104065681630949E-4</v>
      </c>
      <c r="BO19" s="222" cm="1">
        <f t="array" aca="1" ref="BO19" ca="1">'Tablica IO'!BO175*INDEX(Model!$C$93:$CA$93,Model!$A19) + IF(wplyw_cen_import_wlaczony,'Tablica IO'!BO253*INDEX(Model!$C$2:$CA$2,Model!$A19),'Tablica IO'!BO253*1)</f>
        <v>1.1784829362391948E-4</v>
      </c>
      <c r="BP19" s="222" cm="1">
        <f t="array" aca="1" ref="BP19" ca="1">'Tablica IO'!BP175*INDEX(Model!$C$93:$CA$93,Model!$A19) + IF(wplyw_cen_import_wlaczony,'Tablica IO'!BP253*INDEX(Model!$C$2:$CA$2,Model!$A19),'Tablica IO'!BP253*1)</f>
        <v>8.2935280472553599E-4</v>
      </c>
      <c r="BQ19" s="222" cm="1">
        <f t="array" aca="1" ref="BQ19" ca="1">'Tablica IO'!BQ175*INDEX(Model!$C$93:$CA$93,Model!$A19) + IF(wplyw_cen_import_wlaczony,'Tablica IO'!BQ253*INDEX(Model!$C$2:$CA$2,Model!$A19),'Tablica IO'!BQ253*1)</f>
        <v>1.0645783496561526E-3</v>
      </c>
      <c r="BR19" s="222" cm="1">
        <f t="array" aca="1" ref="BR19" ca="1">'Tablica IO'!BR175*INDEX(Model!$C$93:$CA$93,Model!$A19) + IF(wplyw_cen_import_wlaczony,'Tablica IO'!BR253*INDEX(Model!$C$2:$CA$2,Model!$A19),'Tablica IO'!BR253*1)</f>
        <v>1.9905194635446962E-4</v>
      </c>
      <c r="BS19" s="222" cm="1">
        <f t="array" aca="1" ref="BS19" ca="1">'Tablica IO'!BS175*INDEX(Model!$C$93:$CA$93,Model!$A19) + IF(wplyw_cen_import_wlaczony,'Tablica IO'!BS253*INDEX(Model!$C$2:$CA$2,Model!$A19),'Tablica IO'!BS253*1)</f>
        <v>3.3504816662333959E-4</v>
      </c>
      <c r="BT19" s="222" cm="1">
        <f t="array" aca="1" ref="BT19" ca="1">'Tablica IO'!BT175*INDEX(Model!$C$93:$CA$93,Model!$A19) + IF(wplyw_cen_import_wlaczony,'Tablica IO'!BT253*INDEX(Model!$C$2:$CA$2,Model!$A19),'Tablica IO'!BT253*1)</f>
        <v>3.1908278023407119E-4</v>
      </c>
      <c r="BU19" s="222" cm="1">
        <f t="array" aca="1" ref="BU19" ca="1">'Tablica IO'!BU175*INDEX(Model!$C$93:$CA$93,Model!$A19) + IF(wplyw_cen_import_wlaczony,'Tablica IO'!BU253*INDEX(Model!$C$2:$CA$2,Model!$A19),'Tablica IO'!BU253*1)</f>
        <v>1.3046733604237646E-4</v>
      </c>
      <c r="BV19" s="222" cm="1">
        <f t="array" aca="1" ref="BV19" ca="1">'Tablica IO'!BV175*INDEX(Model!$C$93:$CA$93,Model!$A19) + IF(wplyw_cen_import_wlaczony,'Tablica IO'!BV253*INDEX(Model!$C$2:$CA$2,Model!$A19),'Tablica IO'!BV253*1)</f>
        <v>5.7414106995141008E-5</v>
      </c>
      <c r="BW19" s="222" cm="1">
        <f t="array" aca="1" ref="BW19" ca="1">'Tablica IO'!BW175*INDEX(Model!$C$93:$CA$93,Model!$A19) + IF(wplyw_cen_import_wlaczony,'Tablica IO'!BW253*INDEX(Model!$C$2:$CA$2,Model!$A19),'Tablica IO'!BW253*1)</f>
        <v>5.22947724565182E-4</v>
      </c>
      <c r="BX19" s="222" cm="1">
        <f t="array" aca="1" ref="BX19" ca="1">'Tablica IO'!BX175*INDEX(Model!$C$93:$CA$93,Model!$A19) + IF(wplyw_cen_import_wlaczony,'Tablica IO'!BX253*INDEX(Model!$C$2:$CA$2,Model!$A19),'Tablica IO'!BX253*1)</f>
        <v>2.1345978463597665E-6</v>
      </c>
      <c r="BY19" s="222" cm="1">
        <f t="array" aca="1" ref="BY19" ca="1">'Tablica IO'!BY175*INDEX(Model!$C$93:$CA$93,Model!$A19) + IF(wplyw_cen_import_wlaczony,'Tablica IO'!BY253*INDEX(Model!$C$2:$CA$2,Model!$A19),'Tablica IO'!BY253*1)</f>
        <v>3.1903213548648711E-5</v>
      </c>
      <c r="BZ19" s="222" cm="1">
        <f t="array" aca="1" ref="BZ19" ca="1">'Tablica IO'!BZ175*INDEX(Model!$C$93:$CA$93,Model!$A19) + IF(wplyw_cen_import_wlaczony,'Tablica IO'!BZ253*INDEX(Model!$C$2:$CA$2,Model!$A19),'Tablica IO'!BZ253*1)</f>
        <v>3.7952991695193987E-4</v>
      </c>
      <c r="CA19" s="222" cm="1">
        <f t="array" aca="1" ref="CA19" ca="1">'Tablica IO'!CA175*INDEX(Model!$C$93:$CA$93,Model!$A19) + IF(wplyw_cen_import_wlaczony,'Tablica IO'!CA253*INDEX(Model!$C$2:$CA$2,Model!$A19),'Tablica IO'!CA253*1)</f>
        <v>0</v>
      </c>
      <c r="CB19" s="247">
        <f ca="1">'Tablica IO'!CD175*INDEX(Model!$C$93:$CA$93,Model!$A19)+'Tablica IO'!CD253*INDEX(Model!$C$2:$CA$2,Model!$A19)</f>
        <v>2.0178887340143409E-2</v>
      </c>
      <c r="CC19" s="188">
        <f ca="1">'Tablica IO'!CE175*INDEX(Model!$C$93:$CA$93,Model!$A19)+'Tablica IO'!CE253*INDEX(Model!$C$2:$CA$2,Model!$A19)</f>
        <v>0</v>
      </c>
      <c r="CD19" s="188">
        <f ca="1">'Tablica IO'!CF175*INDEX(Model!$C$93:$CA$93,Model!$A19)+'Tablica IO'!CF253*INDEX(Model!$C$2:$CA$2,Model!$A19)</f>
        <v>-3.3313917644192149E-3</v>
      </c>
      <c r="CE19" s="189">
        <f ca="1">'Tablica IO'!CG175*INDEX(Model!$C$93:$CA$93,Model!$A19)+'Tablica IO'!CG253*INDEX(Model!$C$2:$CA$2,Model!$A19)</f>
        <v>4.3980417953310468E-3</v>
      </c>
    </row>
    <row r="20" spans="1:83" x14ac:dyDescent="0.25">
      <c r="A20" s="164">
        <v>8</v>
      </c>
      <c r="B20" s="172" t="s">
        <v>7</v>
      </c>
      <c r="C20" s="221" cm="1">
        <f t="array" aca="1" ref="C20" ca="1">'Tablica IO'!C176*INDEX(Model!$C$93:$CA$93,Model!$A20) + IF(wplyw_cen_import_wlaczony,'Tablica IO'!C254*INDEX(Model!$C$2:$CA$2,Model!$A20),'Tablica IO'!C254*1)</f>
        <v>5.9623791225217769E-7</v>
      </c>
      <c r="D20" s="222" cm="1">
        <f t="array" aca="1" ref="D20" ca="1">'Tablica IO'!D176*INDEX(Model!$C$93:$CA$93,Model!$A20) + IF(wplyw_cen_import_wlaczony,'Tablica IO'!D254*INDEX(Model!$C$2:$CA$2,Model!$A20),'Tablica IO'!D254*1)</f>
        <v>2.6065431008844264E-7</v>
      </c>
      <c r="E20" s="222" cm="1">
        <f t="array" aca="1" ref="E20" ca="1">'Tablica IO'!E176*INDEX(Model!$C$93:$CA$93,Model!$A20) + IF(wplyw_cen_import_wlaczony,'Tablica IO'!E254*INDEX(Model!$C$2:$CA$2,Model!$A20),'Tablica IO'!E254*1)</f>
        <v>0</v>
      </c>
      <c r="F20" s="222" cm="1">
        <f t="array" aca="1" ref="F20" ca="1">'Tablica IO'!F176*INDEX(Model!$C$93:$CA$93,Model!$A20) + IF(wplyw_cen_import_wlaczony,'Tablica IO'!F254*INDEX(Model!$C$2:$CA$2,Model!$A20),'Tablica IO'!F254*1)</f>
        <v>7.803112037437624E-6</v>
      </c>
      <c r="G20" s="222" cm="1">
        <f t="array" aca="1" ref="G20" ca="1">'Tablica IO'!G176*INDEX(Model!$C$93:$CA$93,Model!$A20) + IF(wplyw_cen_import_wlaczony,'Tablica IO'!G254*INDEX(Model!$C$2:$CA$2,Model!$A20),'Tablica IO'!G254*1)</f>
        <v>1.347933775051917E-5</v>
      </c>
      <c r="H20" s="222" cm="1">
        <f t="array" aca="1" ref="H20" ca="1">'Tablica IO'!H176*INDEX(Model!$C$93:$CA$93,Model!$A20) + IF(wplyw_cen_import_wlaczony,'Tablica IO'!H254*INDEX(Model!$C$2:$CA$2,Model!$A20),'Tablica IO'!H254*1)</f>
        <v>3.5097803565964363E-6</v>
      </c>
      <c r="I20" s="222" cm="1">
        <f t="array" aca="1" ref="I20" ca="1">'Tablica IO'!I176*INDEX(Model!$C$93:$CA$93,Model!$A20) + IF(wplyw_cen_import_wlaczony,'Tablica IO'!I254*INDEX(Model!$C$2:$CA$2,Model!$A20),'Tablica IO'!I254*1)</f>
        <v>1.1950794254136092E-6</v>
      </c>
      <c r="J20" s="222" cm="1">
        <f t="array" aca="1" ref="J20" ca="1">'Tablica IO'!J176*INDEX(Model!$C$93:$CA$93,Model!$A20) + IF(wplyw_cen_import_wlaczony,'Tablica IO'!J254*INDEX(Model!$C$2:$CA$2,Model!$A20),'Tablica IO'!J254*1)</f>
        <v>2.936069706621499E-2</v>
      </c>
      <c r="K20" s="222" cm="1">
        <f t="array" aca="1" ref="K20" ca="1">'Tablica IO'!K176*INDEX(Model!$C$93:$CA$93,Model!$A20) + IF(wplyw_cen_import_wlaczony,'Tablica IO'!K254*INDEX(Model!$C$2:$CA$2,Model!$A20),'Tablica IO'!K254*1)</f>
        <v>1.9069757716244474E-4</v>
      </c>
      <c r="L20" s="222" cm="1">
        <f t="array" aca="1" ref="L20" ca="1">'Tablica IO'!L176*INDEX(Model!$C$93:$CA$93,Model!$A20) + IF(wplyw_cen_import_wlaczony,'Tablica IO'!L254*INDEX(Model!$C$2:$CA$2,Model!$A20),'Tablica IO'!L254*1)</f>
        <v>1.7286781277911907E-4</v>
      </c>
      <c r="M20" s="222" cm="1">
        <f t="array" aca="1" ref="M20" ca="1">'Tablica IO'!M176*INDEX(Model!$C$93:$CA$93,Model!$A20) + IF(wplyw_cen_import_wlaczony,'Tablica IO'!M254*INDEX(Model!$C$2:$CA$2,Model!$A20),'Tablica IO'!M254*1)</f>
        <v>0</v>
      </c>
      <c r="N20" s="222" cm="1">
        <f t="array" aca="1" ref="N20" ca="1">'Tablica IO'!N176*INDEX(Model!$C$93:$CA$93,Model!$A20) + IF(wplyw_cen_import_wlaczony,'Tablica IO'!N254*INDEX(Model!$C$2:$CA$2,Model!$A20),'Tablica IO'!N254*1)</f>
        <v>0</v>
      </c>
      <c r="O20" s="222" cm="1">
        <f t="array" aca="1" ref="O20" ca="1">'Tablica IO'!O176*INDEX(Model!$C$93:$CA$93,Model!$A20) + IF(wplyw_cen_import_wlaczony,'Tablica IO'!O254*INDEX(Model!$C$2:$CA$2,Model!$A20),'Tablica IO'!O254*1)</f>
        <v>0</v>
      </c>
      <c r="P20" s="222" cm="1">
        <f t="array" aca="1" ref="P20" ca="1">'Tablica IO'!P176*INDEX(Model!$C$93:$CA$93,Model!$A20) + IF(wplyw_cen_import_wlaczony,'Tablica IO'!P254*INDEX(Model!$C$2:$CA$2,Model!$A20),'Tablica IO'!P254*1)</f>
        <v>0</v>
      </c>
      <c r="Q20" s="222" cm="1">
        <f t="array" aca="1" ref="Q20" ca="1">'Tablica IO'!Q176*INDEX(Model!$C$93:$CA$93,Model!$A20) + IF(wplyw_cen_import_wlaczony,'Tablica IO'!Q254*INDEX(Model!$C$2:$CA$2,Model!$A20),'Tablica IO'!Q254*1)</f>
        <v>1.6908120148403068E-6</v>
      </c>
      <c r="R20" s="222" cm="1">
        <f t="array" aca="1" ref="R20" ca="1">'Tablica IO'!R176*INDEX(Model!$C$93:$CA$93,Model!$A20) + IF(wplyw_cen_import_wlaczony,'Tablica IO'!R254*INDEX(Model!$C$2:$CA$2,Model!$A20),'Tablica IO'!R254*1)</f>
        <v>0</v>
      </c>
      <c r="S20" s="222" cm="1">
        <f t="array" aca="1" ref="S20" ca="1">'Tablica IO'!S176*INDEX(Model!$C$93:$CA$93,Model!$A20) + IF(wplyw_cen_import_wlaczony,'Tablica IO'!S254*INDEX(Model!$C$2:$CA$2,Model!$A20),'Tablica IO'!S254*1)</f>
        <v>0</v>
      </c>
      <c r="T20" s="222" cm="1">
        <f t="array" aca="1" ref="T20" ca="1">'Tablica IO'!T176*INDEX(Model!$C$93:$CA$93,Model!$A20) + IF(wplyw_cen_import_wlaczony,'Tablica IO'!T254*INDEX(Model!$C$2:$CA$2,Model!$A20),'Tablica IO'!T254*1)</f>
        <v>0</v>
      </c>
      <c r="U20" s="222" cm="1">
        <f t="array" aca="1" ref="U20" ca="1">'Tablica IO'!U176*INDEX(Model!$C$93:$CA$93,Model!$A20) + IF(wplyw_cen_import_wlaczony,'Tablica IO'!U254*INDEX(Model!$C$2:$CA$2,Model!$A20),'Tablica IO'!U254*1)</f>
        <v>1.8505472796395719E-6</v>
      </c>
      <c r="V20" s="222" cm="1">
        <f t="array" aca="1" ref="V20" ca="1">'Tablica IO'!V176*INDEX(Model!$C$93:$CA$93,Model!$A20) + IF(wplyw_cen_import_wlaczony,'Tablica IO'!V254*INDEX(Model!$C$2:$CA$2,Model!$A20),'Tablica IO'!V254*1)</f>
        <v>0</v>
      </c>
      <c r="W20" s="222" cm="1">
        <f t="array" aca="1" ref="W20" ca="1">'Tablica IO'!W176*INDEX(Model!$C$93:$CA$93,Model!$A20) + IF(wplyw_cen_import_wlaczony,'Tablica IO'!W254*INDEX(Model!$C$2:$CA$2,Model!$A20),'Tablica IO'!W254*1)</f>
        <v>1.9582129793077647E-6</v>
      </c>
      <c r="X20" s="222" cm="1">
        <f t="array" aca="1" ref="X20" ca="1">'Tablica IO'!X176*INDEX(Model!$C$93:$CA$93,Model!$A20) + IF(wplyw_cen_import_wlaczony,'Tablica IO'!X254*INDEX(Model!$C$2:$CA$2,Model!$A20),'Tablica IO'!X254*1)</f>
        <v>0</v>
      </c>
      <c r="Y20" s="222" cm="1">
        <f t="array" aca="1" ref="Y20" ca="1">'Tablica IO'!Y176*INDEX(Model!$C$93:$CA$93,Model!$A20) + IF(wplyw_cen_import_wlaczony,'Tablica IO'!Y254*INDEX(Model!$C$2:$CA$2,Model!$A20),'Tablica IO'!Y254*1)</f>
        <v>0</v>
      </c>
      <c r="Z20" s="222" cm="1">
        <f t="array" aca="1" ref="Z20" ca="1">'Tablica IO'!Z176*INDEX(Model!$C$93:$CA$93,Model!$A20) + IF(wplyw_cen_import_wlaczony,'Tablica IO'!Z254*INDEX(Model!$C$2:$CA$2,Model!$A20),'Tablica IO'!Z254*1)</f>
        <v>1.7188727472672792E-6</v>
      </c>
      <c r="AA20" s="222" cm="1">
        <f t="array" aca="1" ref="AA20" ca="1">'Tablica IO'!AA176*INDEX(Model!$C$93:$CA$93,Model!$A20) + IF(wplyw_cen_import_wlaczony,'Tablica IO'!AA254*INDEX(Model!$C$2:$CA$2,Model!$A20),'Tablica IO'!AA254*1)</f>
        <v>2.368990617042025E-6</v>
      </c>
      <c r="AB20" s="222" cm="1">
        <f t="array" aca="1" ref="AB20" ca="1">'Tablica IO'!AB176*INDEX(Model!$C$93:$CA$93,Model!$A20) + IF(wplyw_cen_import_wlaczony,'Tablica IO'!AB254*INDEX(Model!$C$2:$CA$2,Model!$A20),'Tablica IO'!AB254*1)</f>
        <v>9.0820396972004935E-6</v>
      </c>
      <c r="AC20" s="222" cm="1">
        <f t="array" aca="1" ref="AC20" ca="1">'Tablica IO'!AC176*INDEX(Model!$C$93:$CA$93,Model!$A20) + IF(wplyw_cen_import_wlaczony,'Tablica IO'!AC254*INDEX(Model!$C$2:$CA$2,Model!$A20),'Tablica IO'!AC254*1)</f>
        <v>1.3282071390588828E-4</v>
      </c>
      <c r="AD20" s="222" cm="1">
        <f t="array" aca="1" ref="AD20" ca="1">'Tablica IO'!AD176*INDEX(Model!$C$93:$CA$93,Model!$A20) + IF(wplyw_cen_import_wlaczony,'Tablica IO'!AD254*INDEX(Model!$C$2:$CA$2,Model!$A20),'Tablica IO'!AD254*1)</f>
        <v>0</v>
      </c>
      <c r="AE20" s="222" cm="1">
        <f t="array" aca="1" ref="AE20" ca="1">'Tablica IO'!AE176*INDEX(Model!$C$93:$CA$93,Model!$A20) + IF(wplyw_cen_import_wlaczony,'Tablica IO'!AE254*INDEX(Model!$C$2:$CA$2,Model!$A20),'Tablica IO'!AE254*1)</f>
        <v>3.056403977910161E-6</v>
      </c>
      <c r="AF20" s="222" cm="1">
        <f t="array" aca="1" ref="AF20" ca="1">'Tablica IO'!AF176*INDEX(Model!$C$93:$CA$93,Model!$A20) + IF(wplyw_cen_import_wlaczony,'Tablica IO'!AF254*INDEX(Model!$C$2:$CA$2,Model!$A20),'Tablica IO'!AF254*1)</f>
        <v>4.9059687791156448E-7</v>
      </c>
      <c r="AG20" s="222" cm="1">
        <f t="array" aca="1" ref="AG20" ca="1">'Tablica IO'!AG176*INDEX(Model!$C$93:$CA$93,Model!$A20) + IF(wplyw_cen_import_wlaczony,'Tablica IO'!AG254*INDEX(Model!$C$2:$CA$2,Model!$A20),'Tablica IO'!AG254*1)</f>
        <v>2.4484897521019303E-6</v>
      </c>
      <c r="AH20" s="222" cm="1">
        <f t="array" aca="1" ref="AH20" ca="1">'Tablica IO'!AH176*INDEX(Model!$C$93:$CA$93,Model!$A20) + IF(wplyw_cen_import_wlaczony,'Tablica IO'!AH254*INDEX(Model!$C$2:$CA$2,Model!$A20),'Tablica IO'!AH254*1)</f>
        <v>0</v>
      </c>
      <c r="AI20" s="222" cm="1">
        <f t="array" aca="1" ref="AI20" ca="1">'Tablica IO'!AI176*INDEX(Model!$C$93:$CA$93,Model!$A20) + IF(wplyw_cen_import_wlaczony,'Tablica IO'!AI254*INDEX(Model!$C$2:$CA$2,Model!$A20),'Tablica IO'!AI254*1)</f>
        <v>0</v>
      </c>
      <c r="AJ20" s="222" cm="1">
        <f t="array" aca="1" ref="AJ20" ca="1">'Tablica IO'!AJ176*INDEX(Model!$C$93:$CA$93,Model!$A20) + IF(wplyw_cen_import_wlaczony,'Tablica IO'!AJ254*INDEX(Model!$C$2:$CA$2,Model!$A20),'Tablica IO'!AJ254*1)</f>
        <v>1.7610517323476492E-6</v>
      </c>
      <c r="AK20" s="222" cm="1">
        <f t="array" aca="1" ref="AK20" ca="1">'Tablica IO'!AK176*INDEX(Model!$C$93:$CA$93,Model!$A20) + IF(wplyw_cen_import_wlaczony,'Tablica IO'!AK254*INDEX(Model!$C$2:$CA$2,Model!$A20),'Tablica IO'!AK254*1)</f>
        <v>2.9263334987496451E-7</v>
      </c>
      <c r="AL20" s="222" cm="1">
        <f t="array" aca="1" ref="AL20" ca="1">'Tablica IO'!AL176*INDEX(Model!$C$93:$CA$93,Model!$A20) + IF(wplyw_cen_import_wlaczony,'Tablica IO'!AL254*INDEX(Model!$C$2:$CA$2,Model!$A20),'Tablica IO'!AL254*1)</f>
        <v>1.7046126842338709E-6</v>
      </c>
      <c r="AM20" s="222" cm="1">
        <f t="array" aca="1" ref="AM20" ca="1">'Tablica IO'!AM176*INDEX(Model!$C$93:$CA$93,Model!$A20) + IF(wplyw_cen_import_wlaczony,'Tablica IO'!AM254*INDEX(Model!$C$2:$CA$2,Model!$A20),'Tablica IO'!AM254*1)</f>
        <v>6.934674470888675E-7</v>
      </c>
      <c r="AN20" s="222" cm="1">
        <f t="array" aca="1" ref="AN20" ca="1">'Tablica IO'!AN176*INDEX(Model!$C$93:$CA$93,Model!$A20) + IF(wplyw_cen_import_wlaczony,'Tablica IO'!AN254*INDEX(Model!$C$2:$CA$2,Model!$A20),'Tablica IO'!AN254*1)</f>
        <v>2.4273539363838322E-6</v>
      </c>
      <c r="AO20" s="222" cm="1">
        <f t="array" aca="1" ref="AO20" ca="1">'Tablica IO'!AO176*INDEX(Model!$C$93:$CA$93,Model!$A20) + IF(wplyw_cen_import_wlaczony,'Tablica IO'!AO254*INDEX(Model!$C$2:$CA$2,Model!$A20),'Tablica IO'!AO254*1)</f>
        <v>8.4255380387084365E-5</v>
      </c>
      <c r="AP20" s="222" cm="1">
        <f t="array" aca="1" ref="AP20" ca="1">'Tablica IO'!AP176*INDEX(Model!$C$93:$CA$93,Model!$A20) + IF(wplyw_cen_import_wlaczony,'Tablica IO'!AP254*INDEX(Model!$C$2:$CA$2,Model!$A20),'Tablica IO'!AP254*1)</f>
        <v>0</v>
      </c>
      <c r="AQ20" s="222" cm="1">
        <f t="array" aca="1" ref="AQ20" ca="1">'Tablica IO'!AQ176*INDEX(Model!$C$93:$CA$93,Model!$A20) + IF(wplyw_cen_import_wlaczony,'Tablica IO'!AQ254*INDEX(Model!$C$2:$CA$2,Model!$A20),'Tablica IO'!AQ254*1)</f>
        <v>1.5313838939847581E-3</v>
      </c>
      <c r="AR20" s="222" cm="1">
        <f t="array" aca="1" ref="AR20" ca="1">'Tablica IO'!AR176*INDEX(Model!$C$93:$CA$93,Model!$A20) + IF(wplyw_cen_import_wlaczony,'Tablica IO'!AR254*INDEX(Model!$C$2:$CA$2,Model!$A20),'Tablica IO'!AR254*1)</f>
        <v>7.2110165826265588E-3</v>
      </c>
      <c r="AS20" s="222" cm="1">
        <f t="array" aca="1" ref="AS20" ca="1">'Tablica IO'!AS176*INDEX(Model!$C$93:$CA$93,Model!$A20) + IF(wplyw_cen_import_wlaczony,'Tablica IO'!AS254*INDEX(Model!$C$2:$CA$2,Model!$A20),'Tablica IO'!AS254*1)</f>
        <v>0</v>
      </c>
      <c r="AT20" s="222" cm="1">
        <f t="array" aca="1" ref="AT20" ca="1">'Tablica IO'!AT176*INDEX(Model!$C$93:$CA$93,Model!$A20) + IF(wplyw_cen_import_wlaczony,'Tablica IO'!AT254*INDEX(Model!$C$2:$CA$2,Model!$A20),'Tablica IO'!AT254*1)</f>
        <v>0</v>
      </c>
      <c r="AU20" s="222" cm="1">
        <f t="array" aca="1" ref="AU20" ca="1">'Tablica IO'!AU176*INDEX(Model!$C$93:$CA$93,Model!$A20) + IF(wplyw_cen_import_wlaczony,'Tablica IO'!AU254*INDEX(Model!$C$2:$CA$2,Model!$A20),'Tablica IO'!AU254*1)</f>
        <v>0</v>
      </c>
      <c r="AV20" s="222" cm="1">
        <f t="array" aca="1" ref="AV20" ca="1">'Tablica IO'!AV176*INDEX(Model!$C$93:$CA$93,Model!$A20) + IF(wplyw_cen_import_wlaczony,'Tablica IO'!AV254*INDEX(Model!$C$2:$CA$2,Model!$A20),'Tablica IO'!AV254*1)</f>
        <v>0</v>
      </c>
      <c r="AW20" s="222" cm="1">
        <f t="array" aca="1" ref="AW20" ca="1">'Tablica IO'!AW176*INDEX(Model!$C$93:$CA$93,Model!$A20) + IF(wplyw_cen_import_wlaczony,'Tablica IO'!AW254*INDEX(Model!$C$2:$CA$2,Model!$A20),'Tablica IO'!AW254*1)</f>
        <v>0</v>
      </c>
      <c r="AX20" s="222" cm="1">
        <f t="array" aca="1" ref="AX20" ca="1">'Tablica IO'!AX176*INDEX(Model!$C$93:$CA$93,Model!$A20) + IF(wplyw_cen_import_wlaczony,'Tablica IO'!AX254*INDEX(Model!$C$2:$CA$2,Model!$A20),'Tablica IO'!AX254*1)</f>
        <v>0</v>
      </c>
      <c r="AY20" s="222" cm="1">
        <f t="array" aca="1" ref="AY20" ca="1">'Tablica IO'!AY176*INDEX(Model!$C$93:$CA$93,Model!$A20) + IF(wplyw_cen_import_wlaczony,'Tablica IO'!AY254*INDEX(Model!$C$2:$CA$2,Model!$A20),'Tablica IO'!AY254*1)</f>
        <v>0</v>
      </c>
      <c r="AZ20" s="222" cm="1">
        <f t="array" aca="1" ref="AZ20" ca="1">'Tablica IO'!AZ176*INDEX(Model!$C$93:$CA$93,Model!$A20) + IF(wplyw_cen_import_wlaczony,'Tablica IO'!AZ254*INDEX(Model!$C$2:$CA$2,Model!$A20),'Tablica IO'!AZ254*1)</f>
        <v>0</v>
      </c>
      <c r="BA20" s="222" cm="1">
        <f t="array" aca="1" ref="BA20" ca="1">'Tablica IO'!BA176*INDEX(Model!$C$93:$CA$93,Model!$A20) + IF(wplyw_cen_import_wlaczony,'Tablica IO'!BA254*INDEX(Model!$C$2:$CA$2,Model!$A20),'Tablica IO'!BA254*1)</f>
        <v>1.3577403094485354E-6</v>
      </c>
      <c r="BB20" s="222" cm="1">
        <f t="array" aca="1" ref="BB20" ca="1">'Tablica IO'!BB176*INDEX(Model!$C$93:$CA$93,Model!$A20) + IF(wplyw_cen_import_wlaczony,'Tablica IO'!BB254*INDEX(Model!$C$2:$CA$2,Model!$A20),'Tablica IO'!BB254*1)</f>
        <v>8.5237075082114171E-8</v>
      </c>
      <c r="BC20" s="222" cm="1">
        <f t="array" aca="1" ref="BC20" ca="1">'Tablica IO'!BC176*INDEX(Model!$C$93:$CA$93,Model!$A20) + IF(wplyw_cen_import_wlaczony,'Tablica IO'!BC254*INDEX(Model!$C$2:$CA$2,Model!$A20),'Tablica IO'!BC254*1)</f>
        <v>0</v>
      </c>
      <c r="BD20" s="222" cm="1">
        <f t="array" aca="1" ref="BD20" ca="1">'Tablica IO'!BD176*INDEX(Model!$C$93:$CA$93,Model!$A20) + IF(wplyw_cen_import_wlaczony,'Tablica IO'!BD254*INDEX(Model!$C$2:$CA$2,Model!$A20),'Tablica IO'!BD254*1)</f>
        <v>4.0279526284227303E-6</v>
      </c>
      <c r="BE20" s="222" cm="1">
        <f t="array" aca="1" ref="BE20" ca="1">'Tablica IO'!BE176*INDEX(Model!$C$93:$CA$93,Model!$A20) + IF(wplyw_cen_import_wlaczony,'Tablica IO'!BE254*INDEX(Model!$C$2:$CA$2,Model!$A20),'Tablica IO'!BE254*1)</f>
        <v>0</v>
      </c>
      <c r="BF20" s="222" cm="1">
        <f t="array" aca="1" ref="BF20" ca="1">'Tablica IO'!BF176*INDEX(Model!$C$93:$CA$93,Model!$A20) + IF(wplyw_cen_import_wlaczony,'Tablica IO'!BF254*INDEX(Model!$C$2:$CA$2,Model!$A20),'Tablica IO'!BF254*1)</f>
        <v>1.1309107232014725E-5</v>
      </c>
      <c r="BG20" s="222" cm="1">
        <f t="array" aca="1" ref="BG20" ca="1">'Tablica IO'!BG176*INDEX(Model!$C$93:$CA$93,Model!$A20) + IF(wplyw_cen_import_wlaczony,'Tablica IO'!BG254*INDEX(Model!$C$2:$CA$2,Model!$A20),'Tablica IO'!BG254*1)</f>
        <v>3.1915359655948121E-7</v>
      </c>
      <c r="BH20" s="222" cm="1">
        <f t="array" aca="1" ref="BH20" ca="1">'Tablica IO'!BH176*INDEX(Model!$C$93:$CA$93,Model!$A20) + IF(wplyw_cen_import_wlaczony,'Tablica IO'!BH254*INDEX(Model!$C$2:$CA$2,Model!$A20),'Tablica IO'!BH254*1)</f>
        <v>7.2744865104947807E-6</v>
      </c>
      <c r="BI20" s="222" cm="1">
        <f t="array" aca="1" ref="BI20" ca="1">'Tablica IO'!BI176*INDEX(Model!$C$93:$CA$93,Model!$A20) + IF(wplyw_cen_import_wlaczony,'Tablica IO'!BI254*INDEX(Model!$C$2:$CA$2,Model!$A20),'Tablica IO'!BI254*1)</f>
        <v>0</v>
      </c>
      <c r="BJ20" s="222" cm="1">
        <f t="array" aca="1" ref="BJ20" ca="1">'Tablica IO'!BJ176*INDEX(Model!$C$93:$CA$93,Model!$A20) + IF(wplyw_cen_import_wlaczony,'Tablica IO'!BJ254*INDEX(Model!$C$2:$CA$2,Model!$A20),'Tablica IO'!BJ254*1)</f>
        <v>0</v>
      </c>
      <c r="BK20" s="222" cm="1">
        <f t="array" aca="1" ref="BK20" ca="1">'Tablica IO'!BK176*INDEX(Model!$C$93:$CA$93,Model!$A20) + IF(wplyw_cen_import_wlaczony,'Tablica IO'!BK254*INDEX(Model!$C$2:$CA$2,Model!$A20),'Tablica IO'!BK254*1)</f>
        <v>0</v>
      </c>
      <c r="BL20" s="222" cm="1">
        <f t="array" aca="1" ref="BL20" ca="1">'Tablica IO'!BL176*INDEX(Model!$C$93:$CA$93,Model!$A20) + IF(wplyw_cen_import_wlaczony,'Tablica IO'!BL254*INDEX(Model!$C$2:$CA$2,Model!$A20),'Tablica IO'!BL254*1)</f>
        <v>7.9500125138428622E-6</v>
      </c>
      <c r="BM20" s="222" cm="1">
        <f t="array" aca="1" ref="BM20" ca="1">'Tablica IO'!BM176*INDEX(Model!$C$93:$CA$93,Model!$A20) + IF(wplyw_cen_import_wlaczony,'Tablica IO'!BM254*INDEX(Model!$C$2:$CA$2,Model!$A20),'Tablica IO'!BM254*1)</f>
        <v>0</v>
      </c>
      <c r="BN20" s="222" cm="1">
        <f t="array" aca="1" ref="BN20" ca="1">'Tablica IO'!BN176*INDEX(Model!$C$93:$CA$93,Model!$A20) + IF(wplyw_cen_import_wlaczony,'Tablica IO'!BN254*INDEX(Model!$C$2:$CA$2,Model!$A20),'Tablica IO'!BN254*1)</f>
        <v>1.0456830411536311E-5</v>
      </c>
      <c r="BO20" s="222" cm="1">
        <f t="array" aca="1" ref="BO20" ca="1">'Tablica IO'!BO176*INDEX(Model!$C$93:$CA$93,Model!$A20) + IF(wplyw_cen_import_wlaczony,'Tablica IO'!BO254*INDEX(Model!$C$2:$CA$2,Model!$A20),'Tablica IO'!BO254*1)</f>
        <v>0</v>
      </c>
      <c r="BP20" s="222" cm="1">
        <f t="array" aca="1" ref="BP20" ca="1">'Tablica IO'!BP176*INDEX(Model!$C$93:$CA$93,Model!$A20) + IF(wplyw_cen_import_wlaczony,'Tablica IO'!BP254*INDEX(Model!$C$2:$CA$2,Model!$A20),'Tablica IO'!BP254*1)</f>
        <v>4.7836413345141442E-7</v>
      </c>
      <c r="BQ20" s="222" cm="1">
        <f t="array" aca="1" ref="BQ20" ca="1">'Tablica IO'!BQ176*INDEX(Model!$C$93:$CA$93,Model!$A20) + IF(wplyw_cen_import_wlaczony,'Tablica IO'!BQ254*INDEX(Model!$C$2:$CA$2,Model!$A20),'Tablica IO'!BQ254*1)</f>
        <v>1.4815015021150674E-6</v>
      </c>
      <c r="BR20" s="222" cm="1">
        <f t="array" aca="1" ref="BR20" ca="1">'Tablica IO'!BR176*INDEX(Model!$C$93:$CA$93,Model!$A20) + IF(wplyw_cen_import_wlaczony,'Tablica IO'!BR254*INDEX(Model!$C$2:$CA$2,Model!$A20),'Tablica IO'!BR254*1)</f>
        <v>0</v>
      </c>
      <c r="BS20" s="222" cm="1">
        <f t="array" aca="1" ref="BS20" ca="1">'Tablica IO'!BS176*INDEX(Model!$C$93:$CA$93,Model!$A20) + IF(wplyw_cen_import_wlaczony,'Tablica IO'!BS254*INDEX(Model!$C$2:$CA$2,Model!$A20),'Tablica IO'!BS254*1)</f>
        <v>0</v>
      </c>
      <c r="BT20" s="222" cm="1">
        <f t="array" aca="1" ref="BT20" ca="1">'Tablica IO'!BT176*INDEX(Model!$C$93:$CA$93,Model!$A20) + IF(wplyw_cen_import_wlaczony,'Tablica IO'!BT254*INDEX(Model!$C$2:$CA$2,Model!$A20),'Tablica IO'!BT254*1)</f>
        <v>1.6830379587327242E-6</v>
      </c>
      <c r="BU20" s="222" cm="1">
        <f t="array" aca="1" ref="BU20" ca="1">'Tablica IO'!BU176*INDEX(Model!$C$93:$CA$93,Model!$A20) + IF(wplyw_cen_import_wlaczony,'Tablica IO'!BU254*INDEX(Model!$C$2:$CA$2,Model!$A20),'Tablica IO'!BU254*1)</f>
        <v>0</v>
      </c>
      <c r="BV20" s="222" cm="1">
        <f t="array" aca="1" ref="BV20" ca="1">'Tablica IO'!BV176*INDEX(Model!$C$93:$CA$93,Model!$A20) + IF(wplyw_cen_import_wlaczony,'Tablica IO'!BV254*INDEX(Model!$C$2:$CA$2,Model!$A20),'Tablica IO'!BV254*1)</f>
        <v>1.0077008498948968E-6</v>
      </c>
      <c r="BW20" s="222" cm="1">
        <f t="array" aca="1" ref="BW20" ca="1">'Tablica IO'!BW176*INDEX(Model!$C$93:$CA$93,Model!$A20) + IF(wplyw_cen_import_wlaczony,'Tablica IO'!BW254*INDEX(Model!$C$2:$CA$2,Model!$A20),'Tablica IO'!BW254*1)</f>
        <v>1.4816362970705784E-6</v>
      </c>
      <c r="BX20" s="222" cm="1">
        <f t="array" aca="1" ref="BX20" ca="1">'Tablica IO'!BX176*INDEX(Model!$C$93:$CA$93,Model!$A20) + IF(wplyw_cen_import_wlaczony,'Tablica IO'!BX254*INDEX(Model!$C$2:$CA$2,Model!$A20),'Tablica IO'!BX254*1)</f>
        <v>1.8822639394080806E-5</v>
      </c>
      <c r="BY20" s="222" cm="1">
        <f t="array" aca="1" ref="BY20" ca="1">'Tablica IO'!BY176*INDEX(Model!$C$93:$CA$93,Model!$A20) + IF(wplyw_cen_import_wlaczony,'Tablica IO'!BY254*INDEX(Model!$C$2:$CA$2,Model!$A20),'Tablica IO'!BY254*1)</f>
        <v>0</v>
      </c>
      <c r="BZ20" s="222" cm="1">
        <f t="array" aca="1" ref="BZ20" ca="1">'Tablica IO'!BZ176*INDEX(Model!$C$93:$CA$93,Model!$A20) + IF(wplyw_cen_import_wlaczony,'Tablica IO'!BZ254*INDEX(Model!$C$2:$CA$2,Model!$A20),'Tablica IO'!BZ254*1)</f>
        <v>3.8205213179796377E-5</v>
      </c>
      <c r="CA20" s="222" cm="1">
        <f t="array" aca="1" ref="CA20" ca="1">'Tablica IO'!CA176*INDEX(Model!$C$93:$CA$93,Model!$A20) + IF(wplyw_cen_import_wlaczony,'Tablica IO'!CA254*INDEX(Model!$C$2:$CA$2,Model!$A20),'Tablica IO'!CA254*1)</f>
        <v>0</v>
      </c>
      <c r="CB20" s="247">
        <f ca="1">'Tablica IO'!CD176*INDEX(Model!$C$93:$CA$93,Model!$A20)+'Tablica IO'!CD254*INDEX(Model!$C$2:$CA$2,Model!$A20)</f>
        <v>3.20989790734368E-3</v>
      </c>
      <c r="CC20" s="188">
        <f ca="1">'Tablica IO'!CE176*INDEX(Model!$C$93:$CA$93,Model!$A20)+'Tablica IO'!CE254*INDEX(Model!$C$2:$CA$2,Model!$A20)</f>
        <v>0</v>
      </c>
      <c r="CD20" s="188">
        <f ca="1">'Tablica IO'!CF176*INDEX(Model!$C$93:$CA$93,Model!$A20)+'Tablica IO'!CF254*INDEX(Model!$C$2:$CA$2,Model!$A20)</f>
        <v>2.9928168680390448E-5</v>
      </c>
      <c r="CE20" s="189">
        <f ca="1">'Tablica IO'!CG176*INDEX(Model!$C$93:$CA$93,Model!$A20)+'Tablica IO'!CG254*INDEX(Model!$C$2:$CA$2,Model!$A20)</f>
        <v>1.3991688506626476E-2</v>
      </c>
    </row>
    <row r="21" spans="1:83" x14ac:dyDescent="0.25">
      <c r="A21" s="164">
        <v>9</v>
      </c>
      <c r="B21" s="172" t="s">
        <v>8</v>
      </c>
      <c r="C21" s="221" cm="1">
        <f t="array" aca="1" ref="C21" ca="1">'Tablica IO'!C177*INDEX(Model!$C$93:$CA$93,Model!$A21) + IF(wplyw_cen_import_wlaczony,'Tablica IO'!C255*INDEX(Model!$C$2:$CA$2,Model!$A21),'Tablica IO'!C255*1)</f>
        <v>1.223387836006748E-5</v>
      </c>
      <c r="D21" s="222" cm="1">
        <f t="array" aca="1" ref="D21" ca="1">'Tablica IO'!D177*INDEX(Model!$C$93:$CA$93,Model!$A21) + IF(wplyw_cen_import_wlaczony,'Tablica IO'!D255*INDEX(Model!$C$2:$CA$2,Model!$A21),'Tablica IO'!D255*1)</f>
        <v>4.6438995030660381E-4</v>
      </c>
      <c r="E21" s="222" cm="1">
        <f t="array" aca="1" ref="E21" ca="1">'Tablica IO'!E177*INDEX(Model!$C$93:$CA$93,Model!$A21) + IF(wplyw_cen_import_wlaczony,'Tablica IO'!E255*INDEX(Model!$C$2:$CA$2,Model!$A21),'Tablica IO'!E255*1)</f>
        <v>7.3223843627710588E-4</v>
      </c>
      <c r="F21" s="222" cm="1">
        <f t="array" aca="1" ref="F21" ca="1">'Tablica IO'!F177*INDEX(Model!$C$93:$CA$93,Model!$A21) + IF(wplyw_cen_import_wlaczony,'Tablica IO'!F255*INDEX(Model!$C$2:$CA$2,Model!$A21),'Tablica IO'!F255*1)</f>
        <v>5.7419253662735524E-4</v>
      </c>
      <c r="G21" s="222" cm="1">
        <f t="array" aca="1" ref="G21" ca="1">'Tablica IO'!G177*INDEX(Model!$C$93:$CA$93,Model!$A21) + IF(wplyw_cen_import_wlaczony,'Tablica IO'!G255*INDEX(Model!$C$2:$CA$2,Model!$A21),'Tablica IO'!G255*1)</f>
        <v>6.195228615457364E-4</v>
      </c>
      <c r="H21" s="222" cm="1">
        <f t="array" aca="1" ref="H21" ca="1">'Tablica IO'!H177*INDEX(Model!$C$93:$CA$93,Model!$A21) + IF(wplyw_cen_import_wlaczony,'Tablica IO'!H255*INDEX(Model!$C$2:$CA$2,Model!$A21),'Tablica IO'!H255*1)</f>
        <v>2.2219660272041543E-4</v>
      </c>
      <c r="I21" s="222" cm="1">
        <f t="array" aca="1" ref="I21" ca="1">'Tablica IO'!I177*INDEX(Model!$C$93:$CA$93,Model!$A21) + IF(wplyw_cen_import_wlaczony,'Tablica IO'!I255*INDEX(Model!$C$2:$CA$2,Model!$A21),'Tablica IO'!I255*1)</f>
        <v>3.0717317878794397E-5</v>
      </c>
      <c r="J21" s="222" cm="1">
        <f t="array" aca="1" ref="J21" ca="1">'Tablica IO'!J177*INDEX(Model!$C$93:$CA$93,Model!$A21) + IF(wplyw_cen_import_wlaczony,'Tablica IO'!J255*INDEX(Model!$C$2:$CA$2,Model!$A21),'Tablica IO'!J255*1)</f>
        <v>4.1437938686925562E-5</v>
      </c>
      <c r="K21" s="222" cm="1">
        <f t="array" aca="1" ref="K21" ca="1">'Tablica IO'!K177*INDEX(Model!$C$93:$CA$93,Model!$A21) + IF(wplyw_cen_import_wlaczony,'Tablica IO'!K255*INDEX(Model!$C$2:$CA$2,Model!$A21),'Tablica IO'!K255*1)</f>
        <v>0.3414930159803497</v>
      </c>
      <c r="L21" s="222" cm="1">
        <f t="array" aca="1" ref="L21" ca="1">'Tablica IO'!L177*INDEX(Model!$C$93:$CA$93,Model!$A21) + IF(wplyw_cen_import_wlaczony,'Tablica IO'!L255*INDEX(Model!$C$2:$CA$2,Model!$A21),'Tablica IO'!L255*1)</f>
        <v>0.22449307245320027</v>
      </c>
      <c r="M21" s="222" cm="1">
        <f t="array" aca="1" ref="M21" ca="1">'Tablica IO'!M177*INDEX(Model!$C$93:$CA$93,Model!$A21) + IF(wplyw_cen_import_wlaczony,'Tablica IO'!M255*INDEX(Model!$C$2:$CA$2,Model!$A21),'Tablica IO'!M255*1)</f>
        <v>4.2376280917799242E-2</v>
      </c>
      <c r="N21" s="222" cm="1">
        <f t="array" aca="1" ref="N21" ca="1">'Tablica IO'!N177*INDEX(Model!$C$93:$CA$93,Model!$A21) + IF(wplyw_cen_import_wlaczony,'Tablica IO'!N255*INDEX(Model!$C$2:$CA$2,Model!$A21),'Tablica IO'!N255*1)</f>
        <v>5.4169182020879537E-4</v>
      </c>
      <c r="O21" s="222" cm="1">
        <f t="array" aca="1" ref="O21" ca="1">'Tablica IO'!O177*INDEX(Model!$C$93:$CA$93,Model!$A21) + IF(wplyw_cen_import_wlaczony,'Tablica IO'!O255*INDEX(Model!$C$2:$CA$2,Model!$A21),'Tablica IO'!O255*1)</f>
        <v>1.7067941444551885E-3</v>
      </c>
      <c r="P21" s="222" cm="1">
        <f t="array" aca="1" ref="P21" ca="1">'Tablica IO'!P177*INDEX(Model!$C$93:$CA$93,Model!$A21) + IF(wplyw_cen_import_wlaczony,'Tablica IO'!P255*INDEX(Model!$C$2:$CA$2,Model!$A21),'Tablica IO'!P255*1)</f>
        <v>6.608057668998019E-4</v>
      </c>
      <c r="Q21" s="222" cm="1">
        <f t="array" aca="1" ref="Q21" ca="1">'Tablica IO'!Q177*INDEX(Model!$C$93:$CA$93,Model!$A21) + IF(wplyw_cen_import_wlaczony,'Tablica IO'!Q255*INDEX(Model!$C$2:$CA$2,Model!$A21),'Tablica IO'!Q255*1)</f>
        <v>4.9037832554920999E-5</v>
      </c>
      <c r="R21" s="222" cm="1">
        <f t="array" aca="1" ref="R21" ca="1">'Tablica IO'!R177*INDEX(Model!$C$93:$CA$93,Model!$A21) + IF(wplyw_cen_import_wlaczony,'Tablica IO'!R255*INDEX(Model!$C$2:$CA$2,Model!$A21),'Tablica IO'!R255*1)</f>
        <v>7.7977963725501262E-4</v>
      </c>
      <c r="S21" s="222" cm="1">
        <f t="array" aca="1" ref="S21" ca="1">'Tablica IO'!S177*INDEX(Model!$C$93:$CA$93,Model!$A21) + IF(wplyw_cen_import_wlaczony,'Tablica IO'!S255*INDEX(Model!$C$2:$CA$2,Model!$A21),'Tablica IO'!S255*1)</f>
        <v>2.312680815869728E-4</v>
      </c>
      <c r="T21" s="222" cm="1">
        <f t="array" aca="1" ref="T21" ca="1">'Tablica IO'!T177*INDEX(Model!$C$93:$CA$93,Model!$A21) + IF(wplyw_cen_import_wlaczony,'Tablica IO'!T255*INDEX(Model!$C$2:$CA$2,Model!$A21),'Tablica IO'!T255*1)</f>
        <v>1.5670102131593276E-2</v>
      </c>
      <c r="U21" s="222" cm="1">
        <f t="array" aca="1" ref="U21" ca="1">'Tablica IO'!U177*INDEX(Model!$C$93:$CA$93,Model!$A21) + IF(wplyw_cen_import_wlaczony,'Tablica IO'!U255*INDEX(Model!$C$2:$CA$2,Model!$A21),'Tablica IO'!U255*1)</f>
        <v>1.0141212070050472E-3</v>
      </c>
      <c r="V21" s="222" cm="1">
        <f t="array" aca="1" ref="V21" ca="1">'Tablica IO'!V177*INDEX(Model!$C$93:$CA$93,Model!$A21) + IF(wplyw_cen_import_wlaczony,'Tablica IO'!V255*INDEX(Model!$C$2:$CA$2,Model!$A21),'Tablica IO'!V255*1)</f>
        <v>2.7968146298250004E-5</v>
      </c>
      <c r="W21" s="222" cm="1">
        <f t="array" aca="1" ref="W21" ca="1">'Tablica IO'!W177*INDEX(Model!$C$93:$CA$93,Model!$A21) + IF(wplyw_cen_import_wlaczony,'Tablica IO'!W255*INDEX(Model!$C$2:$CA$2,Model!$A21),'Tablica IO'!W255*1)</f>
        <v>1.5499624354525074E-4</v>
      </c>
      <c r="X21" s="222" cm="1">
        <f t="array" aca="1" ref="X21" ca="1">'Tablica IO'!X177*INDEX(Model!$C$93:$CA$93,Model!$A21) + IF(wplyw_cen_import_wlaczony,'Tablica IO'!X255*INDEX(Model!$C$2:$CA$2,Model!$A21),'Tablica IO'!X255*1)</f>
        <v>9.675985083199866E-5</v>
      </c>
      <c r="Y21" s="222" cm="1">
        <f t="array" aca="1" ref="Y21" ca="1">'Tablica IO'!Y177*INDEX(Model!$C$93:$CA$93,Model!$A21) + IF(wplyw_cen_import_wlaczony,'Tablica IO'!Y255*INDEX(Model!$C$2:$CA$2,Model!$A21),'Tablica IO'!Y255*1)</f>
        <v>3.0517613361915225E-4</v>
      </c>
      <c r="Z21" s="222" cm="1">
        <f t="array" aca="1" ref="Z21" ca="1">'Tablica IO'!Z177*INDEX(Model!$C$93:$CA$93,Model!$A21) + IF(wplyw_cen_import_wlaczony,'Tablica IO'!Z255*INDEX(Model!$C$2:$CA$2,Model!$A21),'Tablica IO'!Z255*1)</f>
        <v>1.3128220632273192E-3</v>
      </c>
      <c r="AA21" s="222" cm="1">
        <f t="array" aca="1" ref="AA21" ca="1">'Tablica IO'!AA177*INDEX(Model!$C$93:$CA$93,Model!$A21) + IF(wplyw_cen_import_wlaczony,'Tablica IO'!AA255*INDEX(Model!$C$2:$CA$2,Model!$A21),'Tablica IO'!AA255*1)</f>
        <v>1.0038347014171745E-2</v>
      </c>
      <c r="AB21" s="222" cm="1">
        <f t="array" aca="1" ref="AB21" ca="1">'Tablica IO'!AB177*INDEX(Model!$C$93:$CA$93,Model!$A21) + IF(wplyw_cen_import_wlaczony,'Tablica IO'!AB255*INDEX(Model!$C$2:$CA$2,Model!$A21),'Tablica IO'!AB255*1)</f>
        <v>1.9635888315757523E-3</v>
      </c>
      <c r="AC21" s="222" cm="1">
        <f t="array" aca="1" ref="AC21" ca="1">'Tablica IO'!AC177*INDEX(Model!$C$93:$CA$93,Model!$A21) + IF(wplyw_cen_import_wlaczony,'Tablica IO'!AC255*INDEX(Model!$C$2:$CA$2,Model!$A21),'Tablica IO'!AC255*1)</f>
        <v>4.3715443798032952E-2</v>
      </c>
      <c r="AD21" s="222" cm="1">
        <f t="array" aca="1" ref="AD21" ca="1">'Tablica IO'!AD177*INDEX(Model!$C$93:$CA$93,Model!$A21) + IF(wplyw_cen_import_wlaczony,'Tablica IO'!AD255*INDEX(Model!$C$2:$CA$2,Model!$A21),'Tablica IO'!AD255*1)</f>
        <v>1.990564984518065E-3</v>
      </c>
      <c r="AE21" s="222" cm="1">
        <f t="array" aca="1" ref="AE21" ca="1">'Tablica IO'!AE177*INDEX(Model!$C$93:$CA$93,Model!$A21) + IF(wplyw_cen_import_wlaczony,'Tablica IO'!AE255*INDEX(Model!$C$2:$CA$2,Model!$A21),'Tablica IO'!AE255*1)</f>
        <v>9.3681871534089987E-5</v>
      </c>
      <c r="AF21" s="222" cm="1">
        <f t="array" aca="1" ref="AF21" ca="1">'Tablica IO'!AF177*INDEX(Model!$C$93:$CA$93,Model!$A21) + IF(wplyw_cen_import_wlaczony,'Tablica IO'!AF255*INDEX(Model!$C$2:$CA$2,Model!$A21),'Tablica IO'!AF255*1)</f>
        <v>7.7966397182280655E-5</v>
      </c>
      <c r="AG21" s="222" cm="1">
        <f t="array" aca="1" ref="AG21" ca="1">'Tablica IO'!AG177*INDEX(Model!$C$93:$CA$93,Model!$A21) + IF(wplyw_cen_import_wlaczony,'Tablica IO'!AG255*INDEX(Model!$C$2:$CA$2,Model!$A21),'Tablica IO'!AG255*1)</f>
        <v>6.3913544656215687E-5</v>
      </c>
      <c r="AH21" s="222" cm="1">
        <f t="array" aca="1" ref="AH21" ca="1">'Tablica IO'!AH177*INDEX(Model!$C$93:$CA$93,Model!$A21) + IF(wplyw_cen_import_wlaczony,'Tablica IO'!AH255*INDEX(Model!$C$2:$CA$2,Model!$A21),'Tablica IO'!AH255*1)</f>
        <v>4.8551163666795224E-4</v>
      </c>
      <c r="AI21" s="222" cm="1">
        <f t="array" aca="1" ref="AI21" ca="1">'Tablica IO'!AI177*INDEX(Model!$C$93:$CA$93,Model!$A21) + IF(wplyw_cen_import_wlaczony,'Tablica IO'!AI255*INDEX(Model!$C$2:$CA$2,Model!$A21),'Tablica IO'!AI255*1)</f>
        <v>1.077756873563908E-4</v>
      </c>
      <c r="AJ21" s="222" cm="1">
        <f t="array" aca="1" ref="AJ21" ca="1">'Tablica IO'!AJ177*INDEX(Model!$C$93:$CA$93,Model!$A21) + IF(wplyw_cen_import_wlaczony,'Tablica IO'!AJ255*INDEX(Model!$C$2:$CA$2,Model!$A21),'Tablica IO'!AJ255*1)</f>
        <v>2.2870470861510289E-4</v>
      </c>
      <c r="AK21" s="222" cm="1">
        <f t="array" aca="1" ref="AK21" ca="1">'Tablica IO'!AK177*INDEX(Model!$C$93:$CA$93,Model!$A21) + IF(wplyw_cen_import_wlaczony,'Tablica IO'!AK255*INDEX(Model!$C$2:$CA$2,Model!$A21),'Tablica IO'!AK255*1)</f>
        <v>4.775155765940172E-5</v>
      </c>
      <c r="AL21" s="222" cm="1">
        <f t="array" aca="1" ref="AL21" ca="1">'Tablica IO'!AL177*INDEX(Model!$C$93:$CA$93,Model!$A21) + IF(wplyw_cen_import_wlaczony,'Tablica IO'!AL255*INDEX(Model!$C$2:$CA$2,Model!$A21),'Tablica IO'!AL255*1)</f>
        <v>2.8181530651007055E-3</v>
      </c>
      <c r="AM21" s="222" cm="1">
        <f t="array" aca="1" ref="AM21" ca="1">'Tablica IO'!AM177*INDEX(Model!$C$93:$CA$93,Model!$A21) + IF(wplyw_cen_import_wlaczony,'Tablica IO'!AM255*INDEX(Model!$C$2:$CA$2,Model!$A21),'Tablica IO'!AM255*1)</f>
        <v>1.4892339617126743E-3</v>
      </c>
      <c r="AN21" s="222" cm="1">
        <f t="array" aca="1" ref="AN21" ca="1">'Tablica IO'!AN177*INDEX(Model!$C$93:$CA$93,Model!$A21) + IF(wplyw_cen_import_wlaczony,'Tablica IO'!AN255*INDEX(Model!$C$2:$CA$2,Model!$A21),'Tablica IO'!AN255*1)</f>
        <v>2.1656272420460509E-4</v>
      </c>
      <c r="AO21" s="222" cm="1">
        <f t="array" aca="1" ref="AO21" ca="1">'Tablica IO'!AO177*INDEX(Model!$C$93:$CA$93,Model!$A21) + IF(wplyw_cen_import_wlaczony,'Tablica IO'!AO255*INDEX(Model!$C$2:$CA$2,Model!$A21),'Tablica IO'!AO255*1)</f>
        <v>1.3873999969511865E-4</v>
      </c>
      <c r="AP21" s="222" cm="1">
        <f t="array" aca="1" ref="AP21" ca="1">'Tablica IO'!AP177*INDEX(Model!$C$93:$CA$93,Model!$A21) + IF(wplyw_cen_import_wlaczony,'Tablica IO'!AP255*INDEX(Model!$C$2:$CA$2,Model!$A21),'Tablica IO'!AP255*1)</f>
        <v>1.549238576435388E-4</v>
      </c>
      <c r="AQ21" s="222" cm="1">
        <f t="array" aca="1" ref="AQ21" ca="1">'Tablica IO'!AQ177*INDEX(Model!$C$93:$CA$93,Model!$A21) + IF(wplyw_cen_import_wlaczony,'Tablica IO'!AQ255*INDEX(Model!$C$2:$CA$2,Model!$A21),'Tablica IO'!AQ255*1)</f>
        <v>3.993055958644777E-3</v>
      </c>
      <c r="AR21" s="222" cm="1">
        <f t="array" aca="1" ref="AR21" ca="1">'Tablica IO'!AR177*INDEX(Model!$C$93:$CA$93,Model!$A21) + IF(wplyw_cen_import_wlaczony,'Tablica IO'!AR255*INDEX(Model!$C$2:$CA$2,Model!$A21),'Tablica IO'!AR255*1)</f>
        <v>9.1695099734402413E-4</v>
      </c>
      <c r="AS21" s="222" cm="1">
        <f t="array" aca="1" ref="AS21" ca="1">'Tablica IO'!AS177*INDEX(Model!$C$93:$CA$93,Model!$A21) + IF(wplyw_cen_import_wlaczony,'Tablica IO'!AS255*INDEX(Model!$C$2:$CA$2,Model!$A21),'Tablica IO'!AS255*1)</f>
        <v>3.4775650280807512E-5</v>
      </c>
      <c r="AT21" s="222" cm="1">
        <f t="array" aca="1" ref="AT21" ca="1">'Tablica IO'!AT177*INDEX(Model!$C$93:$CA$93,Model!$A21) + IF(wplyw_cen_import_wlaczony,'Tablica IO'!AT255*INDEX(Model!$C$2:$CA$2,Model!$A21),'Tablica IO'!AT255*1)</f>
        <v>4.3504505426135036E-5</v>
      </c>
      <c r="AU21" s="222" cm="1">
        <f t="array" aca="1" ref="AU21" ca="1">'Tablica IO'!AU177*INDEX(Model!$C$93:$CA$93,Model!$A21) + IF(wplyw_cen_import_wlaczony,'Tablica IO'!AU255*INDEX(Model!$C$2:$CA$2,Model!$A21),'Tablica IO'!AU255*1)</f>
        <v>3.5386311754948875E-7</v>
      </c>
      <c r="AV21" s="222" cm="1">
        <f t="array" aca="1" ref="AV21" ca="1">'Tablica IO'!AV177*INDEX(Model!$C$93:$CA$93,Model!$A21) + IF(wplyw_cen_import_wlaczony,'Tablica IO'!AV255*INDEX(Model!$C$2:$CA$2,Model!$A21),'Tablica IO'!AV255*1)</f>
        <v>2.9759559879313594E-6</v>
      </c>
      <c r="AW21" s="222" cm="1">
        <f t="array" aca="1" ref="AW21" ca="1">'Tablica IO'!AW177*INDEX(Model!$C$93:$CA$93,Model!$A21) + IF(wplyw_cen_import_wlaczony,'Tablica IO'!AW255*INDEX(Model!$C$2:$CA$2,Model!$A21),'Tablica IO'!AW255*1)</f>
        <v>2.0403242027661706E-6</v>
      </c>
      <c r="AX21" s="222" cm="1">
        <f t="array" aca="1" ref="AX21" ca="1">'Tablica IO'!AX177*INDEX(Model!$C$93:$CA$93,Model!$A21) + IF(wplyw_cen_import_wlaczony,'Tablica IO'!AX255*INDEX(Model!$C$2:$CA$2,Model!$A21),'Tablica IO'!AX255*1)</f>
        <v>3.970680488456773E-6</v>
      </c>
      <c r="AY21" s="222" cm="1">
        <f t="array" aca="1" ref="AY21" ca="1">'Tablica IO'!AY177*INDEX(Model!$C$93:$CA$93,Model!$A21) + IF(wplyw_cen_import_wlaczony,'Tablica IO'!AY255*INDEX(Model!$C$2:$CA$2,Model!$A21),'Tablica IO'!AY255*1)</f>
        <v>2.985472809713202E-5</v>
      </c>
      <c r="AZ21" s="222" cm="1">
        <f t="array" aca="1" ref="AZ21" ca="1">'Tablica IO'!AZ177*INDEX(Model!$C$93:$CA$93,Model!$A21) + IF(wplyw_cen_import_wlaczony,'Tablica IO'!AZ255*INDEX(Model!$C$2:$CA$2,Model!$A21),'Tablica IO'!AZ255*1)</f>
        <v>1.0817920396965199E-5</v>
      </c>
      <c r="BA21" s="222" cm="1">
        <f t="array" aca="1" ref="BA21" ca="1">'Tablica IO'!BA177*INDEX(Model!$C$93:$CA$93,Model!$A21) + IF(wplyw_cen_import_wlaczony,'Tablica IO'!BA255*INDEX(Model!$C$2:$CA$2,Model!$A21),'Tablica IO'!BA255*1)</f>
        <v>4.2261533683969137E-7</v>
      </c>
      <c r="BB21" s="222" cm="1">
        <f t="array" aca="1" ref="BB21" ca="1">'Tablica IO'!BB177*INDEX(Model!$C$93:$CA$93,Model!$A21) + IF(wplyw_cen_import_wlaczony,'Tablica IO'!BB255*INDEX(Model!$C$2:$CA$2,Model!$A21),'Tablica IO'!BB255*1)</f>
        <v>7.3095531262513057E-5</v>
      </c>
      <c r="BC21" s="222" cm="1">
        <f t="array" aca="1" ref="BC21" ca="1">'Tablica IO'!BC177*INDEX(Model!$C$93:$CA$93,Model!$A21) + IF(wplyw_cen_import_wlaczony,'Tablica IO'!BC255*INDEX(Model!$C$2:$CA$2,Model!$A21),'Tablica IO'!BC255*1)</f>
        <v>1.4864193452816326E-5</v>
      </c>
      <c r="BD21" s="222" cm="1">
        <f t="array" aca="1" ref="BD21" ca="1">'Tablica IO'!BD177*INDEX(Model!$C$93:$CA$93,Model!$A21) + IF(wplyw_cen_import_wlaczony,'Tablica IO'!BD255*INDEX(Model!$C$2:$CA$2,Model!$A21),'Tablica IO'!BD255*1)</f>
        <v>3.1208413926992207E-6</v>
      </c>
      <c r="BE21" s="222" cm="1">
        <f t="array" aca="1" ref="BE21" ca="1">'Tablica IO'!BE177*INDEX(Model!$C$93:$CA$93,Model!$A21) + IF(wplyw_cen_import_wlaczony,'Tablica IO'!BE255*INDEX(Model!$C$2:$CA$2,Model!$A21),'Tablica IO'!BE255*1)</f>
        <v>7.0236487657980955E-5</v>
      </c>
      <c r="BF21" s="222" cm="1">
        <f t="array" aca="1" ref="BF21" ca="1">'Tablica IO'!BF177*INDEX(Model!$C$93:$CA$93,Model!$A21) + IF(wplyw_cen_import_wlaczony,'Tablica IO'!BF255*INDEX(Model!$C$2:$CA$2,Model!$A21),'Tablica IO'!BF255*1)</f>
        <v>9.4853559137025151E-4</v>
      </c>
      <c r="BG21" s="222" cm="1">
        <f t="array" aca="1" ref="BG21" ca="1">'Tablica IO'!BG177*INDEX(Model!$C$93:$CA$93,Model!$A21) + IF(wplyw_cen_import_wlaczony,'Tablica IO'!BG255*INDEX(Model!$C$2:$CA$2,Model!$A21),'Tablica IO'!BG255*1)</f>
        <v>3.9195682998260542E-5</v>
      </c>
      <c r="BH21" s="222" cm="1">
        <f t="array" aca="1" ref="BH21" ca="1">'Tablica IO'!BH177*INDEX(Model!$C$93:$CA$93,Model!$A21) + IF(wplyw_cen_import_wlaczony,'Tablica IO'!BH255*INDEX(Model!$C$2:$CA$2,Model!$A21),'Tablica IO'!BH255*1)</f>
        <v>4.2189643313154425E-4</v>
      </c>
      <c r="BI21" s="222" cm="1">
        <f t="array" aca="1" ref="BI21" ca="1">'Tablica IO'!BI177*INDEX(Model!$C$93:$CA$93,Model!$A21) + IF(wplyw_cen_import_wlaczony,'Tablica IO'!BI255*INDEX(Model!$C$2:$CA$2,Model!$A21),'Tablica IO'!BI255*1)</f>
        <v>0</v>
      </c>
      <c r="BJ21" s="222" cm="1">
        <f t="array" aca="1" ref="BJ21" ca="1">'Tablica IO'!BJ177*INDEX(Model!$C$93:$CA$93,Model!$A21) + IF(wplyw_cen_import_wlaczony,'Tablica IO'!BJ255*INDEX(Model!$C$2:$CA$2,Model!$A21),'Tablica IO'!BJ255*1)</f>
        <v>2.9772935728161179E-4</v>
      </c>
      <c r="BK21" s="222" cm="1">
        <f t="array" aca="1" ref="BK21" ca="1">'Tablica IO'!BK177*INDEX(Model!$C$93:$CA$93,Model!$A21) + IF(wplyw_cen_import_wlaczony,'Tablica IO'!BK255*INDEX(Model!$C$2:$CA$2,Model!$A21),'Tablica IO'!BK255*1)</f>
        <v>2.3323366430487709E-5</v>
      </c>
      <c r="BL21" s="222" cm="1">
        <f t="array" aca="1" ref="BL21" ca="1">'Tablica IO'!BL177*INDEX(Model!$C$93:$CA$93,Model!$A21) + IF(wplyw_cen_import_wlaczony,'Tablica IO'!BL255*INDEX(Model!$C$2:$CA$2,Model!$A21),'Tablica IO'!BL255*1)</f>
        <v>2.0125165242908079E-5</v>
      </c>
      <c r="BM21" s="222" cm="1">
        <f t="array" aca="1" ref="BM21" ca="1">'Tablica IO'!BM177*INDEX(Model!$C$93:$CA$93,Model!$A21) + IF(wplyw_cen_import_wlaczony,'Tablica IO'!BM255*INDEX(Model!$C$2:$CA$2,Model!$A21),'Tablica IO'!BM255*1)</f>
        <v>1.1923137154209524E-4</v>
      </c>
      <c r="BN21" s="222" cm="1">
        <f t="array" aca="1" ref="BN21" ca="1">'Tablica IO'!BN177*INDEX(Model!$C$93:$CA$93,Model!$A21) + IF(wplyw_cen_import_wlaczony,'Tablica IO'!BN255*INDEX(Model!$C$2:$CA$2,Model!$A21),'Tablica IO'!BN255*1)</f>
        <v>5.0694176122751918E-4</v>
      </c>
      <c r="BO21" s="222" cm="1">
        <f t="array" aca="1" ref="BO21" ca="1">'Tablica IO'!BO177*INDEX(Model!$C$93:$CA$93,Model!$A21) + IF(wplyw_cen_import_wlaczony,'Tablica IO'!BO255*INDEX(Model!$C$2:$CA$2,Model!$A21),'Tablica IO'!BO255*1)</f>
        <v>2.0477662860119786E-4</v>
      </c>
      <c r="BP21" s="222" cm="1">
        <f t="array" aca="1" ref="BP21" ca="1">'Tablica IO'!BP177*INDEX(Model!$C$93:$CA$93,Model!$A21) + IF(wplyw_cen_import_wlaczony,'Tablica IO'!BP255*INDEX(Model!$C$2:$CA$2,Model!$A21),'Tablica IO'!BP255*1)</f>
        <v>6.1971248128450153E-4</v>
      </c>
      <c r="BQ21" s="222" cm="1">
        <f t="array" aca="1" ref="BQ21" ca="1">'Tablica IO'!BQ177*INDEX(Model!$C$93:$CA$93,Model!$A21) + IF(wplyw_cen_import_wlaczony,'Tablica IO'!BQ255*INDEX(Model!$C$2:$CA$2,Model!$A21),'Tablica IO'!BQ255*1)</f>
        <v>9.9489991087078802E-5</v>
      </c>
      <c r="BR21" s="222" cm="1">
        <f t="array" aca="1" ref="BR21" ca="1">'Tablica IO'!BR177*INDEX(Model!$C$93:$CA$93,Model!$A21) + IF(wplyw_cen_import_wlaczony,'Tablica IO'!BR255*INDEX(Model!$C$2:$CA$2,Model!$A21),'Tablica IO'!BR255*1)</f>
        <v>2.6275637207279993E-4</v>
      </c>
      <c r="BS21" s="222" cm="1">
        <f t="array" aca="1" ref="BS21" ca="1">'Tablica IO'!BS177*INDEX(Model!$C$93:$CA$93,Model!$A21) + IF(wplyw_cen_import_wlaczony,'Tablica IO'!BS255*INDEX(Model!$C$2:$CA$2,Model!$A21),'Tablica IO'!BS255*1)</f>
        <v>8.6875823260273278E-5</v>
      </c>
      <c r="BT21" s="222" cm="1">
        <f t="array" aca="1" ref="BT21" ca="1">'Tablica IO'!BT177*INDEX(Model!$C$93:$CA$93,Model!$A21) + IF(wplyw_cen_import_wlaczony,'Tablica IO'!BT255*INDEX(Model!$C$2:$CA$2,Model!$A21),'Tablica IO'!BT255*1)</f>
        <v>8.455281189743252E-4</v>
      </c>
      <c r="BU21" s="222" cm="1">
        <f t="array" aca="1" ref="BU21" ca="1">'Tablica IO'!BU177*INDEX(Model!$C$93:$CA$93,Model!$A21) + IF(wplyw_cen_import_wlaczony,'Tablica IO'!BU255*INDEX(Model!$C$2:$CA$2,Model!$A21),'Tablica IO'!BU255*1)</f>
        <v>3.6116637020944996E-4</v>
      </c>
      <c r="BV21" s="222" cm="1">
        <f t="array" aca="1" ref="BV21" ca="1">'Tablica IO'!BV177*INDEX(Model!$C$93:$CA$93,Model!$A21) + IF(wplyw_cen_import_wlaczony,'Tablica IO'!BV255*INDEX(Model!$C$2:$CA$2,Model!$A21),'Tablica IO'!BV255*1)</f>
        <v>2.7866948782878754E-5</v>
      </c>
      <c r="BW21" s="222" cm="1">
        <f t="array" aca="1" ref="BW21" ca="1">'Tablica IO'!BW177*INDEX(Model!$C$93:$CA$93,Model!$A21) + IF(wplyw_cen_import_wlaczony,'Tablica IO'!BW255*INDEX(Model!$C$2:$CA$2,Model!$A21),'Tablica IO'!BW255*1)</f>
        <v>8.9869540678813356E-5</v>
      </c>
      <c r="BX21" s="222" cm="1">
        <f t="array" aca="1" ref="BX21" ca="1">'Tablica IO'!BX177*INDEX(Model!$C$93:$CA$93,Model!$A21) + IF(wplyw_cen_import_wlaczony,'Tablica IO'!BX255*INDEX(Model!$C$2:$CA$2,Model!$A21),'Tablica IO'!BX255*1)</f>
        <v>6.4308794726330156E-3</v>
      </c>
      <c r="BY21" s="222" cm="1">
        <f t="array" aca="1" ref="BY21" ca="1">'Tablica IO'!BY177*INDEX(Model!$C$93:$CA$93,Model!$A21) + IF(wplyw_cen_import_wlaczony,'Tablica IO'!BY255*INDEX(Model!$C$2:$CA$2,Model!$A21),'Tablica IO'!BY255*1)</f>
        <v>0</v>
      </c>
      <c r="BZ21" s="222" cm="1">
        <f t="array" aca="1" ref="BZ21" ca="1">'Tablica IO'!BZ177*INDEX(Model!$C$93:$CA$93,Model!$A21) + IF(wplyw_cen_import_wlaczony,'Tablica IO'!BZ255*INDEX(Model!$C$2:$CA$2,Model!$A21),'Tablica IO'!BZ255*1)</f>
        <v>1.7636362002077758E-3</v>
      </c>
      <c r="CA21" s="222" cm="1">
        <f t="array" aca="1" ref="CA21" ca="1">'Tablica IO'!CA177*INDEX(Model!$C$93:$CA$93,Model!$A21) + IF(wplyw_cen_import_wlaczony,'Tablica IO'!CA255*INDEX(Model!$C$2:$CA$2,Model!$A21),'Tablica IO'!CA255*1)</f>
        <v>0</v>
      </c>
      <c r="CB21" s="247">
        <f ca="1">'Tablica IO'!CD177*INDEX(Model!$C$93:$CA$93,Model!$A21)+'Tablica IO'!CD255*INDEX(Model!$C$2:$CA$2,Model!$A21)</f>
        <v>5.197241189303415E-3</v>
      </c>
      <c r="CC21" s="188">
        <f ca="1">'Tablica IO'!CE177*INDEX(Model!$C$93:$CA$93,Model!$A21)+'Tablica IO'!CE255*INDEX(Model!$C$2:$CA$2,Model!$A21)</f>
        <v>3.9379896856316538E-5</v>
      </c>
      <c r="CD21" s="188">
        <f ca="1">'Tablica IO'!CF177*INDEX(Model!$C$93:$CA$93,Model!$A21)+'Tablica IO'!CF255*INDEX(Model!$C$2:$CA$2,Model!$A21)</f>
        <v>1.1602275359150012E-3</v>
      </c>
      <c r="CE21" s="189">
        <f ca="1">'Tablica IO'!CG177*INDEX(Model!$C$93:$CA$93,Model!$A21)+'Tablica IO'!CG255*INDEX(Model!$C$2:$CA$2,Model!$A21)</f>
        <v>9.6875696880265733E-3</v>
      </c>
    </row>
    <row r="22" spans="1:83" x14ac:dyDescent="0.25">
      <c r="A22" s="164">
        <v>10</v>
      </c>
      <c r="B22" s="172" t="s">
        <v>9</v>
      </c>
      <c r="C22" s="221" cm="1">
        <f t="array" aca="1" ref="C22" ca="1">'Tablica IO'!C178*INDEX(Model!$C$93:$CA$93,Model!$A22) + IF(wplyw_cen_import_wlaczony,'Tablica IO'!C256*INDEX(Model!$C$2:$CA$2,Model!$A22),'Tablica IO'!C256*1)</f>
        <v>3.7857094946672825E-5</v>
      </c>
      <c r="D22" s="222" cm="1">
        <f t="array" aca="1" ref="D22" ca="1">'Tablica IO'!D178*INDEX(Model!$C$93:$CA$93,Model!$A22) + IF(wplyw_cen_import_wlaczony,'Tablica IO'!D256*INDEX(Model!$C$2:$CA$2,Model!$A22),'Tablica IO'!D256*1)</f>
        <v>1.6480654766482809E-3</v>
      </c>
      <c r="E22" s="222" cm="1">
        <f t="array" aca="1" ref="E22" ca="1">'Tablica IO'!E178*INDEX(Model!$C$93:$CA$93,Model!$A22) + IF(wplyw_cen_import_wlaczony,'Tablica IO'!E256*INDEX(Model!$C$2:$CA$2,Model!$A22),'Tablica IO'!E256*1)</f>
        <v>4.2713296909067808E-4</v>
      </c>
      <c r="F22" s="222" cm="1">
        <f t="array" aca="1" ref="F22" ca="1">'Tablica IO'!F178*INDEX(Model!$C$93:$CA$93,Model!$A22) + IF(wplyw_cen_import_wlaczony,'Tablica IO'!F256*INDEX(Model!$C$2:$CA$2,Model!$A22),'Tablica IO'!F256*1)</f>
        <v>8.3879642694738451E-4</v>
      </c>
      <c r="G22" s="222" cm="1">
        <f t="array" aca="1" ref="G22" ca="1">'Tablica IO'!G178*INDEX(Model!$C$93:$CA$93,Model!$A22) + IF(wplyw_cen_import_wlaczony,'Tablica IO'!G256*INDEX(Model!$C$2:$CA$2,Model!$A22),'Tablica IO'!G256*1)</f>
        <v>3.0859020278377276E-4</v>
      </c>
      <c r="H22" s="222" cm="1">
        <f t="array" aca="1" ref="H22" ca="1">'Tablica IO'!H178*INDEX(Model!$C$93:$CA$93,Model!$A22) + IF(wplyw_cen_import_wlaczony,'Tablica IO'!H256*INDEX(Model!$C$2:$CA$2,Model!$A22),'Tablica IO'!H256*1)</f>
        <v>3.3134096374190644E-4</v>
      </c>
      <c r="I22" s="222" cm="1">
        <f t="array" aca="1" ref="I22" ca="1">'Tablica IO'!I178*INDEX(Model!$C$93:$CA$93,Model!$A22) + IF(wplyw_cen_import_wlaczony,'Tablica IO'!I256*INDEX(Model!$C$2:$CA$2,Model!$A22),'Tablica IO'!I256*1)</f>
        <v>1.7424170169939136E-4</v>
      </c>
      <c r="J22" s="222" cm="1">
        <f t="array" aca="1" ref="J22" ca="1">'Tablica IO'!J178*INDEX(Model!$C$93:$CA$93,Model!$A22) + IF(wplyw_cen_import_wlaczony,'Tablica IO'!J256*INDEX(Model!$C$2:$CA$2,Model!$A22),'Tablica IO'!J256*1)</f>
        <v>4.2609874636259843E-4</v>
      </c>
      <c r="K22" s="222" cm="1">
        <f t="array" aca="1" ref="K22" ca="1">'Tablica IO'!K178*INDEX(Model!$C$93:$CA$93,Model!$A22) + IF(wplyw_cen_import_wlaczony,'Tablica IO'!K256*INDEX(Model!$C$2:$CA$2,Model!$A22),'Tablica IO'!K256*1)</f>
        <v>8.6965350469861305E-4</v>
      </c>
      <c r="L22" s="222" cm="1">
        <f t="array" aca="1" ref="L22" ca="1">'Tablica IO'!L178*INDEX(Model!$C$93:$CA$93,Model!$A22) + IF(wplyw_cen_import_wlaczony,'Tablica IO'!L256*INDEX(Model!$C$2:$CA$2,Model!$A22),'Tablica IO'!L256*1)</f>
        <v>4.0831024529620369E-2</v>
      </c>
      <c r="M22" s="222" cm="1">
        <f t="array" aca="1" ref="M22" ca="1">'Tablica IO'!M178*INDEX(Model!$C$93:$CA$93,Model!$A22) + IF(wplyw_cen_import_wlaczony,'Tablica IO'!M256*INDEX(Model!$C$2:$CA$2,Model!$A22),'Tablica IO'!M256*1)</f>
        <v>1.0495775441774658E-3</v>
      </c>
      <c r="N22" s="222" cm="1">
        <f t="array" aca="1" ref="N22" ca="1">'Tablica IO'!N178*INDEX(Model!$C$93:$CA$93,Model!$A22) + IF(wplyw_cen_import_wlaczony,'Tablica IO'!N256*INDEX(Model!$C$2:$CA$2,Model!$A22),'Tablica IO'!N256*1)</f>
        <v>3.8469361538074102E-4</v>
      </c>
      <c r="O22" s="222" cm="1">
        <f t="array" aca="1" ref="O22" ca="1">'Tablica IO'!O178*INDEX(Model!$C$93:$CA$93,Model!$A22) + IF(wplyw_cen_import_wlaczony,'Tablica IO'!O256*INDEX(Model!$C$2:$CA$2,Model!$A22),'Tablica IO'!O256*1)</f>
        <v>1.7111664189937929E-4</v>
      </c>
      <c r="P22" s="222" cm="1">
        <f t="array" aca="1" ref="P22" ca="1">'Tablica IO'!P178*INDEX(Model!$C$93:$CA$93,Model!$A22) + IF(wplyw_cen_import_wlaczony,'Tablica IO'!P256*INDEX(Model!$C$2:$CA$2,Model!$A22),'Tablica IO'!P256*1)</f>
        <v>5.946061692092441E-5</v>
      </c>
      <c r="Q22" s="222" cm="1">
        <f t="array" aca="1" ref="Q22" ca="1">'Tablica IO'!Q178*INDEX(Model!$C$93:$CA$93,Model!$A22) + IF(wplyw_cen_import_wlaczony,'Tablica IO'!Q256*INDEX(Model!$C$2:$CA$2,Model!$A22),'Tablica IO'!Q256*1)</f>
        <v>1.3186384866577244E-4</v>
      </c>
      <c r="R22" s="222" cm="1">
        <f t="array" aca="1" ref="R22" ca="1">'Tablica IO'!R178*INDEX(Model!$C$93:$CA$93,Model!$A22) + IF(wplyw_cen_import_wlaczony,'Tablica IO'!R256*INDEX(Model!$C$2:$CA$2,Model!$A22),'Tablica IO'!R256*1)</f>
        <v>1.923479480798864E-4</v>
      </c>
      <c r="S22" s="222" cm="1">
        <f t="array" aca="1" ref="S22" ca="1">'Tablica IO'!S178*INDEX(Model!$C$93:$CA$93,Model!$A22) + IF(wplyw_cen_import_wlaczony,'Tablica IO'!S256*INDEX(Model!$C$2:$CA$2,Model!$A22),'Tablica IO'!S256*1)</f>
        <v>3.75747088631882E-4</v>
      </c>
      <c r="T22" s="222" cm="1">
        <f t="array" aca="1" ref="T22" ca="1">'Tablica IO'!T178*INDEX(Model!$C$93:$CA$93,Model!$A22) + IF(wplyw_cen_import_wlaczony,'Tablica IO'!T256*INDEX(Model!$C$2:$CA$2,Model!$A22),'Tablica IO'!T256*1)</f>
        <v>2.4511516859524721E-4</v>
      </c>
      <c r="U22" s="222" cm="1">
        <f t="array" aca="1" ref="U22" ca="1">'Tablica IO'!U178*INDEX(Model!$C$93:$CA$93,Model!$A22) + IF(wplyw_cen_import_wlaczony,'Tablica IO'!U256*INDEX(Model!$C$2:$CA$2,Model!$A22),'Tablica IO'!U256*1)</f>
        <v>7.485134032037676E-4</v>
      </c>
      <c r="V22" s="222" cm="1">
        <f t="array" aca="1" ref="V22" ca="1">'Tablica IO'!V178*INDEX(Model!$C$93:$CA$93,Model!$A22) + IF(wplyw_cen_import_wlaczony,'Tablica IO'!V256*INDEX(Model!$C$2:$CA$2,Model!$A22),'Tablica IO'!V256*1)</f>
        <v>9.7852176119093211E-4</v>
      </c>
      <c r="W22" s="222" cm="1">
        <f t="array" aca="1" ref="W22" ca="1">'Tablica IO'!W178*INDEX(Model!$C$93:$CA$93,Model!$A22) + IF(wplyw_cen_import_wlaczony,'Tablica IO'!W256*INDEX(Model!$C$2:$CA$2,Model!$A22),'Tablica IO'!W256*1)</f>
        <v>5.1715672562055242E-4</v>
      </c>
      <c r="X22" s="222" cm="1">
        <f t="array" aca="1" ref="X22" ca="1">'Tablica IO'!X178*INDEX(Model!$C$93:$CA$93,Model!$A22) + IF(wplyw_cen_import_wlaczony,'Tablica IO'!X256*INDEX(Model!$C$2:$CA$2,Model!$A22),'Tablica IO'!X256*1)</f>
        <v>7.1157710088272494E-5</v>
      </c>
      <c r="Y22" s="222" cm="1">
        <f t="array" aca="1" ref="Y22" ca="1">'Tablica IO'!Y178*INDEX(Model!$C$93:$CA$93,Model!$A22) + IF(wplyw_cen_import_wlaczony,'Tablica IO'!Y256*INDEX(Model!$C$2:$CA$2,Model!$A22),'Tablica IO'!Y256*1)</f>
        <v>4.4707204427353576E-4</v>
      </c>
      <c r="Z22" s="222" cm="1">
        <f t="array" aca="1" ref="Z22" ca="1">'Tablica IO'!Z178*INDEX(Model!$C$93:$CA$93,Model!$A22) + IF(wplyw_cen_import_wlaczony,'Tablica IO'!Z256*INDEX(Model!$C$2:$CA$2,Model!$A22),'Tablica IO'!Z256*1)</f>
        <v>3.7679436231981522E-4</v>
      </c>
      <c r="AA22" s="222" cm="1">
        <f t="array" aca="1" ref="AA22" ca="1">'Tablica IO'!AA178*INDEX(Model!$C$93:$CA$93,Model!$A22) + IF(wplyw_cen_import_wlaczony,'Tablica IO'!AA256*INDEX(Model!$C$2:$CA$2,Model!$A22),'Tablica IO'!AA256*1)</f>
        <v>1.8776051092633827E-4</v>
      </c>
      <c r="AB22" s="222" cm="1">
        <f t="array" aca="1" ref="AB22" ca="1">'Tablica IO'!AB178*INDEX(Model!$C$93:$CA$93,Model!$A22) + IF(wplyw_cen_import_wlaczony,'Tablica IO'!AB256*INDEX(Model!$C$2:$CA$2,Model!$A22),'Tablica IO'!AB256*1)</f>
        <v>1.0595891923737446E-3</v>
      </c>
      <c r="AC22" s="222" cm="1">
        <f t="array" aca="1" ref="AC22" ca="1">'Tablica IO'!AC178*INDEX(Model!$C$93:$CA$93,Model!$A22) + IF(wplyw_cen_import_wlaczony,'Tablica IO'!AC256*INDEX(Model!$C$2:$CA$2,Model!$A22),'Tablica IO'!AC256*1)</f>
        <v>4.1358639375010584E-4</v>
      </c>
      <c r="AD22" s="222" cm="1">
        <f t="array" aca="1" ref="AD22" ca="1">'Tablica IO'!AD178*INDEX(Model!$C$93:$CA$93,Model!$A22) + IF(wplyw_cen_import_wlaczony,'Tablica IO'!AD256*INDEX(Model!$C$2:$CA$2,Model!$A22),'Tablica IO'!AD256*1)</f>
        <v>5.3697957631794197E-4</v>
      </c>
      <c r="AE22" s="222" cm="1">
        <f t="array" aca="1" ref="AE22" ca="1">'Tablica IO'!AE178*INDEX(Model!$C$93:$CA$93,Model!$A22) + IF(wplyw_cen_import_wlaczony,'Tablica IO'!AE256*INDEX(Model!$C$2:$CA$2,Model!$A22),'Tablica IO'!AE256*1)</f>
        <v>7.2141654341004353E-4</v>
      </c>
      <c r="AF22" s="222" cm="1">
        <f t="array" aca="1" ref="AF22" ca="1">'Tablica IO'!AF178*INDEX(Model!$C$93:$CA$93,Model!$A22) + IF(wplyw_cen_import_wlaczony,'Tablica IO'!AF256*INDEX(Model!$C$2:$CA$2,Model!$A22),'Tablica IO'!AF256*1)</f>
        <v>3.2606254231306746E-4</v>
      </c>
      <c r="AG22" s="222" cm="1">
        <f t="array" aca="1" ref="AG22" ca="1">'Tablica IO'!AG178*INDEX(Model!$C$93:$CA$93,Model!$A22) + IF(wplyw_cen_import_wlaczony,'Tablica IO'!AG256*INDEX(Model!$C$2:$CA$2,Model!$A22),'Tablica IO'!AG256*1)</f>
        <v>3.5807694133512078E-4</v>
      </c>
      <c r="AH22" s="222" cm="1">
        <f t="array" aca="1" ref="AH22" ca="1">'Tablica IO'!AH178*INDEX(Model!$C$93:$CA$93,Model!$A22) + IF(wplyw_cen_import_wlaczony,'Tablica IO'!AH256*INDEX(Model!$C$2:$CA$2,Model!$A22),'Tablica IO'!AH256*1)</f>
        <v>2.8758615502673791E-4</v>
      </c>
      <c r="AI22" s="222" cm="1">
        <f t="array" aca="1" ref="AI22" ca="1">'Tablica IO'!AI178*INDEX(Model!$C$93:$CA$93,Model!$A22) + IF(wplyw_cen_import_wlaczony,'Tablica IO'!AI256*INDEX(Model!$C$2:$CA$2,Model!$A22),'Tablica IO'!AI256*1)</f>
        <v>7.2497061747131097E-4</v>
      </c>
      <c r="AJ22" s="222" cm="1">
        <f t="array" aca="1" ref="AJ22" ca="1">'Tablica IO'!AJ178*INDEX(Model!$C$93:$CA$93,Model!$A22) + IF(wplyw_cen_import_wlaczony,'Tablica IO'!AJ256*INDEX(Model!$C$2:$CA$2,Model!$A22),'Tablica IO'!AJ256*1)</f>
        <v>3.8793501662573069E-4</v>
      </c>
      <c r="AK22" s="222" cm="1">
        <f t="array" aca="1" ref="AK22" ca="1">'Tablica IO'!AK178*INDEX(Model!$C$93:$CA$93,Model!$A22) + IF(wplyw_cen_import_wlaczony,'Tablica IO'!AK256*INDEX(Model!$C$2:$CA$2,Model!$A22),'Tablica IO'!AK256*1)</f>
        <v>4.7096923245665452E-4</v>
      </c>
      <c r="AL22" s="222" cm="1">
        <f t="array" aca="1" ref="AL22" ca="1">'Tablica IO'!AL178*INDEX(Model!$C$93:$CA$93,Model!$A22) + IF(wplyw_cen_import_wlaczony,'Tablica IO'!AL256*INDEX(Model!$C$2:$CA$2,Model!$A22),'Tablica IO'!AL256*1)</f>
        <v>4.5841713197780339E-4</v>
      </c>
      <c r="AM22" s="222" cm="1">
        <f t="array" aca="1" ref="AM22" ca="1">'Tablica IO'!AM178*INDEX(Model!$C$93:$CA$93,Model!$A22) + IF(wplyw_cen_import_wlaczony,'Tablica IO'!AM256*INDEX(Model!$C$2:$CA$2,Model!$A22),'Tablica IO'!AM256*1)</f>
        <v>1.7005564124445669E-4</v>
      </c>
      <c r="AN22" s="222" cm="1">
        <f t="array" aca="1" ref="AN22" ca="1">'Tablica IO'!AN178*INDEX(Model!$C$93:$CA$93,Model!$A22) + IF(wplyw_cen_import_wlaczony,'Tablica IO'!AN256*INDEX(Model!$C$2:$CA$2,Model!$A22),'Tablica IO'!AN256*1)</f>
        <v>3.3968231190877881E-4</v>
      </c>
      <c r="AO22" s="222" cm="1">
        <f t="array" aca="1" ref="AO22" ca="1">'Tablica IO'!AO178*INDEX(Model!$C$93:$CA$93,Model!$A22) + IF(wplyw_cen_import_wlaczony,'Tablica IO'!AO256*INDEX(Model!$C$2:$CA$2,Model!$A22),'Tablica IO'!AO256*1)</f>
        <v>2.7519844850708492E-4</v>
      </c>
      <c r="AP22" s="222" cm="1">
        <f t="array" aca="1" ref="AP22" ca="1">'Tablica IO'!AP178*INDEX(Model!$C$93:$CA$93,Model!$A22) + IF(wplyw_cen_import_wlaczony,'Tablica IO'!AP256*INDEX(Model!$C$2:$CA$2,Model!$A22),'Tablica IO'!AP256*1)</f>
        <v>1.3239430242024583E-3</v>
      </c>
      <c r="AQ22" s="222" cm="1">
        <f t="array" aca="1" ref="AQ22" ca="1">'Tablica IO'!AQ178*INDEX(Model!$C$93:$CA$93,Model!$A22) + IF(wplyw_cen_import_wlaczony,'Tablica IO'!AQ256*INDEX(Model!$C$2:$CA$2,Model!$A22),'Tablica IO'!AQ256*1)</f>
        <v>6.8267372302437449E-4</v>
      </c>
      <c r="AR22" s="222" cm="1">
        <f t="array" aca="1" ref="AR22" ca="1">'Tablica IO'!AR178*INDEX(Model!$C$93:$CA$93,Model!$A22) + IF(wplyw_cen_import_wlaczony,'Tablica IO'!AR256*INDEX(Model!$C$2:$CA$2,Model!$A22),'Tablica IO'!AR256*1)</f>
        <v>6.8256523643179352E-4</v>
      </c>
      <c r="AS22" s="222" cm="1">
        <f t="array" aca="1" ref="AS22" ca="1">'Tablica IO'!AS178*INDEX(Model!$C$93:$CA$93,Model!$A22) + IF(wplyw_cen_import_wlaczony,'Tablica IO'!AS256*INDEX(Model!$C$2:$CA$2,Model!$A22),'Tablica IO'!AS256*1)</f>
        <v>4.1446276455944836E-5</v>
      </c>
      <c r="AT22" s="222" cm="1">
        <f t="array" aca="1" ref="AT22" ca="1">'Tablica IO'!AT178*INDEX(Model!$C$93:$CA$93,Model!$A22) + IF(wplyw_cen_import_wlaczony,'Tablica IO'!AT256*INDEX(Model!$C$2:$CA$2,Model!$A22),'Tablica IO'!AT256*1)</f>
        <v>4.6915058661392393E-4</v>
      </c>
      <c r="AU22" s="222" cm="1">
        <f t="array" aca="1" ref="AU22" ca="1">'Tablica IO'!AU178*INDEX(Model!$C$93:$CA$93,Model!$A22) + IF(wplyw_cen_import_wlaczony,'Tablica IO'!AU256*INDEX(Model!$C$2:$CA$2,Model!$A22),'Tablica IO'!AU256*1)</f>
        <v>6.6150529725339641E-6</v>
      </c>
      <c r="AV22" s="222" cm="1">
        <f t="array" aca="1" ref="AV22" ca="1">'Tablica IO'!AV178*INDEX(Model!$C$93:$CA$93,Model!$A22) + IF(wplyw_cen_import_wlaczony,'Tablica IO'!AV256*INDEX(Model!$C$2:$CA$2,Model!$A22),'Tablica IO'!AV256*1)</f>
        <v>2.3707844248063116E-5</v>
      </c>
      <c r="AW22" s="222" cm="1">
        <f t="array" aca="1" ref="AW22" ca="1">'Tablica IO'!AW178*INDEX(Model!$C$93:$CA$93,Model!$A22) + IF(wplyw_cen_import_wlaczony,'Tablica IO'!AW256*INDEX(Model!$C$2:$CA$2,Model!$A22),'Tablica IO'!AW256*1)</f>
        <v>2.6110443073884906E-5</v>
      </c>
      <c r="AX22" s="222" cm="1">
        <f t="array" aca="1" ref="AX22" ca="1">'Tablica IO'!AX178*INDEX(Model!$C$93:$CA$93,Model!$A22) + IF(wplyw_cen_import_wlaczony,'Tablica IO'!AX256*INDEX(Model!$C$2:$CA$2,Model!$A22),'Tablica IO'!AX256*1)</f>
        <v>1.5591605382205422E-5</v>
      </c>
      <c r="AY22" s="222" cm="1">
        <f t="array" aca="1" ref="AY22" ca="1">'Tablica IO'!AY178*INDEX(Model!$C$93:$CA$93,Model!$A22) + IF(wplyw_cen_import_wlaczony,'Tablica IO'!AY256*INDEX(Model!$C$2:$CA$2,Model!$A22),'Tablica IO'!AY256*1)</f>
        <v>7.3325935574130945E-4</v>
      </c>
      <c r="AZ22" s="222" cm="1">
        <f t="array" aca="1" ref="AZ22" ca="1">'Tablica IO'!AZ178*INDEX(Model!$C$93:$CA$93,Model!$A22) + IF(wplyw_cen_import_wlaczony,'Tablica IO'!AZ256*INDEX(Model!$C$2:$CA$2,Model!$A22),'Tablica IO'!AZ256*1)</f>
        <v>0</v>
      </c>
      <c r="BA22" s="222" cm="1">
        <f t="array" aca="1" ref="BA22" ca="1">'Tablica IO'!BA178*INDEX(Model!$C$93:$CA$93,Model!$A22) + IF(wplyw_cen_import_wlaczony,'Tablica IO'!BA256*INDEX(Model!$C$2:$CA$2,Model!$A22),'Tablica IO'!BA256*1)</f>
        <v>1.0112435844021739E-6</v>
      </c>
      <c r="BB22" s="222" cm="1">
        <f t="array" aca="1" ref="BB22" ca="1">'Tablica IO'!BB178*INDEX(Model!$C$93:$CA$93,Model!$A22) + IF(wplyw_cen_import_wlaczony,'Tablica IO'!BB256*INDEX(Model!$C$2:$CA$2,Model!$A22),'Tablica IO'!BB256*1)</f>
        <v>2.2673370265844441E-4</v>
      </c>
      <c r="BC22" s="222" cm="1">
        <f t="array" aca="1" ref="BC22" ca="1">'Tablica IO'!BC178*INDEX(Model!$C$93:$CA$93,Model!$A22) + IF(wplyw_cen_import_wlaczony,'Tablica IO'!BC256*INDEX(Model!$C$2:$CA$2,Model!$A22),'Tablica IO'!BC256*1)</f>
        <v>1.8012968728728287E-5</v>
      </c>
      <c r="BD22" s="222" cm="1">
        <f t="array" aca="1" ref="BD22" ca="1">'Tablica IO'!BD178*INDEX(Model!$C$93:$CA$93,Model!$A22) + IF(wplyw_cen_import_wlaczony,'Tablica IO'!BD256*INDEX(Model!$C$2:$CA$2,Model!$A22),'Tablica IO'!BD256*1)</f>
        <v>6.8031295030844617E-5</v>
      </c>
      <c r="BE22" s="222" cm="1">
        <f t="array" aca="1" ref="BE22" ca="1">'Tablica IO'!BE178*INDEX(Model!$C$93:$CA$93,Model!$A22) + IF(wplyw_cen_import_wlaczony,'Tablica IO'!BE256*INDEX(Model!$C$2:$CA$2,Model!$A22),'Tablica IO'!BE256*1)</f>
        <v>1.2978610359811078E-4</v>
      </c>
      <c r="BF22" s="222" cm="1">
        <f t="array" aca="1" ref="BF22" ca="1">'Tablica IO'!BF178*INDEX(Model!$C$93:$CA$93,Model!$A22) + IF(wplyw_cen_import_wlaczony,'Tablica IO'!BF256*INDEX(Model!$C$2:$CA$2,Model!$A22),'Tablica IO'!BF256*1)</f>
        <v>3.9578973457856195E-4</v>
      </c>
      <c r="BG22" s="222" cm="1">
        <f t="array" aca="1" ref="BG22" ca="1">'Tablica IO'!BG178*INDEX(Model!$C$93:$CA$93,Model!$A22) + IF(wplyw_cen_import_wlaczony,'Tablica IO'!BG256*INDEX(Model!$C$2:$CA$2,Model!$A22),'Tablica IO'!BG256*1)</f>
        <v>1.0227150832447103E-4</v>
      </c>
      <c r="BH22" s="222" cm="1">
        <f t="array" aca="1" ref="BH22" ca="1">'Tablica IO'!BH178*INDEX(Model!$C$93:$CA$93,Model!$A22) + IF(wplyw_cen_import_wlaczony,'Tablica IO'!BH256*INDEX(Model!$C$2:$CA$2,Model!$A22),'Tablica IO'!BH256*1)</f>
        <v>1.9599895324513638E-5</v>
      </c>
      <c r="BI22" s="222" cm="1">
        <f t="array" aca="1" ref="BI22" ca="1">'Tablica IO'!BI178*INDEX(Model!$C$93:$CA$93,Model!$A22) + IF(wplyw_cen_import_wlaczony,'Tablica IO'!BI256*INDEX(Model!$C$2:$CA$2,Model!$A22),'Tablica IO'!BI256*1)</f>
        <v>6.084462839851837E-5</v>
      </c>
      <c r="BJ22" s="222" cm="1">
        <f t="array" aca="1" ref="BJ22" ca="1">'Tablica IO'!BJ178*INDEX(Model!$C$93:$CA$93,Model!$A22) + IF(wplyw_cen_import_wlaczony,'Tablica IO'!BJ256*INDEX(Model!$C$2:$CA$2,Model!$A22),'Tablica IO'!BJ256*1)</f>
        <v>1.5800875450785803E-3</v>
      </c>
      <c r="BK22" s="222" cm="1">
        <f t="array" aca="1" ref="BK22" ca="1">'Tablica IO'!BK178*INDEX(Model!$C$93:$CA$93,Model!$A22) + IF(wplyw_cen_import_wlaczony,'Tablica IO'!BK256*INDEX(Model!$C$2:$CA$2,Model!$A22),'Tablica IO'!BK256*1)</f>
        <v>2.5927967206786757E-4</v>
      </c>
      <c r="BL22" s="222" cm="1">
        <f t="array" aca="1" ref="BL22" ca="1">'Tablica IO'!BL178*INDEX(Model!$C$93:$CA$93,Model!$A22) + IF(wplyw_cen_import_wlaczony,'Tablica IO'!BL256*INDEX(Model!$C$2:$CA$2,Model!$A22),'Tablica IO'!BL256*1)</f>
        <v>4.2947416902092963E-4</v>
      </c>
      <c r="BM22" s="222" cm="1">
        <f t="array" aca="1" ref="BM22" ca="1">'Tablica IO'!BM178*INDEX(Model!$C$93:$CA$93,Model!$A22) + IF(wplyw_cen_import_wlaczony,'Tablica IO'!BM256*INDEX(Model!$C$2:$CA$2,Model!$A22),'Tablica IO'!BM256*1)</f>
        <v>3.9439298686763467E-3</v>
      </c>
      <c r="BN22" s="222" cm="1">
        <f t="array" aca="1" ref="BN22" ca="1">'Tablica IO'!BN178*INDEX(Model!$C$93:$CA$93,Model!$A22) + IF(wplyw_cen_import_wlaczony,'Tablica IO'!BN256*INDEX(Model!$C$2:$CA$2,Model!$A22),'Tablica IO'!BN256*1)</f>
        <v>1.2312733805669644E-3</v>
      </c>
      <c r="BO22" s="222" cm="1">
        <f t="array" aca="1" ref="BO22" ca="1">'Tablica IO'!BO178*INDEX(Model!$C$93:$CA$93,Model!$A22) + IF(wplyw_cen_import_wlaczony,'Tablica IO'!BO256*INDEX(Model!$C$2:$CA$2,Model!$A22),'Tablica IO'!BO256*1)</f>
        <v>1.825001754446248E-4</v>
      </c>
      <c r="BP22" s="222" cm="1">
        <f t="array" aca="1" ref="BP22" ca="1">'Tablica IO'!BP178*INDEX(Model!$C$93:$CA$93,Model!$A22) + IF(wplyw_cen_import_wlaczony,'Tablica IO'!BP256*INDEX(Model!$C$2:$CA$2,Model!$A22),'Tablica IO'!BP256*1)</f>
        <v>3.0611014040398785E-3</v>
      </c>
      <c r="BQ22" s="222" cm="1">
        <f t="array" aca="1" ref="BQ22" ca="1">'Tablica IO'!BQ178*INDEX(Model!$C$93:$CA$93,Model!$A22) + IF(wplyw_cen_import_wlaczony,'Tablica IO'!BQ256*INDEX(Model!$C$2:$CA$2,Model!$A22),'Tablica IO'!BQ256*1)</f>
        <v>1.006740935813311E-4</v>
      </c>
      <c r="BR22" s="222" cm="1">
        <f t="array" aca="1" ref="BR22" ca="1">'Tablica IO'!BR178*INDEX(Model!$C$93:$CA$93,Model!$A22) + IF(wplyw_cen_import_wlaczony,'Tablica IO'!BR256*INDEX(Model!$C$2:$CA$2,Model!$A22),'Tablica IO'!BR256*1)</f>
        <v>2.0478535109138901E-4</v>
      </c>
      <c r="BS22" s="222" cm="1">
        <f t="array" aca="1" ref="BS22" ca="1">'Tablica IO'!BS178*INDEX(Model!$C$93:$CA$93,Model!$A22) + IF(wplyw_cen_import_wlaczony,'Tablica IO'!BS256*INDEX(Model!$C$2:$CA$2,Model!$A22),'Tablica IO'!BS256*1)</f>
        <v>3.818647551451814E-4</v>
      </c>
      <c r="BT22" s="222" cm="1">
        <f t="array" aca="1" ref="BT22" ca="1">'Tablica IO'!BT178*INDEX(Model!$C$93:$CA$93,Model!$A22) + IF(wplyw_cen_import_wlaczony,'Tablica IO'!BT256*INDEX(Model!$C$2:$CA$2,Model!$A22),'Tablica IO'!BT256*1)</f>
        <v>7.2511290598481948E-4</v>
      </c>
      <c r="BU22" s="222" cm="1">
        <f t="array" aca="1" ref="BU22" ca="1">'Tablica IO'!BU178*INDEX(Model!$C$93:$CA$93,Model!$A22) + IF(wplyw_cen_import_wlaczony,'Tablica IO'!BU256*INDEX(Model!$C$2:$CA$2,Model!$A22),'Tablica IO'!BU256*1)</f>
        <v>6.0414625531680097E-4</v>
      </c>
      <c r="BV22" s="222" cm="1">
        <f t="array" aca="1" ref="BV22" ca="1">'Tablica IO'!BV178*INDEX(Model!$C$93:$CA$93,Model!$A22) + IF(wplyw_cen_import_wlaczony,'Tablica IO'!BV256*INDEX(Model!$C$2:$CA$2,Model!$A22),'Tablica IO'!BV256*1)</f>
        <v>6.4065895210865944E-5</v>
      </c>
      <c r="BW22" s="222" cm="1">
        <f t="array" aca="1" ref="BW22" ca="1">'Tablica IO'!BW178*INDEX(Model!$C$93:$CA$93,Model!$A22) + IF(wplyw_cen_import_wlaczony,'Tablica IO'!BW256*INDEX(Model!$C$2:$CA$2,Model!$A22),'Tablica IO'!BW256*1)</f>
        <v>1.1413635752190903E-2</v>
      </c>
      <c r="BX22" s="222" cm="1">
        <f t="array" aca="1" ref="BX22" ca="1">'Tablica IO'!BX178*INDEX(Model!$C$93:$CA$93,Model!$A22) + IF(wplyw_cen_import_wlaczony,'Tablica IO'!BX256*INDEX(Model!$C$2:$CA$2,Model!$A22),'Tablica IO'!BX256*1)</f>
        <v>2.461408770633256E-3</v>
      </c>
      <c r="BY22" s="222" cm="1">
        <f t="array" aca="1" ref="BY22" ca="1">'Tablica IO'!BY178*INDEX(Model!$C$93:$CA$93,Model!$A22) + IF(wplyw_cen_import_wlaczony,'Tablica IO'!BY256*INDEX(Model!$C$2:$CA$2,Model!$A22),'Tablica IO'!BY256*1)</f>
        <v>3.1765712179813263E-5</v>
      </c>
      <c r="BZ22" s="222" cm="1">
        <f t="array" aca="1" ref="BZ22" ca="1">'Tablica IO'!BZ178*INDEX(Model!$C$93:$CA$93,Model!$A22) + IF(wplyw_cen_import_wlaczony,'Tablica IO'!BZ256*INDEX(Model!$C$2:$CA$2,Model!$A22),'Tablica IO'!BZ256*1)</f>
        <v>1.2886604917780845E-3</v>
      </c>
      <c r="CA22" s="222" cm="1">
        <f t="array" aca="1" ref="CA22" ca="1">'Tablica IO'!CA178*INDEX(Model!$C$93:$CA$93,Model!$A22) + IF(wplyw_cen_import_wlaczony,'Tablica IO'!CA256*INDEX(Model!$C$2:$CA$2,Model!$A22),'Tablica IO'!CA256*1)</f>
        <v>0</v>
      </c>
      <c r="CB22" s="247">
        <f ca="1">'Tablica IO'!CD178*INDEX(Model!$C$93:$CA$93,Model!$A22)+'Tablica IO'!CD256*INDEX(Model!$C$2:$CA$2,Model!$A22)</f>
        <v>1.900876770166305E-2</v>
      </c>
      <c r="CC22" s="188">
        <f ca="1">'Tablica IO'!CE178*INDEX(Model!$C$93:$CA$93,Model!$A22)+'Tablica IO'!CE256*INDEX(Model!$C$2:$CA$2,Model!$A22)</f>
        <v>7.5440986571337755E-4</v>
      </c>
      <c r="CD22" s="188">
        <f ca="1">'Tablica IO'!CF178*INDEX(Model!$C$93:$CA$93,Model!$A22)+'Tablica IO'!CF256*INDEX(Model!$C$2:$CA$2,Model!$A22)</f>
        <v>2.7861327185164327E-3</v>
      </c>
      <c r="CE22" s="189">
        <f ca="1">'Tablica IO'!CG178*INDEX(Model!$C$93:$CA$93,Model!$A22)+'Tablica IO'!CG256*INDEX(Model!$C$2:$CA$2,Model!$A22)</f>
        <v>1.7146171336117219E-2</v>
      </c>
    </row>
    <row r="23" spans="1:83" x14ac:dyDescent="0.25">
      <c r="A23" s="164">
        <v>11</v>
      </c>
      <c r="B23" s="172" t="s">
        <v>10</v>
      </c>
      <c r="C23" s="221" cm="1">
        <f t="array" aca="1" ref="C23" ca="1">'Tablica IO'!C179*INDEX(Model!$C$93:$CA$93,Model!$A23) + IF(wplyw_cen_import_wlaczony,'Tablica IO'!C257*INDEX(Model!$C$2:$CA$2,Model!$A23),'Tablica IO'!C257*1)</f>
        <v>2.8246210851399851E-5</v>
      </c>
      <c r="D23" s="222" cm="1">
        <f t="array" aca="1" ref="D23" ca="1">'Tablica IO'!D179*INDEX(Model!$C$93:$CA$93,Model!$A23) + IF(wplyw_cen_import_wlaczony,'Tablica IO'!D257*INDEX(Model!$C$2:$CA$2,Model!$A23),'Tablica IO'!D257*1)</f>
        <v>5.6162238846297545E-4</v>
      </c>
      <c r="E23" s="222" cm="1">
        <f t="array" aca="1" ref="E23" ca="1">'Tablica IO'!E179*INDEX(Model!$C$93:$CA$93,Model!$A23) + IF(wplyw_cen_import_wlaczony,'Tablica IO'!E257*INDEX(Model!$C$2:$CA$2,Model!$A23),'Tablica IO'!E257*1)</f>
        <v>1.0533209122942664E-4</v>
      </c>
      <c r="F23" s="222" cm="1">
        <f t="array" aca="1" ref="F23" ca="1">'Tablica IO'!F179*INDEX(Model!$C$93:$CA$93,Model!$A23) + IF(wplyw_cen_import_wlaczony,'Tablica IO'!F257*INDEX(Model!$C$2:$CA$2,Model!$A23),'Tablica IO'!F257*1)</f>
        <v>9.4900434088459207E-4</v>
      </c>
      <c r="G23" s="222" cm="1">
        <f t="array" aca="1" ref="G23" ca="1">'Tablica IO'!G179*INDEX(Model!$C$93:$CA$93,Model!$A23) + IF(wplyw_cen_import_wlaczony,'Tablica IO'!G257*INDEX(Model!$C$2:$CA$2,Model!$A23),'Tablica IO'!G257*1)</f>
        <v>3.3901494364334717E-4</v>
      </c>
      <c r="H23" s="222" cm="1">
        <f t="array" aca="1" ref="H23" ca="1">'Tablica IO'!H179*INDEX(Model!$C$93:$CA$93,Model!$A23) + IF(wplyw_cen_import_wlaczony,'Tablica IO'!H257*INDEX(Model!$C$2:$CA$2,Model!$A23),'Tablica IO'!H257*1)</f>
        <v>1.3549952276567249E-4</v>
      </c>
      <c r="I23" s="222" cm="1">
        <f t="array" aca="1" ref="I23" ca="1">'Tablica IO'!I179*INDEX(Model!$C$93:$CA$93,Model!$A23) + IF(wplyw_cen_import_wlaczony,'Tablica IO'!I257*INDEX(Model!$C$2:$CA$2,Model!$A23),'Tablica IO'!I257*1)</f>
        <v>9.5412458931682168E-5</v>
      </c>
      <c r="J23" s="222" cm="1">
        <f t="array" aca="1" ref="J23" ca="1">'Tablica IO'!J179*INDEX(Model!$C$93:$CA$93,Model!$A23) + IF(wplyw_cen_import_wlaczony,'Tablica IO'!J257*INDEX(Model!$C$2:$CA$2,Model!$A23),'Tablica IO'!J257*1)</f>
        <v>2.0478646778973755E-5</v>
      </c>
      <c r="K23" s="222" cm="1">
        <f t="array" aca="1" ref="K23" ca="1">'Tablica IO'!K179*INDEX(Model!$C$93:$CA$93,Model!$A23) + IF(wplyw_cen_import_wlaczony,'Tablica IO'!K257*INDEX(Model!$C$2:$CA$2,Model!$A23),'Tablica IO'!K257*1)</f>
        <v>1.300585029718145E-3</v>
      </c>
      <c r="L23" s="222" cm="1">
        <f t="array" aca="1" ref="L23" ca="1">'Tablica IO'!L179*INDEX(Model!$C$93:$CA$93,Model!$A23) + IF(wplyw_cen_import_wlaczony,'Tablica IO'!L257*INDEX(Model!$C$2:$CA$2,Model!$A23),'Tablica IO'!L257*1)</f>
        <v>4.8852176956447092E-3</v>
      </c>
      <c r="M23" s="222" cm="1">
        <f t="array" aca="1" ref="M23" ca="1">'Tablica IO'!M179*INDEX(Model!$C$93:$CA$93,Model!$A23) + IF(wplyw_cen_import_wlaczony,'Tablica IO'!M257*INDEX(Model!$C$2:$CA$2,Model!$A23),'Tablica IO'!M257*1)</f>
        <v>0.25259929856951241</v>
      </c>
      <c r="N23" s="222" cm="1">
        <f t="array" aca="1" ref="N23" ca="1">'Tablica IO'!N179*INDEX(Model!$C$93:$CA$93,Model!$A23) + IF(wplyw_cen_import_wlaczony,'Tablica IO'!N257*INDEX(Model!$C$2:$CA$2,Model!$A23),'Tablica IO'!N257*1)</f>
        <v>2.0486790482549791E-4</v>
      </c>
      <c r="O23" s="222" cm="1">
        <f t="array" aca="1" ref="O23" ca="1">'Tablica IO'!O179*INDEX(Model!$C$93:$CA$93,Model!$A23) + IF(wplyw_cen_import_wlaczony,'Tablica IO'!O257*INDEX(Model!$C$2:$CA$2,Model!$A23),'Tablica IO'!O257*1)</f>
        <v>2.5305881603430807E-4</v>
      </c>
      <c r="P23" s="222" cm="1">
        <f t="array" aca="1" ref="P23" ca="1">'Tablica IO'!P179*INDEX(Model!$C$93:$CA$93,Model!$A23) + IF(wplyw_cen_import_wlaczony,'Tablica IO'!P257*INDEX(Model!$C$2:$CA$2,Model!$A23),'Tablica IO'!P257*1)</f>
        <v>2.4462219346887498E-4</v>
      </c>
      <c r="Q23" s="222" cm="1">
        <f t="array" aca="1" ref="Q23" ca="1">'Tablica IO'!Q179*INDEX(Model!$C$93:$CA$93,Model!$A23) + IF(wplyw_cen_import_wlaczony,'Tablica IO'!Q257*INDEX(Model!$C$2:$CA$2,Model!$A23),'Tablica IO'!Q257*1)</f>
        <v>1.1482706494063267E-4</v>
      </c>
      <c r="R23" s="222" cm="1">
        <f t="array" aca="1" ref="R23" ca="1">'Tablica IO'!R179*INDEX(Model!$C$93:$CA$93,Model!$A23) + IF(wplyw_cen_import_wlaczony,'Tablica IO'!R257*INDEX(Model!$C$2:$CA$2,Model!$A23),'Tablica IO'!R257*1)</f>
        <v>3.9895556554391586E-5</v>
      </c>
      <c r="S23" s="222" cm="1">
        <f t="array" aca="1" ref="S23" ca="1">'Tablica IO'!S179*INDEX(Model!$C$93:$CA$93,Model!$A23) + IF(wplyw_cen_import_wlaczony,'Tablica IO'!S257*INDEX(Model!$C$2:$CA$2,Model!$A23),'Tablica IO'!S257*1)</f>
        <v>2.9045857017357414E-5</v>
      </c>
      <c r="T23" s="222" cm="1">
        <f t="array" aca="1" ref="T23" ca="1">'Tablica IO'!T179*INDEX(Model!$C$93:$CA$93,Model!$A23) + IF(wplyw_cen_import_wlaczony,'Tablica IO'!T257*INDEX(Model!$C$2:$CA$2,Model!$A23),'Tablica IO'!T257*1)</f>
        <v>1.2991978715879338E-4</v>
      </c>
      <c r="U23" s="222" cm="1">
        <f t="array" aca="1" ref="U23" ca="1">'Tablica IO'!U179*INDEX(Model!$C$93:$CA$93,Model!$A23) + IF(wplyw_cen_import_wlaczony,'Tablica IO'!U257*INDEX(Model!$C$2:$CA$2,Model!$A23),'Tablica IO'!U257*1)</f>
        <v>1.1704963870529971E-4</v>
      </c>
      <c r="V23" s="222" cm="1">
        <f t="array" aca="1" ref="V23" ca="1">'Tablica IO'!V179*INDEX(Model!$C$93:$CA$93,Model!$A23) + IF(wplyw_cen_import_wlaczony,'Tablica IO'!V257*INDEX(Model!$C$2:$CA$2,Model!$A23),'Tablica IO'!V257*1)</f>
        <v>6.0700665003787278E-5</v>
      </c>
      <c r="W23" s="222" cm="1">
        <f t="array" aca="1" ref="W23" ca="1">'Tablica IO'!W179*INDEX(Model!$C$93:$CA$93,Model!$A23) + IF(wplyw_cen_import_wlaczony,'Tablica IO'!W257*INDEX(Model!$C$2:$CA$2,Model!$A23),'Tablica IO'!W257*1)</f>
        <v>5.0045069647919891E-5</v>
      </c>
      <c r="X23" s="222" cm="1">
        <f t="array" aca="1" ref="X23" ca="1">'Tablica IO'!X179*INDEX(Model!$C$93:$CA$93,Model!$A23) + IF(wplyw_cen_import_wlaczony,'Tablica IO'!X257*INDEX(Model!$C$2:$CA$2,Model!$A23),'Tablica IO'!X257*1)</f>
        <v>1.0137135403623914E-5</v>
      </c>
      <c r="Y23" s="222" cm="1">
        <f t="array" aca="1" ref="Y23" ca="1">'Tablica IO'!Y179*INDEX(Model!$C$93:$CA$93,Model!$A23) + IF(wplyw_cen_import_wlaczony,'Tablica IO'!Y257*INDEX(Model!$C$2:$CA$2,Model!$A23),'Tablica IO'!Y257*1)</f>
        <v>1.6729236681140046E-4</v>
      </c>
      <c r="Z23" s="222" cm="1">
        <f t="array" aca="1" ref="Z23" ca="1">'Tablica IO'!Z179*INDEX(Model!$C$93:$CA$93,Model!$A23) + IF(wplyw_cen_import_wlaczony,'Tablica IO'!Z257*INDEX(Model!$C$2:$CA$2,Model!$A23),'Tablica IO'!Z257*1)</f>
        <v>8.2353430971179712E-5</v>
      </c>
      <c r="AA23" s="222" cm="1">
        <f t="array" aca="1" ref="AA23" ca="1">'Tablica IO'!AA179*INDEX(Model!$C$93:$CA$93,Model!$A23) + IF(wplyw_cen_import_wlaczony,'Tablica IO'!AA257*INDEX(Model!$C$2:$CA$2,Model!$A23),'Tablica IO'!AA257*1)</f>
        <v>1.6851242678083051E-3</v>
      </c>
      <c r="AB23" s="222" cm="1">
        <f t="array" aca="1" ref="AB23" ca="1">'Tablica IO'!AB179*INDEX(Model!$C$93:$CA$93,Model!$A23) + IF(wplyw_cen_import_wlaczony,'Tablica IO'!AB257*INDEX(Model!$C$2:$CA$2,Model!$A23),'Tablica IO'!AB257*1)</f>
        <v>3.4981297726349953E-4</v>
      </c>
      <c r="AC23" s="222" cm="1">
        <f t="array" aca="1" ref="AC23" ca="1">'Tablica IO'!AC179*INDEX(Model!$C$93:$CA$93,Model!$A23) + IF(wplyw_cen_import_wlaczony,'Tablica IO'!AC257*INDEX(Model!$C$2:$CA$2,Model!$A23),'Tablica IO'!AC257*1)</f>
        <v>1.313290242408666E-2</v>
      </c>
      <c r="AD23" s="222" cm="1">
        <f t="array" aca="1" ref="AD23" ca="1">'Tablica IO'!AD179*INDEX(Model!$C$93:$CA$93,Model!$A23) + IF(wplyw_cen_import_wlaczony,'Tablica IO'!AD257*INDEX(Model!$C$2:$CA$2,Model!$A23),'Tablica IO'!AD257*1)</f>
        <v>2.9725869022377712E-4</v>
      </c>
      <c r="AE23" s="222" cm="1">
        <f t="array" aca="1" ref="AE23" ca="1">'Tablica IO'!AE179*INDEX(Model!$C$93:$CA$93,Model!$A23) + IF(wplyw_cen_import_wlaczony,'Tablica IO'!AE257*INDEX(Model!$C$2:$CA$2,Model!$A23),'Tablica IO'!AE257*1)</f>
        <v>5.3388771705166997E-5</v>
      </c>
      <c r="AF23" s="222" cm="1">
        <f t="array" aca="1" ref="AF23" ca="1">'Tablica IO'!AF179*INDEX(Model!$C$93:$CA$93,Model!$A23) + IF(wplyw_cen_import_wlaczony,'Tablica IO'!AF257*INDEX(Model!$C$2:$CA$2,Model!$A23),'Tablica IO'!AF257*1)</f>
        <v>7.5418705578283017E-5</v>
      </c>
      <c r="AG23" s="222" cm="1">
        <f t="array" aca="1" ref="AG23" ca="1">'Tablica IO'!AG179*INDEX(Model!$C$93:$CA$93,Model!$A23) + IF(wplyw_cen_import_wlaczony,'Tablica IO'!AG257*INDEX(Model!$C$2:$CA$2,Model!$A23),'Tablica IO'!AG257*1)</f>
        <v>2.0227744812825627E-4</v>
      </c>
      <c r="AH23" s="222" cm="1">
        <f t="array" aca="1" ref="AH23" ca="1">'Tablica IO'!AH179*INDEX(Model!$C$93:$CA$93,Model!$A23) + IF(wplyw_cen_import_wlaczony,'Tablica IO'!AH257*INDEX(Model!$C$2:$CA$2,Model!$A23),'Tablica IO'!AH257*1)</f>
        <v>1.0682943258333468E-4</v>
      </c>
      <c r="AI23" s="222" cm="1">
        <f t="array" aca="1" ref="AI23" ca="1">'Tablica IO'!AI179*INDEX(Model!$C$93:$CA$93,Model!$A23) + IF(wplyw_cen_import_wlaczony,'Tablica IO'!AI257*INDEX(Model!$C$2:$CA$2,Model!$A23),'Tablica IO'!AI257*1)</f>
        <v>1.0373906677698831E-4</v>
      </c>
      <c r="AJ23" s="222" cm="1">
        <f t="array" aca="1" ref="AJ23" ca="1">'Tablica IO'!AJ179*INDEX(Model!$C$93:$CA$93,Model!$A23) + IF(wplyw_cen_import_wlaczony,'Tablica IO'!AJ257*INDEX(Model!$C$2:$CA$2,Model!$A23),'Tablica IO'!AJ257*1)</f>
        <v>1.7088754874192933E-4</v>
      </c>
      <c r="AK23" s="222" cm="1">
        <f t="array" aca="1" ref="AK23" ca="1">'Tablica IO'!AK179*INDEX(Model!$C$93:$CA$93,Model!$A23) + IF(wplyw_cen_import_wlaczony,'Tablica IO'!AK257*INDEX(Model!$C$2:$CA$2,Model!$A23),'Tablica IO'!AK257*1)</f>
        <v>2.6483360275382685E-5</v>
      </c>
      <c r="AL23" s="222" cm="1">
        <f t="array" aca="1" ref="AL23" ca="1">'Tablica IO'!AL179*INDEX(Model!$C$93:$CA$93,Model!$A23) + IF(wplyw_cen_import_wlaczony,'Tablica IO'!AL257*INDEX(Model!$C$2:$CA$2,Model!$A23),'Tablica IO'!AL257*1)</f>
        <v>2.8203597786817785E-4</v>
      </c>
      <c r="AM23" s="222" cm="1">
        <f t="array" aca="1" ref="AM23" ca="1">'Tablica IO'!AM179*INDEX(Model!$C$93:$CA$93,Model!$A23) + IF(wplyw_cen_import_wlaczony,'Tablica IO'!AM257*INDEX(Model!$C$2:$CA$2,Model!$A23),'Tablica IO'!AM257*1)</f>
        <v>2.5330982553816562E-4</v>
      </c>
      <c r="AN23" s="222" cm="1">
        <f t="array" aca="1" ref="AN23" ca="1">'Tablica IO'!AN179*INDEX(Model!$C$93:$CA$93,Model!$A23) + IF(wplyw_cen_import_wlaczony,'Tablica IO'!AN257*INDEX(Model!$C$2:$CA$2,Model!$A23),'Tablica IO'!AN257*1)</f>
        <v>1.4435648216175518E-4</v>
      </c>
      <c r="AO23" s="222" cm="1">
        <f t="array" aca="1" ref="AO23" ca="1">'Tablica IO'!AO179*INDEX(Model!$C$93:$CA$93,Model!$A23) + IF(wplyw_cen_import_wlaczony,'Tablica IO'!AO257*INDEX(Model!$C$2:$CA$2,Model!$A23),'Tablica IO'!AO257*1)</f>
        <v>1.1821308554256052E-4</v>
      </c>
      <c r="AP23" s="222" cm="1">
        <f t="array" aca="1" ref="AP23" ca="1">'Tablica IO'!AP179*INDEX(Model!$C$93:$CA$93,Model!$A23) + IF(wplyw_cen_import_wlaczony,'Tablica IO'!AP257*INDEX(Model!$C$2:$CA$2,Model!$A23),'Tablica IO'!AP257*1)</f>
        <v>4.7141879482643663E-4</v>
      </c>
      <c r="AQ23" s="222" cm="1">
        <f t="array" aca="1" ref="AQ23" ca="1">'Tablica IO'!AQ179*INDEX(Model!$C$93:$CA$93,Model!$A23) + IF(wplyw_cen_import_wlaczony,'Tablica IO'!AQ257*INDEX(Model!$C$2:$CA$2,Model!$A23),'Tablica IO'!AQ257*1)</f>
        <v>2.2582342286632263E-4</v>
      </c>
      <c r="AR23" s="222" cm="1">
        <f t="array" aca="1" ref="AR23" ca="1">'Tablica IO'!AR179*INDEX(Model!$C$93:$CA$93,Model!$A23) + IF(wplyw_cen_import_wlaczony,'Tablica IO'!AR257*INDEX(Model!$C$2:$CA$2,Model!$A23),'Tablica IO'!AR257*1)</f>
        <v>4.8177801632676616E-6</v>
      </c>
      <c r="AS23" s="222" cm="1">
        <f t="array" aca="1" ref="AS23" ca="1">'Tablica IO'!AS179*INDEX(Model!$C$93:$CA$93,Model!$A23) + IF(wplyw_cen_import_wlaczony,'Tablica IO'!AS257*INDEX(Model!$C$2:$CA$2,Model!$A23),'Tablica IO'!AS257*1)</f>
        <v>6.521826926629505E-5</v>
      </c>
      <c r="AT23" s="222" cm="1">
        <f t="array" aca="1" ref="AT23" ca="1">'Tablica IO'!AT179*INDEX(Model!$C$93:$CA$93,Model!$A23) + IF(wplyw_cen_import_wlaczony,'Tablica IO'!AT257*INDEX(Model!$C$2:$CA$2,Model!$A23),'Tablica IO'!AT257*1)</f>
        <v>5.2144961037868584E-7</v>
      </c>
      <c r="AU23" s="222" cm="1">
        <f t="array" aca="1" ref="AU23" ca="1">'Tablica IO'!AU179*INDEX(Model!$C$93:$CA$93,Model!$A23) + IF(wplyw_cen_import_wlaczony,'Tablica IO'!AU257*INDEX(Model!$C$2:$CA$2,Model!$A23),'Tablica IO'!AU257*1)</f>
        <v>1.28042443554844E-7</v>
      </c>
      <c r="AV23" s="222" cm="1">
        <f t="array" aca="1" ref="AV23" ca="1">'Tablica IO'!AV179*INDEX(Model!$C$93:$CA$93,Model!$A23) + IF(wplyw_cen_import_wlaczony,'Tablica IO'!AV257*INDEX(Model!$C$2:$CA$2,Model!$A23),'Tablica IO'!AV257*1)</f>
        <v>4.7359836776973377E-6</v>
      </c>
      <c r="AW23" s="222" cm="1">
        <f t="array" aca="1" ref="AW23" ca="1">'Tablica IO'!AW179*INDEX(Model!$C$93:$CA$93,Model!$A23) + IF(wplyw_cen_import_wlaczony,'Tablica IO'!AW257*INDEX(Model!$C$2:$CA$2,Model!$A23),'Tablica IO'!AW257*1)</f>
        <v>6.0643972233374212E-7</v>
      </c>
      <c r="AX23" s="222" cm="1">
        <f t="array" aca="1" ref="AX23" ca="1">'Tablica IO'!AX179*INDEX(Model!$C$93:$CA$93,Model!$A23) + IF(wplyw_cen_import_wlaczony,'Tablica IO'!AX257*INDEX(Model!$C$2:$CA$2,Model!$A23),'Tablica IO'!AX257*1)</f>
        <v>1.1051983903970428E-6</v>
      </c>
      <c r="AY23" s="222" cm="1">
        <f t="array" aca="1" ref="AY23" ca="1">'Tablica IO'!AY179*INDEX(Model!$C$93:$CA$93,Model!$A23) + IF(wplyw_cen_import_wlaczony,'Tablica IO'!AY257*INDEX(Model!$C$2:$CA$2,Model!$A23),'Tablica IO'!AY257*1)</f>
        <v>5.1545124429844245E-5</v>
      </c>
      <c r="AZ23" s="222" cm="1">
        <f t="array" aca="1" ref="AZ23" ca="1">'Tablica IO'!AZ179*INDEX(Model!$C$93:$CA$93,Model!$A23) + IF(wplyw_cen_import_wlaczony,'Tablica IO'!AZ257*INDEX(Model!$C$2:$CA$2,Model!$A23),'Tablica IO'!AZ257*1)</f>
        <v>0</v>
      </c>
      <c r="BA23" s="222" cm="1">
        <f t="array" aca="1" ref="BA23" ca="1">'Tablica IO'!BA179*INDEX(Model!$C$93:$CA$93,Model!$A23) + IF(wplyw_cen_import_wlaczony,'Tablica IO'!BA257*INDEX(Model!$C$2:$CA$2,Model!$A23),'Tablica IO'!BA257*1)</f>
        <v>1.720348489152228E-7</v>
      </c>
      <c r="BB23" s="222" cm="1">
        <f t="array" aca="1" ref="BB23" ca="1">'Tablica IO'!BB179*INDEX(Model!$C$93:$CA$93,Model!$A23) + IF(wplyw_cen_import_wlaczony,'Tablica IO'!BB257*INDEX(Model!$C$2:$CA$2,Model!$A23),'Tablica IO'!BB257*1)</f>
        <v>1.3565038396700227E-5</v>
      </c>
      <c r="BC23" s="222" cm="1">
        <f t="array" aca="1" ref="BC23" ca="1">'Tablica IO'!BC179*INDEX(Model!$C$93:$CA$93,Model!$A23) + IF(wplyw_cen_import_wlaczony,'Tablica IO'!BC257*INDEX(Model!$C$2:$CA$2,Model!$A23),'Tablica IO'!BC257*1)</f>
        <v>3.3372399068816526E-6</v>
      </c>
      <c r="BD23" s="222" cm="1">
        <f t="array" aca="1" ref="BD23" ca="1">'Tablica IO'!BD179*INDEX(Model!$C$93:$CA$93,Model!$A23) + IF(wplyw_cen_import_wlaczony,'Tablica IO'!BD257*INDEX(Model!$C$2:$CA$2,Model!$A23),'Tablica IO'!BD257*1)</f>
        <v>3.6268874032258161E-6</v>
      </c>
      <c r="BE23" s="222" cm="1">
        <f t="array" aca="1" ref="BE23" ca="1">'Tablica IO'!BE179*INDEX(Model!$C$93:$CA$93,Model!$A23) + IF(wplyw_cen_import_wlaczony,'Tablica IO'!BE257*INDEX(Model!$C$2:$CA$2,Model!$A23),'Tablica IO'!BE257*1)</f>
        <v>7.7925776602490459E-6</v>
      </c>
      <c r="BF23" s="222" cm="1">
        <f t="array" aca="1" ref="BF23" ca="1">'Tablica IO'!BF179*INDEX(Model!$C$93:$CA$93,Model!$A23) + IF(wplyw_cen_import_wlaczony,'Tablica IO'!BF257*INDEX(Model!$C$2:$CA$2,Model!$A23),'Tablica IO'!BF257*1)</f>
        <v>7.7083075130277888E-5</v>
      </c>
      <c r="BG23" s="222" cm="1">
        <f t="array" aca="1" ref="BG23" ca="1">'Tablica IO'!BG179*INDEX(Model!$C$93:$CA$93,Model!$A23) + IF(wplyw_cen_import_wlaczony,'Tablica IO'!BG257*INDEX(Model!$C$2:$CA$2,Model!$A23),'Tablica IO'!BG257*1)</f>
        <v>6.4322461877884496E-6</v>
      </c>
      <c r="BH23" s="222" cm="1">
        <f t="array" aca="1" ref="BH23" ca="1">'Tablica IO'!BH179*INDEX(Model!$C$93:$CA$93,Model!$A23) + IF(wplyw_cen_import_wlaczony,'Tablica IO'!BH257*INDEX(Model!$C$2:$CA$2,Model!$A23),'Tablica IO'!BH257*1)</f>
        <v>3.9481421261599131E-6</v>
      </c>
      <c r="BI23" s="222" cm="1">
        <f t="array" aca="1" ref="BI23" ca="1">'Tablica IO'!BI179*INDEX(Model!$C$93:$CA$93,Model!$A23) + IF(wplyw_cen_import_wlaczony,'Tablica IO'!BI257*INDEX(Model!$C$2:$CA$2,Model!$A23),'Tablica IO'!BI257*1)</f>
        <v>0</v>
      </c>
      <c r="BJ23" s="222" cm="1">
        <f t="array" aca="1" ref="BJ23" ca="1">'Tablica IO'!BJ179*INDEX(Model!$C$93:$CA$93,Model!$A23) + IF(wplyw_cen_import_wlaczony,'Tablica IO'!BJ257*INDEX(Model!$C$2:$CA$2,Model!$A23),'Tablica IO'!BJ257*1)</f>
        <v>1.1677091822806477E-4</v>
      </c>
      <c r="BK23" s="222" cm="1">
        <f t="array" aca="1" ref="BK23" ca="1">'Tablica IO'!BK179*INDEX(Model!$C$93:$CA$93,Model!$A23) + IF(wplyw_cen_import_wlaczony,'Tablica IO'!BK257*INDEX(Model!$C$2:$CA$2,Model!$A23),'Tablica IO'!BK257*1)</f>
        <v>2.7646150501741501E-5</v>
      </c>
      <c r="BL23" s="222" cm="1">
        <f t="array" aca="1" ref="BL23" ca="1">'Tablica IO'!BL179*INDEX(Model!$C$93:$CA$93,Model!$A23) + IF(wplyw_cen_import_wlaczony,'Tablica IO'!BL257*INDEX(Model!$C$2:$CA$2,Model!$A23),'Tablica IO'!BL257*1)</f>
        <v>4.9877566165842137E-7</v>
      </c>
      <c r="BM23" s="222" cm="1">
        <f t="array" aca="1" ref="BM23" ca="1">'Tablica IO'!BM179*INDEX(Model!$C$93:$CA$93,Model!$A23) + IF(wplyw_cen_import_wlaczony,'Tablica IO'!BM257*INDEX(Model!$C$2:$CA$2,Model!$A23),'Tablica IO'!BM257*1)</f>
        <v>1.9141873075270247E-4</v>
      </c>
      <c r="BN23" s="222" cm="1">
        <f t="array" aca="1" ref="BN23" ca="1">'Tablica IO'!BN179*INDEX(Model!$C$93:$CA$93,Model!$A23) + IF(wplyw_cen_import_wlaczony,'Tablica IO'!BN257*INDEX(Model!$C$2:$CA$2,Model!$A23),'Tablica IO'!BN257*1)</f>
        <v>2.1904920547463397E-4</v>
      </c>
      <c r="BO23" s="222" cm="1">
        <f t="array" aca="1" ref="BO23" ca="1">'Tablica IO'!BO179*INDEX(Model!$C$93:$CA$93,Model!$A23) + IF(wplyw_cen_import_wlaczony,'Tablica IO'!BO257*INDEX(Model!$C$2:$CA$2,Model!$A23),'Tablica IO'!BO257*1)</f>
        <v>6.6920543374165188E-6</v>
      </c>
      <c r="BP23" s="222" cm="1">
        <f t="array" aca="1" ref="BP23" ca="1">'Tablica IO'!BP179*INDEX(Model!$C$93:$CA$93,Model!$A23) + IF(wplyw_cen_import_wlaczony,'Tablica IO'!BP257*INDEX(Model!$C$2:$CA$2,Model!$A23),'Tablica IO'!BP257*1)</f>
        <v>3.774196114466067E-5</v>
      </c>
      <c r="BQ23" s="222" cm="1">
        <f t="array" aca="1" ref="BQ23" ca="1">'Tablica IO'!BQ179*INDEX(Model!$C$93:$CA$93,Model!$A23) + IF(wplyw_cen_import_wlaczony,'Tablica IO'!BQ257*INDEX(Model!$C$2:$CA$2,Model!$A23),'Tablica IO'!BQ257*1)</f>
        <v>8.5800687258701376E-6</v>
      </c>
      <c r="BR23" s="222" cm="1">
        <f t="array" aca="1" ref="BR23" ca="1">'Tablica IO'!BR179*INDEX(Model!$C$93:$CA$93,Model!$A23) + IF(wplyw_cen_import_wlaczony,'Tablica IO'!BR257*INDEX(Model!$C$2:$CA$2,Model!$A23),'Tablica IO'!BR257*1)</f>
        <v>3.0339728747399518E-5</v>
      </c>
      <c r="BS23" s="222" cm="1">
        <f t="array" aca="1" ref="BS23" ca="1">'Tablica IO'!BS179*INDEX(Model!$C$93:$CA$93,Model!$A23) + IF(wplyw_cen_import_wlaczony,'Tablica IO'!BS257*INDEX(Model!$C$2:$CA$2,Model!$A23),'Tablica IO'!BS257*1)</f>
        <v>2.4998341470315183E-5</v>
      </c>
      <c r="BT23" s="222" cm="1">
        <f t="array" aca="1" ref="BT23" ca="1">'Tablica IO'!BT179*INDEX(Model!$C$93:$CA$93,Model!$A23) + IF(wplyw_cen_import_wlaczony,'Tablica IO'!BT257*INDEX(Model!$C$2:$CA$2,Model!$A23),'Tablica IO'!BT257*1)</f>
        <v>1.7853058969682142E-4</v>
      </c>
      <c r="BU23" s="222" cm="1">
        <f t="array" aca="1" ref="BU23" ca="1">'Tablica IO'!BU179*INDEX(Model!$C$93:$CA$93,Model!$A23) + IF(wplyw_cen_import_wlaczony,'Tablica IO'!BU257*INDEX(Model!$C$2:$CA$2,Model!$A23),'Tablica IO'!BU257*1)</f>
        <v>3.0245888441035292E-5</v>
      </c>
      <c r="BV23" s="222" cm="1">
        <f t="array" aca="1" ref="BV23" ca="1">'Tablica IO'!BV179*INDEX(Model!$C$93:$CA$93,Model!$A23) + IF(wplyw_cen_import_wlaczony,'Tablica IO'!BV257*INDEX(Model!$C$2:$CA$2,Model!$A23),'Tablica IO'!BV257*1)</f>
        <v>3.6162808343553345E-5</v>
      </c>
      <c r="BW23" s="222" cm="1">
        <f t="array" aca="1" ref="BW23" ca="1">'Tablica IO'!BW179*INDEX(Model!$C$93:$CA$93,Model!$A23) + IF(wplyw_cen_import_wlaczony,'Tablica IO'!BW257*INDEX(Model!$C$2:$CA$2,Model!$A23),'Tablica IO'!BW257*1)</f>
        <v>1.9824560361714877E-4</v>
      </c>
      <c r="BX23" s="222" cm="1">
        <f t="array" aca="1" ref="BX23" ca="1">'Tablica IO'!BX179*INDEX(Model!$C$93:$CA$93,Model!$A23) + IF(wplyw_cen_import_wlaczony,'Tablica IO'!BX257*INDEX(Model!$C$2:$CA$2,Model!$A23),'Tablica IO'!BX257*1)</f>
        <v>2.8835297680714024E-4</v>
      </c>
      <c r="BY23" s="222" cm="1">
        <f t="array" aca="1" ref="BY23" ca="1">'Tablica IO'!BY179*INDEX(Model!$C$93:$CA$93,Model!$A23) + IF(wplyw_cen_import_wlaczony,'Tablica IO'!BY257*INDEX(Model!$C$2:$CA$2,Model!$A23),'Tablica IO'!BY257*1)</f>
        <v>1.3545289807471443E-3</v>
      </c>
      <c r="BZ23" s="222" cm="1">
        <f t="array" aca="1" ref="BZ23" ca="1">'Tablica IO'!BZ179*INDEX(Model!$C$93:$CA$93,Model!$A23) + IF(wplyw_cen_import_wlaczony,'Tablica IO'!BZ257*INDEX(Model!$C$2:$CA$2,Model!$A23),'Tablica IO'!BZ257*1)</f>
        <v>6.5777464228858267E-5</v>
      </c>
      <c r="CA23" s="222" cm="1">
        <f t="array" aca="1" ref="CA23" ca="1">'Tablica IO'!CA179*INDEX(Model!$C$93:$CA$93,Model!$A23) + IF(wplyw_cen_import_wlaczony,'Tablica IO'!CA257*INDEX(Model!$C$2:$CA$2,Model!$A23),'Tablica IO'!CA257*1)</f>
        <v>0</v>
      </c>
      <c r="CB23" s="247">
        <f ca="1">'Tablica IO'!CD179*INDEX(Model!$C$93:$CA$93,Model!$A23)+'Tablica IO'!CD257*INDEX(Model!$C$2:$CA$2,Model!$A23)</f>
        <v>8.6732269621914958E-3</v>
      </c>
      <c r="CC23" s="188">
        <f ca="1">'Tablica IO'!CE179*INDEX(Model!$C$93:$CA$93,Model!$A23)+'Tablica IO'!CE257*INDEX(Model!$C$2:$CA$2,Model!$A23)</f>
        <v>2.5746613381330525E-4</v>
      </c>
      <c r="CD23" s="188">
        <f ca="1">'Tablica IO'!CF179*INDEX(Model!$C$93:$CA$93,Model!$A23)+'Tablica IO'!CF257*INDEX(Model!$C$2:$CA$2,Model!$A23)</f>
        <v>1.9708851184582987E-4</v>
      </c>
      <c r="CE23" s="189">
        <f ca="1">'Tablica IO'!CG179*INDEX(Model!$C$93:$CA$93,Model!$A23)+'Tablica IO'!CG257*INDEX(Model!$C$2:$CA$2,Model!$A23)</f>
        <v>6.0615422235746437E-3</v>
      </c>
    </row>
    <row r="24" spans="1:83" x14ac:dyDescent="0.25">
      <c r="A24" s="164">
        <v>12</v>
      </c>
      <c r="B24" s="172" t="s">
        <v>11</v>
      </c>
      <c r="C24" s="221" cm="1">
        <f t="array" aca="1" ref="C24" ca="1">'Tablica IO'!C180*INDEX(Model!$C$93:$CA$93,Model!$A24) + IF(wplyw_cen_import_wlaczony,'Tablica IO'!C258*INDEX(Model!$C$2:$CA$2,Model!$A24),'Tablica IO'!C258*1)</f>
        <v>2.8522299374417058E-3</v>
      </c>
      <c r="D24" s="222" cm="1">
        <f t="array" aca="1" ref="D24" ca="1">'Tablica IO'!D180*INDEX(Model!$C$93:$CA$93,Model!$A24) + IF(wplyw_cen_import_wlaczony,'Tablica IO'!D258*INDEX(Model!$C$2:$CA$2,Model!$A24),'Tablica IO'!D258*1)</f>
        <v>1.7457566018239588E-2</v>
      </c>
      <c r="E24" s="222" cm="1">
        <f t="array" aca="1" ref="E24" ca="1">'Tablica IO'!E180*INDEX(Model!$C$93:$CA$93,Model!$A24) + IF(wplyw_cen_import_wlaczony,'Tablica IO'!E258*INDEX(Model!$C$2:$CA$2,Model!$A24),'Tablica IO'!E258*1)</f>
        <v>3.3136421875099313E-4</v>
      </c>
      <c r="F24" s="222" cm="1">
        <f t="array" aca="1" ref="F24" ca="1">'Tablica IO'!F180*INDEX(Model!$C$93:$CA$93,Model!$A24) + IF(wplyw_cen_import_wlaczony,'Tablica IO'!F258*INDEX(Model!$C$2:$CA$2,Model!$A24),'Tablica IO'!F258*1)</f>
        <v>4.9174853796910131E-3</v>
      </c>
      <c r="G24" s="222" cm="1">
        <f t="array" aca="1" ref="G24" ca="1">'Tablica IO'!G180*INDEX(Model!$C$93:$CA$93,Model!$A24) + IF(wplyw_cen_import_wlaczony,'Tablica IO'!G258*INDEX(Model!$C$2:$CA$2,Model!$A24),'Tablica IO'!G258*1)</f>
        <v>1.8160450156526897E-3</v>
      </c>
      <c r="H24" s="222" cm="1">
        <f t="array" aca="1" ref="H24" ca="1">'Tablica IO'!H180*INDEX(Model!$C$93:$CA$93,Model!$A24) + IF(wplyw_cen_import_wlaczony,'Tablica IO'!H258*INDEX(Model!$C$2:$CA$2,Model!$A24),'Tablica IO'!H258*1)</f>
        <v>7.6089752494568671E-4</v>
      </c>
      <c r="I24" s="222" cm="1">
        <f t="array" aca="1" ref="I24" ca="1">'Tablica IO'!I180*INDEX(Model!$C$93:$CA$93,Model!$A24) + IF(wplyw_cen_import_wlaczony,'Tablica IO'!I258*INDEX(Model!$C$2:$CA$2,Model!$A24),'Tablica IO'!I258*1)</f>
        <v>1.1274427768686419E-3</v>
      </c>
      <c r="J24" s="222" cm="1">
        <f t="array" aca="1" ref="J24" ca="1">'Tablica IO'!J180*INDEX(Model!$C$93:$CA$93,Model!$A24) + IF(wplyw_cen_import_wlaczony,'Tablica IO'!J258*INDEX(Model!$C$2:$CA$2,Model!$A24),'Tablica IO'!J258*1)</f>
        <v>3.1574460292943383E-4</v>
      </c>
      <c r="K24" s="222" cm="1">
        <f t="array" aca="1" ref="K24" ca="1">'Tablica IO'!K180*INDEX(Model!$C$93:$CA$93,Model!$A24) + IF(wplyw_cen_import_wlaczony,'Tablica IO'!K258*INDEX(Model!$C$2:$CA$2,Model!$A24),'Tablica IO'!K258*1)</f>
        <v>2.2738821165295933E-3</v>
      </c>
      <c r="L24" s="222" cm="1">
        <f t="array" aca="1" ref="L24" ca="1">'Tablica IO'!L180*INDEX(Model!$C$93:$CA$93,Model!$A24) + IF(wplyw_cen_import_wlaczony,'Tablica IO'!L258*INDEX(Model!$C$2:$CA$2,Model!$A24),'Tablica IO'!L258*1)</f>
        <v>1.062240388483113E-3</v>
      </c>
      <c r="M24" s="222" cm="1">
        <f t="array" aca="1" ref="M24" ca="1">'Tablica IO'!M180*INDEX(Model!$C$93:$CA$93,Model!$A24) + IF(wplyw_cen_import_wlaczony,'Tablica IO'!M258*INDEX(Model!$C$2:$CA$2,Model!$A24),'Tablica IO'!M258*1)</f>
        <v>4.1747646537663181E-3</v>
      </c>
      <c r="N24" s="222" cm="1">
        <f t="array" aca="1" ref="N24" ca="1">'Tablica IO'!N180*INDEX(Model!$C$93:$CA$93,Model!$A24) + IF(wplyw_cen_import_wlaczony,'Tablica IO'!N258*INDEX(Model!$C$2:$CA$2,Model!$A24),'Tablica IO'!N258*1)</f>
        <v>0.25754359707024405</v>
      </c>
      <c r="O24" s="222" cm="1">
        <f t="array" aca="1" ref="O24" ca="1">'Tablica IO'!O180*INDEX(Model!$C$93:$CA$93,Model!$A24) + IF(wplyw_cen_import_wlaczony,'Tablica IO'!O258*INDEX(Model!$C$2:$CA$2,Model!$A24),'Tablica IO'!O258*1)</f>
        <v>8.0918512604911189E-3</v>
      </c>
      <c r="P24" s="222" cm="1">
        <f t="array" aca="1" ref="P24" ca="1">'Tablica IO'!P180*INDEX(Model!$C$93:$CA$93,Model!$A24) + IF(wplyw_cen_import_wlaczony,'Tablica IO'!P258*INDEX(Model!$C$2:$CA$2,Model!$A24),'Tablica IO'!P258*1)</f>
        <v>1.3646305018799921E-3</v>
      </c>
      <c r="Q24" s="222" cm="1">
        <f t="array" aca="1" ref="Q24" ca="1">'Tablica IO'!Q180*INDEX(Model!$C$93:$CA$93,Model!$A24) + IF(wplyw_cen_import_wlaczony,'Tablica IO'!Q258*INDEX(Model!$C$2:$CA$2,Model!$A24),'Tablica IO'!Q258*1)</f>
        <v>3.2418583870329795E-4</v>
      </c>
      <c r="R24" s="222" cm="1">
        <f t="array" aca="1" ref="R24" ca="1">'Tablica IO'!R180*INDEX(Model!$C$93:$CA$93,Model!$A24) + IF(wplyw_cen_import_wlaczony,'Tablica IO'!R258*INDEX(Model!$C$2:$CA$2,Model!$A24),'Tablica IO'!R258*1)</f>
        <v>1.5225387759330111E-3</v>
      </c>
      <c r="S24" s="222" cm="1">
        <f t="array" aca="1" ref="S24" ca="1">'Tablica IO'!S180*INDEX(Model!$C$93:$CA$93,Model!$A24) + IF(wplyw_cen_import_wlaczony,'Tablica IO'!S258*INDEX(Model!$C$2:$CA$2,Model!$A24),'Tablica IO'!S258*1)</f>
        <v>3.610117908080691E-4</v>
      </c>
      <c r="T24" s="222" cm="1">
        <f t="array" aca="1" ref="T24" ca="1">'Tablica IO'!T180*INDEX(Model!$C$93:$CA$93,Model!$A24) + IF(wplyw_cen_import_wlaczony,'Tablica IO'!T258*INDEX(Model!$C$2:$CA$2,Model!$A24),'Tablica IO'!T258*1)</f>
        <v>2.7356938856244102E-3</v>
      </c>
      <c r="U24" s="222" cm="1">
        <f t="array" aca="1" ref="U24" ca="1">'Tablica IO'!U180*INDEX(Model!$C$93:$CA$93,Model!$A24) + IF(wplyw_cen_import_wlaczony,'Tablica IO'!U258*INDEX(Model!$C$2:$CA$2,Model!$A24),'Tablica IO'!U258*1)</f>
        <v>9.4522858847943658E-3</v>
      </c>
      <c r="V24" s="222" cm="1">
        <f t="array" aca="1" ref="V24" ca="1">'Tablica IO'!V180*INDEX(Model!$C$93:$CA$93,Model!$A24) + IF(wplyw_cen_import_wlaczony,'Tablica IO'!V258*INDEX(Model!$C$2:$CA$2,Model!$A24),'Tablica IO'!V258*1)</f>
        <v>4.0979542080100679E-4</v>
      </c>
      <c r="W24" s="222" cm="1">
        <f t="array" aca="1" ref="W24" ca="1">'Tablica IO'!W180*INDEX(Model!$C$93:$CA$93,Model!$A24) + IF(wplyw_cen_import_wlaczony,'Tablica IO'!W258*INDEX(Model!$C$2:$CA$2,Model!$A24),'Tablica IO'!W258*1)</f>
        <v>5.498220096437966E-3</v>
      </c>
      <c r="X24" s="222" cm="1">
        <f t="array" aca="1" ref="X24" ca="1">'Tablica IO'!X180*INDEX(Model!$C$93:$CA$93,Model!$A24) + IF(wplyw_cen_import_wlaczony,'Tablica IO'!X258*INDEX(Model!$C$2:$CA$2,Model!$A24),'Tablica IO'!X258*1)</f>
        <v>2.5767937032704757E-3</v>
      </c>
      <c r="Y24" s="222" cm="1">
        <f t="array" aca="1" ref="Y24" ca="1">'Tablica IO'!Y180*INDEX(Model!$C$93:$CA$93,Model!$A24) + IF(wplyw_cen_import_wlaczony,'Tablica IO'!Y258*INDEX(Model!$C$2:$CA$2,Model!$A24),'Tablica IO'!Y258*1)</f>
        <v>5.6145816772239605E-3</v>
      </c>
      <c r="Z24" s="222" cm="1">
        <f t="array" aca="1" ref="Z24" ca="1">'Tablica IO'!Z180*INDEX(Model!$C$93:$CA$93,Model!$A24) + IF(wplyw_cen_import_wlaczony,'Tablica IO'!Z258*INDEX(Model!$C$2:$CA$2,Model!$A24),'Tablica IO'!Z258*1)</f>
        <v>3.3483760508171275E-3</v>
      </c>
      <c r="AA24" s="222" cm="1">
        <f t="array" aca="1" ref="AA24" ca="1">'Tablica IO'!AA180*INDEX(Model!$C$93:$CA$93,Model!$A24) + IF(wplyw_cen_import_wlaczony,'Tablica IO'!AA258*INDEX(Model!$C$2:$CA$2,Model!$A24),'Tablica IO'!AA258*1)</f>
        <v>2.2450522386834944E-3</v>
      </c>
      <c r="AB24" s="222" cm="1">
        <f t="array" aca="1" ref="AB24" ca="1">'Tablica IO'!AB180*INDEX(Model!$C$93:$CA$93,Model!$A24) + IF(wplyw_cen_import_wlaczony,'Tablica IO'!AB258*INDEX(Model!$C$2:$CA$2,Model!$A24),'Tablica IO'!AB258*1)</f>
        <v>9.1349203662115987E-3</v>
      </c>
      <c r="AC24" s="222" cm="1">
        <f t="array" aca="1" ref="AC24" ca="1">'Tablica IO'!AC180*INDEX(Model!$C$93:$CA$93,Model!$A24) + IF(wplyw_cen_import_wlaczony,'Tablica IO'!AC258*INDEX(Model!$C$2:$CA$2,Model!$A24),'Tablica IO'!AC258*1)</f>
        <v>0.20685758963049558</v>
      </c>
      <c r="AD24" s="222" cm="1">
        <f t="array" aca="1" ref="AD24" ca="1">'Tablica IO'!AD180*INDEX(Model!$C$93:$CA$93,Model!$A24) + IF(wplyw_cen_import_wlaczony,'Tablica IO'!AD258*INDEX(Model!$C$2:$CA$2,Model!$A24),'Tablica IO'!AD258*1)</f>
        <v>4.6755006204076494E-2</v>
      </c>
      <c r="AE24" s="222" cm="1">
        <f t="array" aca="1" ref="AE24" ca="1">'Tablica IO'!AE180*INDEX(Model!$C$93:$CA$93,Model!$A24) + IF(wplyw_cen_import_wlaczony,'Tablica IO'!AE258*INDEX(Model!$C$2:$CA$2,Model!$A24),'Tablica IO'!AE258*1)</f>
        <v>7.202734002285453E-4</v>
      </c>
      <c r="AF24" s="222" cm="1">
        <f t="array" aca="1" ref="AF24" ca="1">'Tablica IO'!AF180*INDEX(Model!$C$93:$CA$93,Model!$A24) + IF(wplyw_cen_import_wlaczony,'Tablica IO'!AF258*INDEX(Model!$C$2:$CA$2,Model!$A24),'Tablica IO'!AF258*1)</f>
        <v>6.2643248755621871E-4</v>
      </c>
      <c r="AG24" s="222" cm="1">
        <f t="array" aca="1" ref="AG24" ca="1">'Tablica IO'!AG180*INDEX(Model!$C$93:$CA$93,Model!$A24) + IF(wplyw_cen_import_wlaczony,'Tablica IO'!AG258*INDEX(Model!$C$2:$CA$2,Model!$A24),'Tablica IO'!AG258*1)</f>
        <v>2.3460123816459029E-4</v>
      </c>
      <c r="AH24" s="222" cm="1">
        <f t="array" aca="1" ref="AH24" ca="1">'Tablica IO'!AH180*INDEX(Model!$C$93:$CA$93,Model!$A24) + IF(wplyw_cen_import_wlaczony,'Tablica IO'!AH258*INDEX(Model!$C$2:$CA$2,Model!$A24),'Tablica IO'!AH258*1)</f>
        <v>2.9624759103733063E-3</v>
      </c>
      <c r="AI24" s="222" cm="1">
        <f t="array" aca="1" ref="AI24" ca="1">'Tablica IO'!AI180*INDEX(Model!$C$93:$CA$93,Model!$A24) + IF(wplyw_cen_import_wlaczony,'Tablica IO'!AI258*INDEX(Model!$C$2:$CA$2,Model!$A24),'Tablica IO'!AI258*1)</f>
        <v>4.3772222593729056E-4</v>
      </c>
      <c r="AJ24" s="222" cm="1">
        <f t="array" aca="1" ref="AJ24" ca="1">'Tablica IO'!AJ180*INDEX(Model!$C$93:$CA$93,Model!$A24) + IF(wplyw_cen_import_wlaczony,'Tablica IO'!AJ258*INDEX(Model!$C$2:$CA$2,Model!$A24),'Tablica IO'!AJ258*1)</f>
        <v>2.2159273648145583E-2</v>
      </c>
      <c r="AK24" s="222" cm="1">
        <f t="array" aca="1" ref="AK24" ca="1">'Tablica IO'!AK180*INDEX(Model!$C$93:$CA$93,Model!$A24) + IF(wplyw_cen_import_wlaczony,'Tablica IO'!AK258*INDEX(Model!$C$2:$CA$2,Model!$A24),'Tablica IO'!AK258*1)</f>
        <v>3.0110663411090873E-4</v>
      </c>
      <c r="AL24" s="222" cm="1">
        <f t="array" aca="1" ref="AL24" ca="1">'Tablica IO'!AL180*INDEX(Model!$C$93:$CA$93,Model!$A24) + IF(wplyw_cen_import_wlaczony,'Tablica IO'!AL258*INDEX(Model!$C$2:$CA$2,Model!$A24),'Tablica IO'!AL258*1)</f>
        <v>4.356254103733301E-3</v>
      </c>
      <c r="AM24" s="222" cm="1">
        <f t="array" aca="1" ref="AM24" ca="1">'Tablica IO'!AM180*INDEX(Model!$C$93:$CA$93,Model!$A24) + IF(wplyw_cen_import_wlaczony,'Tablica IO'!AM258*INDEX(Model!$C$2:$CA$2,Model!$A24),'Tablica IO'!AM258*1)</f>
        <v>4.0652733242546408E-3</v>
      </c>
      <c r="AN24" s="222" cm="1">
        <f t="array" aca="1" ref="AN24" ca="1">'Tablica IO'!AN180*INDEX(Model!$C$93:$CA$93,Model!$A24) + IF(wplyw_cen_import_wlaczony,'Tablica IO'!AN258*INDEX(Model!$C$2:$CA$2,Model!$A24),'Tablica IO'!AN258*1)</f>
        <v>3.6233341187163373E-3</v>
      </c>
      <c r="AO24" s="222" cm="1">
        <f t="array" aca="1" ref="AO24" ca="1">'Tablica IO'!AO180*INDEX(Model!$C$93:$CA$93,Model!$A24) + IF(wplyw_cen_import_wlaczony,'Tablica IO'!AO258*INDEX(Model!$C$2:$CA$2,Model!$A24),'Tablica IO'!AO258*1)</f>
        <v>6.309686545800142E-4</v>
      </c>
      <c r="AP24" s="222" cm="1">
        <f t="array" aca="1" ref="AP24" ca="1">'Tablica IO'!AP180*INDEX(Model!$C$93:$CA$93,Model!$A24) + IF(wplyw_cen_import_wlaczony,'Tablica IO'!AP258*INDEX(Model!$C$2:$CA$2,Model!$A24),'Tablica IO'!AP258*1)</f>
        <v>1.3768162240121358E-3</v>
      </c>
      <c r="AQ24" s="222" cm="1">
        <f t="array" aca="1" ref="AQ24" ca="1">'Tablica IO'!AQ180*INDEX(Model!$C$93:$CA$93,Model!$A24) + IF(wplyw_cen_import_wlaczony,'Tablica IO'!AQ258*INDEX(Model!$C$2:$CA$2,Model!$A24),'Tablica IO'!AQ258*1)</f>
        <v>1.483929558179338E-3</v>
      </c>
      <c r="AR24" s="222" cm="1">
        <f t="array" aca="1" ref="AR24" ca="1">'Tablica IO'!AR180*INDEX(Model!$C$93:$CA$93,Model!$A24) + IF(wplyw_cen_import_wlaczony,'Tablica IO'!AR258*INDEX(Model!$C$2:$CA$2,Model!$A24),'Tablica IO'!AR258*1)</f>
        <v>7.2069730721724921E-4</v>
      </c>
      <c r="AS24" s="222" cm="1">
        <f t="array" aca="1" ref="AS24" ca="1">'Tablica IO'!AS180*INDEX(Model!$C$93:$CA$93,Model!$A24) + IF(wplyw_cen_import_wlaczony,'Tablica IO'!AS258*INDEX(Model!$C$2:$CA$2,Model!$A24),'Tablica IO'!AS258*1)</f>
        <v>2.8195066404300109E-5</v>
      </c>
      <c r="AT24" s="222" cm="1">
        <f t="array" aca="1" ref="AT24" ca="1">'Tablica IO'!AT180*INDEX(Model!$C$93:$CA$93,Model!$A24) + IF(wplyw_cen_import_wlaczony,'Tablica IO'!AT258*INDEX(Model!$C$2:$CA$2,Model!$A24),'Tablica IO'!AT258*1)</f>
        <v>2.8894550199067481E-4</v>
      </c>
      <c r="AU24" s="222" cm="1">
        <f t="array" aca="1" ref="AU24" ca="1">'Tablica IO'!AU180*INDEX(Model!$C$93:$CA$93,Model!$A24) + IF(wplyw_cen_import_wlaczony,'Tablica IO'!AU258*INDEX(Model!$C$2:$CA$2,Model!$A24),'Tablica IO'!AU258*1)</f>
        <v>1.4594518645362234E-7</v>
      </c>
      <c r="AV24" s="222" cm="1">
        <f t="array" aca="1" ref="AV24" ca="1">'Tablica IO'!AV180*INDEX(Model!$C$93:$CA$93,Model!$A24) + IF(wplyw_cen_import_wlaczony,'Tablica IO'!AV258*INDEX(Model!$C$2:$CA$2,Model!$A24),'Tablica IO'!AV258*1)</f>
        <v>2.13141094879949E-4</v>
      </c>
      <c r="AW24" s="222" cm="1">
        <f t="array" aca="1" ref="AW24" ca="1">'Tablica IO'!AW180*INDEX(Model!$C$93:$CA$93,Model!$A24) + IF(wplyw_cen_import_wlaczony,'Tablica IO'!AW258*INDEX(Model!$C$2:$CA$2,Model!$A24),'Tablica IO'!AW258*1)</f>
        <v>8.2152376830790769E-5</v>
      </c>
      <c r="AX24" s="222" cm="1">
        <f t="array" aca="1" ref="AX24" ca="1">'Tablica IO'!AX180*INDEX(Model!$C$93:$CA$93,Model!$A24) + IF(wplyw_cen_import_wlaczony,'Tablica IO'!AX258*INDEX(Model!$C$2:$CA$2,Model!$A24),'Tablica IO'!AX258*1)</f>
        <v>1.3856985132763137E-6</v>
      </c>
      <c r="AY24" s="222" cm="1">
        <f t="array" aca="1" ref="AY24" ca="1">'Tablica IO'!AY180*INDEX(Model!$C$93:$CA$93,Model!$A24) + IF(wplyw_cen_import_wlaczony,'Tablica IO'!AY258*INDEX(Model!$C$2:$CA$2,Model!$A24),'Tablica IO'!AY258*1)</f>
        <v>4.5790515768174785E-4</v>
      </c>
      <c r="AZ24" s="222" cm="1">
        <f t="array" aca="1" ref="AZ24" ca="1">'Tablica IO'!AZ180*INDEX(Model!$C$93:$CA$93,Model!$A24) + IF(wplyw_cen_import_wlaczony,'Tablica IO'!AZ258*INDEX(Model!$C$2:$CA$2,Model!$A24),'Tablica IO'!AZ258*1)</f>
        <v>0</v>
      </c>
      <c r="BA24" s="222" cm="1">
        <f t="array" aca="1" ref="BA24" ca="1">'Tablica IO'!BA180*INDEX(Model!$C$93:$CA$93,Model!$A24) + IF(wplyw_cen_import_wlaczony,'Tablica IO'!BA258*INDEX(Model!$C$2:$CA$2,Model!$A24),'Tablica IO'!BA258*1)</f>
        <v>1.7647970207338937E-6</v>
      </c>
      <c r="BB24" s="222" cm="1">
        <f t="array" aca="1" ref="BB24" ca="1">'Tablica IO'!BB180*INDEX(Model!$C$93:$CA$93,Model!$A24) + IF(wplyw_cen_import_wlaczony,'Tablica IO'!BB258*INDEX(Model!$C$2:$CA$2,Model!$A24),'Tablica IO'!BB258*1)</f>
        <v>5.2832034478783796E-3</v>
      </c>
      <c r="BC24" s="222" cm="1">
        <f t="array" aca="1" ref="BC24" ca="1">'Tablica IO'!BC180*INDEX(Model!$C$93:$CA$93,Model!$A24) + IF(wplyw_cen_import_wlaczony,'Tablica IO'!BC258*INDEX(Model!$C$2:$CA$2,Model!$A24),'Tablica IO'!BC258*1)</f>
        <v>4.0646429199567891E-5</v>
      </c>
      <c r="BD24" s="222" cm="1">
        <f t="array" aca="1" ref="BD24" ca="1">'Tablica IO'!BD180*INDEX(Model!$C$93:$CA$93,Model!$A24) + IF(wplyw_cen_import_wlaczony,'Tablica IO'!BD258*INDEX(Model!$C$2:$CA$2,Model!$A24),'Tablica IO'!BD258*1)</f>
        <v>2.0746164450844131E-4</v>
      </c>
      <c r="BE24" s="222" cm="1">
        <f t="array" aca="1" ref="BE24" ca="1">'Tablica IO'!BE180*INDEX(Model!$C$93:$CA$93,Model!$A24) + IF(wplyw_cen_import_wlaczony,'Tablica IO'!BE258*INDEX(Model!$C$2:$CA$2,Model!$A24),'Tablica IO'!BE258*1)</f>
        <v>3.2176868943005086E-4</v>
      </c>
      <c r="BF24" s="222" cm="1">
        <f t="array" aca="1" ref="BF24" ca="1">'Tablica IO'!BF180*INDEX(Model!$C$93:$CA$93,Model!$A24) + IF(wplyw_cen_import_wlaczony,'Tablica IO'!BF258*INDEX(Model!$C$2:$CA$2,Model!$A24),'Tablica IO'!BF258*1)</f>
        <v>4.8893124436842888E-4</v>
      </c>
      <c r="BG24" s="222" cm="1">
        <f t="array" aca="1" ref="BG24" ca="1">'Tablica IO'!BG180*INDEX(Model!$C$93:$CA$93,Model!$A24) + IF(wplyw_cen_import_wlaczony,'Tablica IO'!BG258*INDEX(Model!$C$2:$CA$2,Model!$A24),'Tablica IO'!BG258*1)</f>
        <v>2.24804371723536E-5</v>
      </c>
      <c r="BH24" s="222" cm="1">
        <f t="array" aca="1" ref="BH24" ca="1">'Tablica IO'!BH180*INDEX(Model!$C$93:$CA$93,Model!$A24) + IF(wplyw_cen_import_wlaczony,'Tablica IO'!BH258*INDEX(Model!$C$2:$CA$2,Model!$A24),'Tablica IO'!BH258*1)</f>
        <v>1.7460670528094168E-3</v>
      </c>
      <c r="BI24" s="222" cm="1">
        <f t="array" aca="1" ref="BI24" ca="1">'Tablica IO'!BI180*INDEX(Model!$C$93:$CA$93,Model!$A24) + IF(wplyw_cen_import_wlaczony,'Tablica IO'!BI258*INDEX(Model!$C$2:$CA$2,Model!$A24),'Tablica IO'!BI258*1)</f>
        <v>0</v>
      </c>
      <c r="BJ24" s="222" cm="1">
        <f t="array" aca="1" ref="BJ24" ca="1">'Tablica IO'!BJ180*INDEX(Model!$C$93:$CA$93,Model!$A24) + IF(wplyw_cen_import_wlaczony,'Tablica IO'!BJ258*INDEX(Model!$C$2:$CA$2,Model!$A24),'Tablica IO'!BJ258*1)</f>
        <v>1.0543090513164479E-3</v>
      </c>
      <c r="BK24" s="222" cm="1">
        <f t="array" aca="1" ref="BK24" ca="1">'Tablica IO'!BK180*INDEX(Model!$C$93:$CA$93,Model!$A24) + IF(wplyw_cen_import_wlaczony,'Tablica IO'!BK258*INDEX(Model!$C$2:$CA$2,Model!$A24),'Tablica IO'!BK258*1)</f>
        <v>1.1092952170679198E-4</v>
      </c>
      <c r="BL24" s="222" cm="1">
        <f t="array" aca="1" ref="BL24" ca="1">'Tablica IO'!BL180*INDEX(Model!$C$93:$CA$93,Model!$A24) + IF(wplyw_cen_import_wlaczony,'Tablica IO'!BL258*INDEX(Model!$C$2:$CA$2,Model!$A24),'Tablica IO'!BL258*1)</f>
        <v>4.4685191305144709E-5</v>
      </c>
      <c r="BM24" s="222" cm="1">
        <f t="array" aca="1" ref="BM24" ca="1">'Tablica IO'!BM180*INDEX(Model!$C$93:$CA$93,Model!$A24) + IF(wplyw_cen_import_wlaczony,'Tablica IO'!BM258*INDEX(Model!$C$2:$CA$2,Model!$A24),'Tablica IO'!BM258*1)</f>
        <v>1.7395404034976901E-5</v>
      </c>
      <c r="BN24" s="222" cm="1">
        <f t="array" aca="1" ref="BN24" ca="1">'Tablica IO'!BN180*INDEX(Model!$C$93:$CA$93,Model!$A24) + IF(wplyw_cen_import_wlaczony,'Tablica IO'!BN258*INDEX(Model!$C$2:$CA$2,Model!$A24),'Tablica IO'!BN258*1)</f>
        <v>3.8844271583490454E-3</v>
      </c>
      <c r="BO24" s="222" cm="1">
        <f t="array" aca="1" ref="BO24" ca="1">'Tablica IO'!BO180*INDEX(Model!$C$93:$CA$93,Model!$A24) + IF(wplyw_cen_import_wlaczony,'Tablica IO'!BO258*INDEX(Model!$C$2:$CA$2,Model!$A24),'Tablica IO'!BO258*1)</f>
        <v>6.8580432668223555E-4</v>
      </c>
      <c r="BP24" s="222" cm="1">
        <f t="array" aca="1" ref="BP24" ca="1">'Tablica IO'!BP180*INDEX(Model!$C$93:$CA$93,Model!$A24) + IF(wplyw_cen_import_wlaczony,'Tablica IO'!BP258*INDEX(Model!$C$2:$CA$2,Model!$A24),'Tablica IO'!BP258*1)</f>
        <v>1.0926179751851609E-3</v>
      </c>
      <c r="BQ24" s="222" cm="1">
        <f t="array" aca="1" ref="BQ24" ca="1">'Tablica IO'!BQ180*INDEX(Model!$C$93:$CA$93,Model!$A24) + IF(wplyw_cen_import_wlaczony,'Tablica IO'!BQ258*INDEX(Model!$C$2:$CA$2,Model!$A24),'Tablica IO'!BQ258*1)</f>
        <v>3.0958168340887394E-4</v>
      </c>
      <c r="BR24" s="222" cm="1">
        <f t="array" aca="1" ref="BR24" ca="1">'Tablica IO'!BR180*INDEX(Model!$C$93:$CA$93,Model!$A24) + IF(wplyw_cen_import_wlaczony,'Tablica IO'!BR258*INDEX(Model!$C$2:$CA$2,Model!$A24),'Tablica IO'!BR258*1)</f>
        <v>1.2607381373509687E-4</v>
      </c>
      <c r="BS24" s="222" cm="1">
        <f t="array" aca="1" ref="BS24" ca="1">'Tablica IO'!BS180*INDEX(Model!$C$93:$CA$93,Model!$A24) + IF(wplyw_cen_import_wlaczony,'Tablica IO'!BS258*INDEX(Model!$C$2:$CA$2,Model!$A24),'Tablica IO'!BS258*1)</f>
        <v>2.9174689091751512E-4</v>
      </c>
      <c r="BT24" s="222" cm="1">
        <f t="array" aca="1" ref="BT24" ca="1">'Tablica IO'!BT180*INDEX(Model!$C$93:$CA$93,Model!$A24) + IF(wplyw_cen_import_wlaczony,'Tablica IO'!BT258*INDEX(Model!$C$2:$CA$2,Model!$A24),'Tablica IO'!BT258*1)</f>
        <v>6.9798128220996815E-4</v>
      </c>
      <c r="BU24" s="222" cm="1">
        <f t="array" aca="1" ref="BU24" ca="1">'Tablica IO'!BU180*INDEX(Model!$C$93:$CA$93,Model!$A24) + IF(wplyw_cen_import_wlaczony,'Tablica IO'!BU258*INDEX(Model!$C$2:$CA$2,Model!$A24),'Tablica IO'!BU258*1)</f>
        <v>1.5329283941782432E-3</v>
      </c>
      <c r="BV24" s="222" cm="1">
        <f t="array" aca="1" ref="BV24" ca="1">'Tablica IO'!BV180*INDEX(Model!$C$93:$CA$93,Model!$A24) + IF(wplyw_cen_import_wlaczony,'Tablica IO'!BV258*INDEX(Model!$C$2:$CA$2,Model!$A24),'Tablica IO'!BV258*1)</f>
        <v>8.6199581864631519E-6</v>
      </c>
      <c r="BW24" s="222" cm="1">
        <f t="array" aca="1" ref="BW24" ca="1">'Tablica IO'!BW180*INDEX(Model!$C$93:$CA$93,Model!$A24) + IF(wplyw_cen_import_wlaczony,'Tablica IO'!BW258*INDEX(Model!$C$2:$CA$2,Model!$A24),'Tablica IO'!BW258*1)</f>
        <v>1.5995539537384544E-3</v>
      </c>
      <c r="BX24" s="222" cm="1">
        <f t="array" aca="1" ref="BX24" ca="1">'Tablica IO'!BX180*INDEX(Model!$C$93:$CA$93,Model!$A24) + IF(wplyw_cen_import_wlaczony,'Tablica IO'!BX258*INDEX(Model!$C$2:$CA$2,Model!$A24),'Tablica IO'!BX258*1)</f>
        <v>7.7855325913543817E-3</v>
      </c>
      <c r="BY24" s="222" cm="1">
        <f t="array" aca="1" ref="BY24" ca="1">'Tablica IO'!BY180*INDEX(Model!$C$93:$CA$93,Model!$A24) + IF(wplyw_cen_import_wlaczony,'Tablica IO'!BY258*INDEX(Model!$C$2:$CA$2,Model!$A24),'Tablica IO'!BY258*1)</f>
        <v>4.7435918482342018E-3</v>
      </c>
      <c r="BZ24" s="222" cm="1">
        <f t="array" aca="1" ref="BZ24" ca="1">'Tablica IO'!BZ180*INDEX(Model!$C$93:$CA$93,Model!$A24) + IF(wplyw_cen_import_wlaczony,'Tablica IO'!BZ258*INDEX(Model!$C$2:$CA$2,Model!$A24),'Tablica IO'!BZ258*1)</f>
        <v>1.7727575580775635E-2</v>
      </c>
      <c r="CA24" s="222" cm="1">
        <f t="array" aca="1" ref="CA24" ca="1">'Tablica IO'!CA180*INDEX(Model!$C$93:$CA$93,Model!$A24) + IF(wplyw_cen_import_wlaczony,'Tablica IO'!CA258*INDEX(Model!$C$2:$CA$2,Model!$A24),'Tablica IO'!CA258*1)</f>
        <v>0</v>
      </c>
      <c r="CB24" s="247">
        <f ca="1">'Tablica IO'!CD180*INDEX(Model!$C$93:$CA$93,Model!$A24)+'Tablica IO'!CD258*INDEX(Model!$C$2:$CA$2,Model!$A24)</f>
        <v>4.914733765474545E-3</v>
      </c>
      <c r="CC24" s="188">
        <f ca="1">'Tablica IO'!CE180*INDEX(Model!$C$93:$CA$93,Model!$A24)+'Tablica IO'!CE258*INDEX(Model!$C$2:$CA$2,Model!$A24)</f>
        <v>0</v>
      </c>
      <c r="CD24" s="188">
        <f ca="1">'Tablica IO'!CF180*INDEX(Model!$C$93:$CA$93,Model!$A24)+'Tablica IO'!CF258*INDEX(Model!$C$2:$CA$2,Model!$A24)</f>
        <v>-6.3547768726836035E-4</v>
      </c>
      <c r="CE24" s="189">
        <f ca="1">'Tablica IO'!CG180*INDEX(Model!$C$93:$CA$93,Model!$A24)+'Tablica IO'!CG258*INDEX(Model!$C$2:$CA$2,Model!$A24)</f>
        <v>1.8854106088417501E-2</v>
      </c>
    </row>
    <row r="25" spans="1:83" x14ac:dyDescent="0.25">
      <c r="A25" s="164">
        <v>13</v>
      </c>
      <c r="B25" s="172" t="s">
        <v>12</v>
      </c>
      <c r="C25" s="221" cm="1">
        <f t="array" aca="1" ref="C25" ca="1">'Tablica IO'!C181*INDEX(Model!$C$93:$CA$93,Model!$A25) + IF(wplyw_cen_import_wlaczony,'Tablica IO'!C259*INDEX(Model!$C$2:$CA$2,Model!$A25),'Tablica IO'!C259*1)</f>
        <v>8.2413257344874789E-4</v>
      </c>
      <c r="D25" s="222" cm="1">
        <f t="array" aca="1" ref="D25" ca="1">'Tablica IO'!D181*INDEX(Model!$C$93:$CA$93,Model!$A25) + IF(wplyw_cen_import_wlaczony,'Tablica IO'!D259*INDEX(Model!$C$2:$CA$2,Model!$A25),'Tablica IO'!D259*1)</f>
        <v>2.537544920840669E-3</v>
      </c>
      <c r="E25" s="222" cm="1">
        <f t="array" aca="1" ref="E25" ca="1">'Tablica IO'!E181*INDEX(Model!$C$93:$CA$93,Model!$A25) + IF(wplyw_cen_import_wlaczony,'Tablica IO'!E259*INDEX(Model!$C$2:$CA$2,Model!$A25),'Tablica IO'!E259*1)</f>
        <v>9.5602209598228815E-4</v>
      </c>
      <c r="F25" s="222" cm="1">
        <f t="array" aca="1" ref="F25" ca="1">'Tablica IO'!F181*INDEX(Model!$C$93:$CA$93,Model!$A25) + IF(wplyw_cen_import_wlaczony,'Tablica IO'!F259*INDEX(Model!$C$2:$CA$2,Model!$A25),'Tablica IO'!F259*1)</f>
        <v>5.9631665763478685E-4</v>
      </c>
      <c r="G25" s="222" cm="1">
        <f t="array" aca="1" ref="G25" ca="1">'Tablica IO'!G181*INDEX(Model!$C$93:$CA$93,Model!$A25) + IF(wplyw_cen_import_wlaczony,'Tablica IO'!G259*INDEX(Model!$C$2:$CA$2,Model!$A25),'Tablica IO'!G259*1)</f>
        <v>2.1814619051333298E-3</v>
      </c>
      <c r="H25" s="222" cm="1">
        <f t="array" aca="1" ref="H25" ca="1">'Tablica IO'!H181*INDEX(Model!$C$93:$CA$93,Model!$A25) + IF(wplyw_cen_import_wlaczony,'Tablica IO'!H259*INDEX(Model!$C$2:$CA$2,Model!$A25),'Tablica IO'!H259*1)</f>
        <v>1.2669413254625086E-2</v>
      </c>
      <c r="I25" s="222" cm="1">
        <f t="array" aca="1" ref="I25" ca="1">'Tablica IO'!I181*INDEX(Model!$C$93:$CA$93,Model!$A25) + IF(wplyw_cen_import_wlaczony,'Tablica IO'!I259*INDEX(Model!$C$2:$CA$2,Model!$A25),'Tablica IO'!I259*1)</f>
        <v>3.253418211407149E-2</v>
      </c>
      <c r="J25" s="222" cm="1">
        <f t="array" aca="1" ref="J25" ca="1">'Tablica IO'!J181*INDEX(Model!$C$93:$CA$93,Model!$A25) + IF(wplyw_cen_import_wlaczony,'Tablica IO'!J259*INDEX(Model!$C$2:$CA$2,Model!$A25),'Tablica IO'!J259*1)</f>
        <v>8.1181770700388664E-2</v>
      </c>
      <c r="K25" s="222" cm="1">
        <f t="array" aca="1" ref="K25" ca="1">'Tablica IO'!K181*INDEX(Model!$C$93:$CA$93,Model!$A25) + IF(wplyw_cen_import_wlaczony,'Tablica IO'!K259*INDEX(Model!$C$2:$CA$2,Model!$A25),'Tablica IO'!K259*1)</f>
        <v>1.5572400321442354E-2</v>
      </c>
      <c r="L25" s="222" cm="1">
        <f t="array" aca="1" ref="L25" ca="1">'Tablica IO'!L181*INDEX(Model!$C$93:$CA$93,Model!$A25) + IF(wplyw_cen_import_wlaczony,'Tablica IO'!L259*INDEX(Model!$C$2:$CA$2,Model!$A25),'Tablica IO'!L259*1)</f>
        <v>4.1022486734069649E-3</v>
      </c>
      <c r="M25" s="222" cm="1">
        <f t="array" aca="1" ref="M25" ca="1">'Tablica IO'!M181*INDEX(Model!$C$93:$CA$93,Model!$A25) + IF(wplyw_cen_import_wlaczony,'Tablica IO'!M259*INDEX(Model!$C$2:$CA$2,Model!$A25),'Tablica IO'!M259*1)</f>
        <v>1.529306769693289E-2</v>
      </c>
      <c r="N25" s="222" cm="1">
        <f t="array" aca="1" ref="N25" ca="1">'Tablica IO'!N181*INDEX(Model!$C$93:$CA$93,Model!$A25) + IF(wplyw_cen_import_wlaczony,'Tablica IO'!N259*INDEX(Model!$C$2:$CA$2,Model!$A25),'Tablica IO'!N259*1)</f>
        <v>2.7613520149711121E-2</v>
      </c>
      <c r="O25" s="222" cm="1">
        <f t="array" aca="1" ref="O25" ca="1">'Tablica IO'!O181*INDEX(Model!$C$93:$CA$93,Model!$A25) + IF(wplyw_cen_import_wlaczony,'Tablica IO'!O259*INDEX(Model!$C$2:$CA$2,Model!$A25),'Tablica IO'!O259*1)</f>
        <v>0.35957677755847606</v>
      </c>
      <c r="P25" s="222" cm="1">
        <f t="array" aca="1" ref="P25" ca="1">'Tablica IO'!P181*INDEX(Model!$C$93:$CA$93,Model!$A25) + IF(wplyw_cen_import_wlaczony,'Tablica IO'!P259*INDEX(Model!$C$2:$CA$2,Model!$A25),'Tablica IO'!P259*1)</f>
        <v>0.25705818190983393</v>
      </c>
      <c r="Q25" s="222" cm="1">
        <f t="array" aca="1" ref="Q25" ca="1">'Tablica IO'!Q181*INDEX(Model!$C$93:$CA$93,Model!$A25) + IF(wplyw_cen_import_wlaczony,'Tablica IO'!Q259*INDEX(Model!$C$2:$CA$2,Model!$A25),'Tablica IO'!Q259*1)</f>
        <v>1.5424317025895099E-3</v>
      </c>
      <c r="R25" s="222" cm="1">
        <f t="array" aca="1" ref="R25" ca="1">'Tablica IO'!R181*INDEX(Model!$C$93:$CA$93,Model!$A25) + IF(wplyw_cen_import_wlaczony,'Tablica IO'!R259*INDEX(Model!$C$2:$CA$2,Model!$A25),'Tablica IO'!R259*1)</f>
        <v>9.063531838601608E-3</v>
      </c>
      <c r="S25" s="222" cm="1">
        <f t="array" aca="1" ref="S25" ca="1">'Tablica IO'!S181*INDEX(Model!$C$93:$CA$93,Model!$A25) + IF(wplyw_cen_import_wlaczony,'Tablica IO'!S259*INDEX(Model!$C$2:$CA$2,Model!$A25),'Tablica IO'!S259*1)</f>
        <v>1.5681466030919813E-2</v>
      </c>
      <c r="T25" s="222" cm="1">
        <f t="array" aca="1" ref="T25" ca="1">'Tablica IO'!T181*INDEX(Model!$C$93:$CA$93,Model!$A25) + IF(wplyw_cen_import_wlaczony,'Tablica IO'!T259*INDEX(Model!$C$2:$CA$2,Model!$A25),'Tablica IO'!T259*1)</f>
        <v>1.2072762615722942E-2</v>
      </c>
      <c r="U25" s="222" cm="1">
        <f t="array" aca="1" ref="U25" ca="1">'Tablica IO'!U181*INDEX(Model!$C$93:$CA$93,Model!$A25) + IF(wplyw_cen_import_wlaczony,'Tablica IO'!U259*INDEX(Model!$C$2:$CA$2,Model!$A25),'Tablica IO'!U259*1)</f>
        <v>2.1271682654888262E-2</v>
      </c>
      <c r="V25" s="222" cm="1">
        <f t="array" aca="1" ref="V25" ca="1">'Tablica IO'!V181*INDEX(Model!$C$93:$CA$93,Model!$A25) + IF(wplyw_cen_import_wlaczony,'Tablica IO'!V259*INDEX(Model!$C$2:$CA$2,Model!$A25),'Tablica IO'!V259*1)</f>
        <v>1.4799544739345538E-3</v>
      </c>
      <c r="W25" s="222" cm="1">
        <f t="array" aca="1" ref="W25" ca="1">'Tablica IO'!W181*INDEX(Model!$C$93:$CA$93,Model!$A25) + IF(wplyw_cen_import_wlaczony,'Tablica IO'!W259*INDEX(Model!$C$2:$CA$2,Model!$A25),'Tablica IO'!W259*1)</f>
        <v>2.9273216032704129E-3</v>
      </c>
      <c r="X25" s="222" cm="1">
        <f t="array" aca="1" ref="X25" ca="1">'Tablica IO'!X181*INDEX(Model!$C$93:$CA$93,Model!$A25) + IF(wplyw_cen_import_wlaczony,'Tablica IO'!X259*INDEX(Model!$C$2:$CA$2,Model!$A25),'Tablica IO'!X259*1)</f>
        <v>1.1781791189932923E-3</v>
      </c>
      <c r="Y25" s="222" cm="1">
        <f t="array" aca="1" ref="Y25" ca="1">'Tablica IO'!Y181*INDEX(Model!$C$93:$CA$93,Model!$A25) + IF(wplyw_cen_import_wlaczony,'Tablica IO'!Y259*INDEX(Model!$C$2:$CA$2,Model!$A25),'Tablica IO'!Y259*1)</f>
        <v>6.0750178566317831E-3</v>
      </c>
      <c r="Z25" s="222" cm="1">
        <f t="array" aca="1" ref="Z25" ca="1">'Tablica IO'!Z181*INDEX(Model!$C$93:$CA$93,Model!$A25) + IF(wplyw_cen_import_wlaczony,'Tablica IO'!Z259*INDEX(Model!$C$2:$CA$2,Model!$A25),'Tablica IO'!Z259*1)</f>
        <v>4.1453562903989117E-3</v>
      </c>
      <c r="AA25" s="222" cm="1">
        <f t="array" aca="1" ref="AA25" ca="1">'Tablica IO'!AA181*INDEX(Model!$C$93:$CA$93,Model!$A25) + IF(wplyw_cen_import_wlaczony,'Tablica IO'!AA259*INDEX(Model!$C$2:$CA$2,Model!$A25),'Tablica IO'!AA259*1)</f>
        <v>2.5397562994055834E-3</v>
      </c>
      <c r="AB25" s="222" cm="1">
        <f t="array" aca="1" ref="AB25" ca="1">'Tablica IO'!AB181*INDEX(Model!$C$93:$CA$93,Model!$A25) + IF(wplyw_cen_import_wlaczony,'Tablica IO'!AB259*INDEX(Model!$C$2:$CA$2,Model!$A25),'Tablica IO'!AB259*1)</f>
        <v>2.9712041313800959E-3</v>
      </c>
      <c r="AC25" s="222" cm="1">
        <f t="array" aca="1" ref="AC25" ca="1">'Tablica IO'!AC181*INDEX(Model!$C$93:$CA$93,Model!$A25) + IF(wplyw_cen_import_wlaczony,'Tablica IO'!AC259*INDEX(Model!$C$2:$CA$2,Model!$A25),'Tablica IO'!AC259*1)</f>
        <v>2.8028372707727761E-2</v>
      </c>
      <c r="AD25" s="222" cm="1">
        <f t="array" aca="1" ref="AD25" ca="1">'Tablica IO'!AD181*INDEX(Model!$C$93:$CA$93,Model!$A25) + IF(wplyw_cen_import_wlaczony,'Tablica IO'!AD259*INDEX(Model!$C$2:$CA$2,Model!$A25),'Tablica IO'!AD259*1)</f>
        <v>1.7991212444385535E-2</v>
      </c>
      <c r="AE25" s="222" cm="1">
        <f t="array" aca="1" ref="AE25" ca="1">'Tablica IO'!AE181*INDEX(Model!$C$93:$CA$93,Model!$A25) + IF(wplyw_cen_import_wlaczony,'Tablica IO'!AE259*INDEX(Model!$C$2:$CA$2,Model!$A25),'Tablica IO'!AE259*1)</f>
        <v>2.7594659264483018E-3</v>
      </c>
      <c r="AF25" s="222" cm="1">
        <f t="array" aca="1" ref="AF25" ca="1">'Tablica IO'!AF181*INDEX(Model!$C$93:$CA$93,Model!$A25) + IF(wplyw_cen_import_wlaczony,'Tablica IO'!AF259*INDEX(Model!$C$2:$CA$2,Model!$A25),'Tablica IO'!AF259*1)</f>
        <v>6.4532319042805326E-4</v>
      </c>
      <c r="AG25" s="222" cm="1">
        <f t="array" aca="1" ref="AG25" ca="1">'Tablica IO'!AG181*INDEX(Model!$C$93:$CA$93,Model!$A25) + IF(wplyw_cen_import_wlaczony,'Tablica IO'!AG259*INDEX(Model!$C$2:$CA$2,Model!$A25),'Tablica IO'!AG259*1)</f>
        <v>2.5116641068967374E-3</v>
      </c>
      <c r="AH25" s="222" cm="1">
        <f t="array" aca="1" ref="AH25" ca="1">'Tablica IO'!AH181*INDEX(Model!$C$93:$CA$93,Model!$A25) + IF(wplyw_cen_import_wlaczony,'Tablica IO'!AH259*INDEX(Model!$C$2:$CA$2,Model!$A25),'Tablica IO'!AH259*1)</f>
        <v>6.7779966032336346E-3</v>
      </c>
      <c r="AI25" s="222" cm="1">
        <f t="array" aca="1" ref="AI25" ca="1">'Tablica IO'!AI181*INDEX(Model!$C$93:$CA$93,Model!$A25) + IF(wplyw_cen_import_wlaczony,'Tablica IO'!AI259*INDEX(Model!$C$2:$CA$2,Model!$A25),'Tablica IO'!AI259*1)</f>
        <v>1.7796345421496424E-3</v>
      </c>
      <c r="AJ25" s="222" cm="1">
        <f t="array" aca="1" ref="AJ25" ca="1">'Tablica IO'!AJ181*INDEX(Model!$C$93:$CA$93,Model!$A25) + IF(wplyw_cen_import_wlaczony,'Tablica IO'!AJ259*INDEX(Model!$C$2:$CA$2,Model!$A25),'Tablica IO'!AJ259*1)</f>
        <v>1.4324194724280356E-3</v>
      </c>
      <c r="AK25" s="222" cm="1">
        <f t="array" aca="1" ref="AK25" ca="1">'Tablica IO'!AK181*INDEX(Model!$C$93:$CA$93,Model!$A25) + IF(wplyw_cen_import_wlaczony,'Tablica IO'!AK259*INDEX(Model!$C$2:$CA$2,Model!$A25),'Tablica IO'!AK259*1)</f>
        <v>2.9797974943869673E-3</v>
      </c>
      <c r="AL25" s="222" cm="1">
        <f t="array" aca="1" ref="AL25" ca="1">'Tablica IO'!AL181*INDEX(Model!$C$93:$CA$93,Model!$A25) + IF(wplyw_cen_import_wlaczony,'Tablica IO'!AL259*INDEX(Model!$C$2:$CA$2,Model!$A25),'Tablica IO'!AL259*1)</f>
        <v>1.0060835315368326E-2</v>
      </c>
      <c r="AM25" s="222" cm="1">
        <f t="array" aca="1" ref="AM25" ca="1">'Tablica IO'!AM181*INDEX(Model!$C$93:$CA$93,Model!$A25) + IF(wplyw_cen_import_wlaczony,'Tablica IO'!AM259*INDEX(Model!$C$2:$CA$2,Model!$A25),'Tablica IO'!AM259*1)</f>
        <v>4.994001613749484E-3</v>
      </c>
      <c r="AN25" s="222" cm="1">
        <f t="array" aca="1" ref="AN25" ca="1">'Tablica IO'!AN181*INDEX(Model!$C$93:$CA$93,Model!$A25) + IF(wplyw_cen_import_wlaczony,'Tablica IO'!AN259*INDEX(Model!$C$2:$CA$2,Model!$A25),'Tablica IO'!AN259*1)</f>
        <v>2.5376938696533074E-3</v>
      </c>
      <c r="AO25" s="222" cm="1">
        <f t="array" aca="1" ref="AO25" ca="1">'Tablica IO'!AO181*INDEX(Model!$C$93:$CA$93,Model!$A25) + IF(wplyw_cen_import_wlaczony,'Tablica IO'!AO259*INDEX(Model!$C$2:$CA$2,Model!$A25),'Tablica IO'!AO259*1)</f>
        <v>9.9742723852271824E-4</v>
      </c>
      <c r="AP25" s="222" cm="1">
        <f t="array" aca="1" ref="AP25" ca="1">'Tablica IO'!AP181*INDEX(Model!$C$93:$CA$93,Model!$A25) + IF(wplyw_cen_import_wlaczony,'Tablica IO'!AP259*INDEX(Model!$C$2:$CA$2,Model!$A25),'Tablica IO'!AP259*1)</f>
        <v>6.0412414308308625E-3</v>
      </c>
      <c r="AQ25" s="222" cm="1">
        <f t="array" aca="1" ref="AQ25" ca="1">'Tablica IO'!AQ181*INDEX(Model!$C$93:$CA$93,Model!$A25) + IF(wplyw_cen_import_wlaczony,'Tablica IO'!AQ259*INDEX(Model!$C$2:$CA$2,Model!$A25),'Tablica IO'!AQ259*1)</f>
        <v>4.1434230216326525E-3</v>
      </c>
      <c r="AR25" s="222" cm="1">
        <f t="array" aca="1" ref="AR25" ca="1">'Tablica IO'!AR181*INDEX(Model!$C$93:$CA$93,Model!$A25) + IF(wplyw_cen_import_wlaczony,'Tablica IO'!AR259*INDEX(Model!$C$2:$CA$2,Model!$A25),'Tablica IO'!AR259*1)</f>
        <v>8.6365251360880305E-3</v>
      </c>
      <c r="AS25" s="222" cm="1">
        <f t="array" aca="1" ref="AS25" ca="1">'Tablica IO'!AS181*INDEX(Model!$C$93:$CA$93,Model!$A25) + IF(wplyw_cen_import_wlaczony,'Tablica IO'!AS259*INDEX(Model!$C$2:$CA$2,Model!$A25),'Tablica IO'!AS259*1)</f>
        <v>0.12489330125110475</v>
      </c>
      <c r="AT25" s="222" cm="1">
        <f t="array" aca="1" ref="AT25" ca="1">'Tablica IO'!AT181*INDEX(Model!$C$93:$CA$93,Model!$A25) + IF(wplyw_cen_import_wlaczony,'Tablica IO'!AT259*INDEX(Model!$C$2:$CA$2,Model!$A25),'Tablica IO'!AT259*1)</f>
        <v>2.7515078377871118E-2</v>
      </c>
      <c r="AU25" s="222" cm="1">
        <f t="array" aca="1" ref="AU25" ca="1">'Tablica IO'!AU181*INDEX(Model!$C$93:$CA$93,Model!$A25) + IF(wplyw_cen_import_wlaczony,'Tablica IO'!AU259*INDEX(Model!$C$2:$CA$2,Model!$A25),'Tablica IO'!AU259*1)</f>
        <v>3.6069074093309968E-5</v>
      </c>
      <c r="AV25" s="222" cm="1">
        <f t="array" aca="1" ref="AV25" ca="1">'Tablica IO'!AV181*INDEX(Model!$C$93:$CA$93,Model!$A25) + IF(wplyw_cen_import_wlaczony,'Tablica IO'!AV259*INDEX(Model!$C$2:$CA$2,Model!$A25),'Tablica IO'!AV259*1)</f>
        <v>1.377378659225055E-3</v>
      </c>
      <c r="AW25" s="222" cm="1">
        <f t="array" aca="1" ref="AW25" ca="1">'Tablica IO'!AW181*INDEX(Model!$C$93:$CA$93,Model!$A25) + IF(wplyw_cen_import_wlaczony,'Tablica IO'!AW259*INDEX(Model!$C$2:$CA$2,Model!$A25),'Tablica IO'!AW259*1)</f>
        <v>1.0613637713456974E-3</v>
      </c>
      <c r="AX25" s="222" cm="1">
        <f t="array" aca="1" ref="AX25" ca="1">'Tablica IO'!AX181*INDEX(Model!$C$93:$CA$93,Model!$A25) + IF(wplyw_cen_import_wlaczony,'Tablica IO'!AX259*INDEX(Model!$C$2:$CA$2,Model!$A25),'Tablica IO'!AX259*1)</f>
        <v>7.0939978245959968E-3</v>
      </c>
      <c r="AY25" s="222" cm="1">
        <f t="array" aca="1" ref="AY25" ca="1">'Tablica IO'!AY181*INDEX(Model!$C$93:$CA$93,Model!$A25) + IF(wplyw_cen_import_wlaczony,'Tablica IO'!AY259*INDEX(Model!$C$2:$CA$2,Model!$A25),'Tablica IO'!AY259*1)</f>
        <v>5.0178808649438463E-3</v>
      </c>
      <c r="AZ25" s="222" cm="1">
        <f t="array" aca="1" ref="AZ25" ca="1">'Tablica IO'!AZ181*INDEX(Model!$C$93:$CA$93,Model!$A25) + IF(wplyw_cen_import_wlaczony,'Tablica IO'!AZ259*INDEX(Model!$C$2:$CA$2,Model!$A25),'Tablica IO'!AZ259*1)</f>
        <v>1.8027970045872345E-2</v>
      </c>
      <c r="BA25" s="222" cm="1">
        <f t="array" aca="1" ref="BA25" ca="1">'Tablica IO'!BA181*INDEX(Model!$C$93:$CA$93,Model!$A25) + IF(wplyw_cen_import_wlaczony,'Tablica IO'!BA259*INDEX(Model!$C$2:$CA$2,Model!$A25),'Tablica IO'!BA259*1)</f>
        <v>9.550827867417927E-3</v>
      </c>
      <c r="BB25" s="222" cm="1">
        <f t="array" aca="1" ref="BB25" ca="1">'Tablica IO'!BB181*INDEX(Model!$C$93:$CA$93,Model!$A25) + IF(wplyw_cen_import_wlaczony,'Tablica IO'!BB259*INDEX(Model!$C$2:$CA$2,Model!$A25),'Tablica IO'!BB259*1)</f>
        <v>2.8392711875290877E-3</v>
      </c>
      <c r="BC25" s="222" cm="1">
        <f t="array" aca="1" ref="BC25" ca="1">'Tablica IO'!BC181*INDEX(Model!$C$93:$CA$93,Model!$A25) + IF(wplyw_cen_import_wlaczony,'Tablica IO'!BC259*INDEX(Model!$C$2:$CA$2,Model!$A25),'Tablica IO'!BC259*1)</f>
        <v>1.7078187657938813E-3</v>
      </c>
      <c r="BD25" s="222" cm="1">
        <f t="array" aca="1" ref="BD25" ca="1">'Tablica IO'!BD181*INDEX(Model!$C$93:$CA$93,Model!$A25) + IF(wplyw_cen_import_wlaczony,'Tablica IO'!BD259*INDEX(Model!$C$2:$CA$2,Model!$A25),'Tablica IO'!BD259*1)</f>
        <v>1.7832832402149216E-3</v>
      </c>
      <c r="BE25" s="222" cm="1">
        <f t="array" aca="1" ref="BE25" ca="1">'Tablica IO'!BE181*INDEX(Model!$C$93:$CA$93,Model!$A25) + IF(wplyw_cen_import_wlaczony,'Tablica IO'!BE259*INDEX(Model!$C$2:$CA$2,Model!$A25),'Tablica IO'!BE259*1)</f>
        <v>1.8477501079674449E-3</v>
      </c>
      <c r="BF25" s="222" cm="1">
        <f t="array" aca="1" ref="BF25" ca="1">'Tablica IO'!BF181*INDEX(Model!$C$93:$CA$93,Model!$A25) + IF(wplyw_cen_import_wlaczony,'Tablica IO'!BF259*INDEX(Model!$C$2:$CA$2,Model!$A25),'Tablica IO'!BF259*1)</f>
        <v>9.5672180910788794E-3</v>
      </c>
      <c r="BG25" s="222" cm="1">
        <f t="array" aca="1" ref="BG25" ca="1">'Tablica IO'!BG181*INDEX(Model!$C$93:$CA$93,Model!$A25) + IF(wplyw_cen_import_wlaczony,'Tablica IO'!BG259*INDEX(Model!$C$2:$CA$2,Model!$A25),'Tablica IO'!BG259*1)</f>
        <v>5.1427587484892895E-3</v>
      </c>
      <c r="BH25" s="222" cm="1">
        <f t="array" aca="1" ref="BH25" ca="1">'Tablica IO'!BH181*INDEX(Model!$C$93:$CA$93,Model!$A25) + IF(wplyw_cen_import_wlaczony,'Tablica IO'!BH259*INDEX(Model!$C$2:$CA$2,Model!$A25),'Tablica IO'!BH259*1)</f>
        <v>3.0106304264259716E-3</v>
      </c>
      <c r="BI25" s="222" cm="1">
        <f t="array" aca="1" ref="BI25" ca="1">'Tablica IO'!BI181*INDEX(Model!$C$93:$CA$93,Model!$A25) + IF(wplyw_cen_import_wlaczony,'Tablica IO'!BI259*INDEX(Model!$C$2:$CA$2,Model!$A25),'Tablica IO'!BI259*1)</f>
        <v>3.5462015675784666E-5</v>
      </c>
      <c r="BJ25" s="222" cm="1">
        <f t="array" aca="1" ref="BJ25" ca="1">'Tablica IO'!BJ181*INDEX(Model!$C$93:$CA$93,Model!$A25) + IF(wplyw_cen_import_wlaczony,'Tablica IO'!BJ259*INDEX(Model!$C$2:$CA$2,Model!$A25),'Tablica IO'!BJ259*1)</f>
        <v>1.213812755347717E-3</v>
      </c>
      <c r="BK25" s="222" cm="1">
        <f t="array" aca="1" ref="BK25" ca="1">'Tablica IO'!BK181*INDEX(Model!$C$93:$CA$93,Model!$A25) + IF(wplyw_cen_import_wlaczony,'Tablica IO'!BK259*INDEX(Model!$C$2:$CA$2,Model!$A25),'Tablica IO'!BK259*1)</f>
        <v>7.3735553361989141E-4</v>
      </c>
      <c r="BL25" s="222" cm="1">
        <f t="array" aca="1" ref="BL25" ca="1">'Tablica IO'!BL181*INDEX(Model!$C$93:$CA$93,Model!$A25) + IF(wplyw_cen_import_wlaczony,'Tablica IO'!BL259*INDEX(Model!$C$2:$CA$2,Model!$A25),'Tablica IO'!BL259*1)</f>
        <v>1.4476963928306359E-3</v>
      </c>
      <c r="BM25" s="222" cm="1">
        <f t="array" aca="1" ref="BM25" ca="1">'Tablica IO'!BM181*INDEX(Model!$C$93:$CA$93,Model!$A25) + IF(wplyw_cen_import_wlaczony,'Tablica IO'!BM259*INDEX(Model!$C$2:$CA$2,Model!$A25),'Tablica IO'!BM259*1)</f>
        <v>1.6853726998489783E-3</v>
      </c>
      <c r="BN25" s="222" cm="1">
        <f t="array" aca="1" ref="BN25" ca="1">'Tablica IO'!BN181*INDEX(Model!$C$93:$CA$93,Model!$A25) + IF(wplyw_cen_import_wlaczony,'Tablica IO'!BN259*INDEX(Model!$C$2:$CA$2,Model!$A25),'Tablica IO'!BN259*1)</f>
        <v>5.2314507947841243E-3</v>
      </c>
      <c r="BO25" s="222" cm="1">
        <f t="array" aca="1" ref="BO25" ca="1">'Tablica IO'!BO181*INDEX(Model!$C$93:$CA$93,Model!$A25) + IF(wplyw_cen_import_wlaczony,'Tablica IO'!BO259*INDEX(Model!$C$2:$CA$2,Model!$A25),'Tablica IO'!BO259*1)</f>
        <v>7.1252782819986066E-2</v>
      </c>
      <c r="BP25" s="222" cm="1">
        <f t="array" aca="1" ref="BP25" ca="1">'Tablica IO'!BP181*INDEX(Model!$C$93:$CA$93,Model!$A25) + IF(wplyw_cen_import_wlaczony,'Tablica IO'!BP259*INDEX(Model!$C$2:$CA$2,Model!$A25),'Tablica IO'!BP259*1)</f>
        <v>3.9414505098942197E-3</v>
      </c>
      <c r="BQ25" s="222" cm="1">
        <f t="array" aca="1" ref="BQ25" ca="1">'Tablica IO'!BQ181*INDEX(Model!$C$93:$CA$93,Model!$A25) + IF(wplyw_cen_import_wlaczony,'Tablica IO'!BQ259*INDEX(Model!$C$2:$CA$2,Model!$A25),'Tablica IO'!BQ259*1)</f>
        <v>3.5020737105479704E-3</v>
      </c>
      <c r="BR25" s="222" cm="1">
        <f t="array" aca="1" ref="BR25" ca="1">'Tablica IO'!BR181*INDEX(Model!$C$93:$CA$93,Model!$A25) + IF(wplyw_cen_import_wlaczony,'Tablica IO'!BR259*INDEX(Model!$C$2:$CA$2,Model!$A25),'Tablica IO'!BR259*1)</f>
        <v>1.3666441937233535E-3</v>
      </c>
      <c r="BS25" s="222" cm="1">
        <f t="array" aca="1" ref="BS25" ca="1">'Tablica IO'!BS181*INDEX(Model!$C$93:$CA$93,Model!$A25) + IF(wplyw_cen_import_wlaczony,'Tablica IO'!BS259*INDEX(Model!$C$2:$CA$2,Model!$A25),'Tablica IO'!BS259*1)</f>
        <v>1.2275973706997291E-3</v>
      </c>
      <c r="BT25" s="222" cm="1">
        <f t="array" aca="1" ref="BT25" ca="1">'Tablica IO'!BT181*INDEX(Model!$C$93:$CA$93,Model!$A25) + IF(wplyw_cen_import_wlaczony,'Tablica IO'!BT259*INDEX(Model!$C$2:$CA$2,Model!$A25),'Tablica IO'!BT259*1)</f>
        <v>1.2919012009262027E-2</v>
      </c>
      <c r="BU25" s="222" cm="1">
        <f t="array" aca="1" ref="BU25" ca="1">'Tablica IO'!BU181*INDEX(Model!$C$93:$CA$93,Model!$A25) + IF(wplyw_cen_import_wlaczony,'Tablica IO'!BU259*INDEX(Model!$C$2:$CA$2,Model!$A25),'Tablica IO'!BU259*1)</f>
        <v>1.9302188657022101E-2</v>
      </c>
      <c r="BV25" s="222" cm="1">
        <f t="array" aca="1" ref="BV25" ca="1">'Tablica IO'!BV181*INDEX(Model!$C$93:$CA$93,Model!$A25) + IF(wplyw_cen_import_wlaczony,'Tablica IO'!BV259*INDEX(Model!$C$2:$CA$2,Model!$A25),'Tablica IO'!BV259*1)</f>
        <v>1.0266490383355949E-2</v>
      </c>
      <c r="BW25" s="222" cm="1">
        <f t="array" aca="1" ref="BW25" ca="1">'Tablica IO'!BW181*INDEX(Model!$C$93:$CA$93,Model!$A25) + IF(wplyw_cen_import_wlaczony,'Tablica IO'!BW259*INDEX(Model!$C$2:$CA$2,Model!$A25),'Tablica IO'!BW259*1)</f>
        <v>9.0325298517973142E-4</v>
      </c>
      <c r="BX25" s="222" cm="1">
        <f t="array" aca="1" ref="BX25" ca="1">'Tablica IO'!BX181*INDEX(Model!$C$93:$CA$93,Model!$A25) + IF(wplyw_cen_import_wlaczony,'Tablica IO'!BX259*INDEX(Model!$C$2:$CA$2,Model!$A25),'Tablica IO'!BX259*1)</f>
        <v>6.7676109544823421E-2</v>
      </c>
      <c r="BY25" s="222" cm="1">
        <f t="array" aca="1" ref="BY25" ca="1">'Tablica IO'!BY181*INDEX(Model!$C$93:$CA$93,Model!$A25) + IF(wplyw_cen_import_wlaczony,'Tablica IO'!BY259*INDEX(Model!$C$2:$CA$2,Model!$A25),'Tablica IO'!BY259*1)</f>
        <v>3.897025525593272E-4</v>
      </c>
      <c r="BZ25" s="222" cm="1">
        <f t="array" aca="1" ref="BZ25" ca="1">'Tablica IO'!BZ181*INDEX(Model!$C$93:$CA$93,Model!$A25) + IF(wplyw_cen_import_wlaczony,'Tablica IO'!BZ259*INDEX(Model!$C$2:$CA$2,Model!$A25),'Tablica IO'!BZ259*1)</f>
        <v>5.6903312422916527E-3</v>
      </c>
      <c r="CA25" s="222" cm="1">
        <f t="array" aca="1" ref="CA25" ca="1">'Tablica IO'!CA181*INDEX(Model!$C$93:$CA$93,Model!$A25) + IF(wplyw_cen_import_wlaczony,'Tablica IO'!CA259*INDEX(Model!$C$2:$CA$2,Model!$A25),'Tablica IO'!CA259*1)</f>
        <v>0</v>
      </c>
      <c r="CB25" s="247">
        <f ca="1">'Tablica IO'!CD181*INDEX(Model!$C$93:$CA$93,Model!$A25)+'Tablica IO'!CD259*INDEX(Model!$C$2:$CA$2,Model!$A25)</f>
        <v>2.8171713201723663E-3</v>
      </c>
      <c r="CC25" s="188">
        <f ca="1">'Tablica IO'!CE181*INDEX(Model!$C$93:$CA$93,Model!$A25)+'Tablica IO'!CE259*INDEX(Model!$C$2:$CA$2,Model!$A25)</f>
        <v>6.19605300212123E-5</v>
      </c>
      <c r="CD25" s="188">
        <f ca="1">'Tablica IO'!CF181*INDEX(Model!$C$93:$CA$93,Model!$A25)+'Tablica IO'!CF259*INDEX(Model!$C$2:$CA$2,Model!$A25)</f>
        <v>2.7929792441078031E-3</v>
      </c>
      <c r="CE25" s="189">
        <f ca="1">'Tablica IO'!CG181*INDEX(Model!$C$93:$CA$93,Model!$A25)+'Tablica IO'!CG259*INDEX(Model!$C$2:$CA$2,Model!$A25)</f>
        <v>2.1482306044556181E-2</v>
      </c>
    </row>
    <row r="26" spans="1:83" x14ac:dyDescent="0.25">
      <c r="A26" s="164">
        <v>14</v>
      </c>
      <c r="B26" s="172" t="s">
        <v>13</v>
      </c>
      <c r="C26" s="221" cm="1">
        <f t="array" aca="1" ref="C26" ca="1">'Tablica IO'!C182*INDEX(Model!$C$93:$CA$93,Model!$A26) + IF(wplyw_cen_import_wlaczony,'Tablica IO'!C260*INDEX(Model!$C$2:$CA$2,Model!$A26),'Tablica IO'!C260*1)</f>
        <v>4.0132588011808374E-5</v>
      </c>
      <c r="D26" s="222" cm="1">
        <f t="array" aca="1" ref="D26" ca="1">'Tablica IO'!D182*INDEX(Model!$C$93:$CA$93,Model!$A26) + IF(wplyw_cen_import_wlaczony,'Tablica IO'!D260*INDEX(Model!$C$2:$CA$2,Model!$A26),'Tablica IO'!D260*1)</f>
        <v>3.1593975728660598E-4</v>
      </c>
      <c r="E26" s="222" cm="1">
        <f t="array" aca="1" ref="E26" ca="1">'Tablica IO'!E182*INDEX(Model!$C$93:$CA$93,Model!$A26) + IF(wplyw_cen_import_wlaczony,'Tablica IO'!E260*INDEX(Model!$C$2:$CA$2,Model!$A26),'Tablica IO'!E260*1)</f>
        <v>8.7752386613562503E-5</v>
      </c>
      <c r="F26" s="222" cm="1">
        <f t="array" aca="1" ref="F26" ca="1">'Tablica IO'!F182*INDEX(Model!$C$93:$CA$93,Model!$A26) + IF(wplyw_cen_import_wlaczony,'Tablica IO'!F260*INDEX(Model!$C$2:$CA$2,Model!$A26),'Tablica IO'!F260*1)</f>
        <v>1.4876716282240372E-6</v>
      </c>
      <c r="G26" s="222" cm="1">
        <f t="array" aca="1" ref="G26" ca="1">'Tablica IO'!G182*INDEX(Model!$C$93:$CA$93,Model!$A26) + IF(wplyw_cen_import_wlaczony,'Tablica IO'!G260*INDEX(Model!$C$2:$CA$2,Model!$A26),'Tablica IO'!G260*1)</f>
        <v>1.5328725131076083E-4</v>
      </c>
      <c r="H26" s="222" cm="1">
        <f t="array" aca="1" ref="H26" ca="1">'Tablica IO'!H182*INDEX(Model!$C$93:$CA$93,Model!$A26) + IF(wplyw_cen_import_wlaczony,'Tablica IO'!H260*INDEX(Model!$C$2:$CA$2,Model!$A26),'Tablica IO'!H260*1)</f>
        <v>3.390067803056784E-4</v>
      </c>
      <c r="I26" s="222" cm="1">
        <f t="array" aca="1" ref="I26" ca="1">'Tablica IO'!I182*INDEX(Model!$C$93:$CA$93,Model!$A26) + IF(wplyw_cen_import_wlaczony,'Tablica IO'!I260*INDEX(Model!$C$2:$CA$2,Model!$A26),'Tablica IO'!I260*1)</f>
        <v>1.1834480573373947E-3</v>
      </c>
      <c r="J26" s="222" cm="1">
        <f t="array" aca="1" ref="J26" ca="1">'Tablica IO'!J182*INDEX(Model!$C$93:$CA$93,Model!$A26) + IF(wplyw_cen_import_wlaczony,'Tablica IO'!J260*INDEX(Model!$C$2:$CA$2,Model!$A26),'Tablica IO'!J260*1)</f>
        <v>7.4267195231739788E-4</v>
      </c>
      <c r="K26" s="222" cm="1">
        <f t="array" aca="1" ref="K26" ca="1">'Tablica IO'!K182*INDEX(Model!$C$93:$CA$93,Model!$A26) + IF(wplyw_cen_import_wlaczony,'Tablica IO'!K260*INDEX(Model!$C$2:$CA$2,Model!$A26),'Tablica IO'!K260*1)</f>
        <v>7.6516013365398466E-4</v>
      </c>
      <c r="L26" s="222" cm="1">
        <f t="array" aca="1" ref="L26" ca="1">'Tablica IO'!L182*INDEX(Model!$C$93:$CA$93,Model!$A26) + IF(wplyw_cen_import_wlaczony,'Tablica IO'!L260*INDEX(Model!$C$2:$CA$2,Model!$A26),'Tablica IO'!L260*1)</f>
        <v>5.0807546425813788E-4</v>
      </c>
      <c r="M26" s="222" cm="1">
        <f t="array" aca="1" ref="M26" ca="1">'Tablica IO'!M182*INDEX(Model!$C$93:$CA$93,Model!$A26) + IF(wplyw_cen_import_wlaczony,'Tablica IO'!M260*INDEX(Model!$C$2:$CA$2,Model!$A26),'Tablica IO'!M260*1)</f>
        <v>1.1336466697289681E-3</v>
      </c>
      <c r="N26" s="222" cm="1">
        <f t="array" aca="1" ref="N26" ca="1">'Tablica IO'!N182*INDEX(Model!$C$93:$CA$93,Model!$A26) + IF(wplyw_cen_import_wlaczony,'Tablica IO'!N260*INDEX(Model!$C$2:$CA$2,Model!$A26),'Tablica IO'!N260*1)</f>
        <v>2.4570432731943226E-4</v>
      </c>
      <c r="O26" s="222" cm="1">
        <f t="array" aca="1" ref="O26" ca="1">'Tablica IO'!O182*INDEX(Model!$C$93:$CA$93,Model!$A26) + IF(wplyw_cen_import_wlaczony,'Tablica IO'!O260*INDEX(Model!$C$2:$CA$2,Model!$A26),'Tablica IO'!O260*1)</f>
        <v>7.2767648543886508E-3</v>
      </c>
      <c r="P26" s="222" cm="1">
        <f t="array" aca="1" ref="P26" ca="1">'Tablica IO'!P182*INDEX(Model!$C$93:$CA$93,Model!$A26) + IF(wplyw_cen_import_wlaczony,'Tablica IO'!P260*INDEX(Model!$C$2:$CA$2,Model!$A26),'Tablica IO'!P260*1)</f>
        <v>5.6202440863921344E-2</v>
      </c>
      <c r="Q26" s="222" cm="1">
        <f t="array" aca="1" ref="Q26" ca="1">'Tablica IO'!Q182*INDEX(Model!$C$93:$CA$93,Model!$A26) + IF(wplyw_cen_import_wlaczony,'Tablica IO'!Q260*INDEX(Model!$C$2:$CA$2,Model!$A26),'Tablica IO'!Q260*1)</f>
        <v>6.2426435189313651E-5</v>
      </c>
      <c r="R26" s="222" cm="1">
        <f t="array" aca="1" ref="R26" ca="1">'Tablica IO'!R182*INDEX(Model!$C$93:$CA$93,Model!$A26) + IF(wplyw_cen_import_wlaczony,'Tablica IO'!R260*INDEX(Model!$C$2:$CA$2,Model!$A26),'Tablica IO'!R260*1)</f>
        <v>2.0423801681788119E-3</v>
      </c>
      <c r="S26" s="222" cm="1">
        <f t="array" aca="1" ref="S26" ca="1">'Tablica IO'!S182*INDEX(Model!$C$93:$CA$93,Model!$A26) + IF(wplyw_cen_import_wlaczony,'Tablica IO'!S260*INDEX(Model!$C$2:$CA$2,Model!$A26),'Tablica IO'!S260*1)</f>
        <v>4.515412301973604E-3</v>
      </c>
      <c r="T26" s="222" cm="1">
        <f t="array" aca="1" ref="T26" ca="1">'Tablica IO'!T182*INDEX(Model!$C$93:$CA$93,Model!$A26) + IF(wplyw_cen_import_wlaczony,'Tablica IO'!T260*INDEX(Model!$C$2:$CA$2,Model!$A26),'Tablica IO'!T260*1)</f>
        <v>9.3253204339600578E-4</v>
      </c>
      <c r="U26" s="222" cm="1">
        <f t="array" aca="1" ref="U26" ca="1">'Tablica IO'!U182*INDEX(Model!$C$93:$CA$93,Model!$A26) + IF(wplyw_cen_import_wlaczony,'Tablica IO'!U260*INDEX(Model!$C$2:$CA$2,Model!$A26),'Tablica IO'!U260*1)</f>
        <v>7.754728923707819E-4</v>
      </c>
      <c r="V26" s="222" cm="1">
        <f t="array" aca="1" ref="V26" ca="1">'Tablica IO'!V182*INDEX(Model!$C$93:$CA$93,Model!$A26) + IF(wplyw_cen_import_wlaczony,'Tablica IO'!V260*INDEX(Model!$C$2:$CA$2,Model!$A26),'Tablica IO'!V260*1)</f>
        <v>1.6755387436245458E-5</v>
      </c>
      <c r="W26" s="222" cm="1">
        <f t="array" aca="1" ref="W26" ca="1">'Tablica IO'!W182*INDEX(Model!$C$93:$CA$93,Model!$A26) + IF(wplyw_cen_import_wlaczony,'Tablica IO'!W260*INDEX(Model!$C$2:$CA$2,Model!$A26),'Tablica IO'!W260*1)</f>
        <v>3.737649265194405E-4</v>
      </c>
      <c r="X26" s="222" cm="1">
        <f t="array" aca="1" ref="X26" ca="1">'Tablica IO'!X182*INDEX(Model!$C$93:$CA$93,Model!$A26) + IF(wplyw_cen_import_wlaczony,'Tablica IO'!X260*INDEX(Model!$C$2:$CA$2,Model!$A26),'Tablica IO'!X260*1)</f>
        <v>9.8727122235873257E-5</v>
      </c>
      <c r="Y26" s="222" cm="1">
        <f t="array" aca="1" ref="Y26" ca="1">'Tablica IO'!Y182*INDEX(Model!$C$93:$CA$93,Model!$A26) + IF(wplyw_cen_import_wlaczony,'Tablica IO'!Y260*INDEX(Model!$C$2:$CA$2,Model!$A26),'Tablica IO'!Y260*1)</f>
        <v>6.304326063197005E-4</v>
      </c>
      <c r="Z26" s="222" cm="1">
        <f t="array" aca="1" ref="Z26" ca="1">'Tablica IO'!Z182*INDEX(Model!$C$93:$CA$93,Model!$A26) + IF(wplyw_cen_import_wlaczony,'Tablica IO'!Z260*INDEX(Model!$C$2:$CA$2,Model!$A26),'Tablica IO'!Z260*1)</f>
        <v>2.5483828454871615E-4</v>
      </c>
      <c r="AA26" s="222" cm="1">
        <f t="array" aca="1" ref="AA26" ca="1">'Tablica IO'!AA182*INDEX(Model!$C$93:$CA$93,Model!$A26) + IF(wplyw_cen_import_wlaczony,'Tablica IO'!AA260*INDEX(Model!$C$2:$CA$2,Model!$A26),'Tablica IO'!AA260*1)</f>
        <v>2.9101221071196545E-4</v>
      </c>
      <c r="AB26" s="222" cm="1">
        <f t="array" aca="1" ref="AB26" ca="1">'Tablica IO'!AB182*INDEX(Model!$C$93:$CA$93,Model!$A26) + IF(wplyw_cen_import_wlaczony,'Tablica IO'!AB260*INDEX(Model!$C$2:$CA$2,Model!$A26),'Tablica IO'!AB260*1)</f>
        <v>8.4129612358292526E-5</v>
      </c>
      <c r="AC26" s="222" cm="1">
        <f t="array" aca="1" ref="AC26" ca="1">'Tablica IO'!AC182*INDEX(Model!$C$93:$CA$93,Model!$A26) + IF(wplyw_cen_import_wlaczony,'Tablica IO'!AC260*INDEX(Model!$C$2:$CA$2,Model!$A26),'Tablica IO'!AC260*1)</f>
        <v>1.9942300847114748E-4</v>
      </c>
      <c r="AD26" s="222" cm="1">
        <f t="array" aca="1" ref="AD26" ca="1">'Tablica IO'!AD182*INDEX(Model!$C$93:$CA$93,Model!$A26) + IF(wplyw_cen_import_wlaczony,'Tablica IO'!AD260*INDEX(Model!$C$2:$CA$2,Model!$A26),'Tablica IO'!AD260*1)</f>
        <v>1.05919808082691E-3</v>
      </c>
      <c r="AE26" s="222" cm="1">
        <f t="array" aca="1" ref="AE26" ca="1">'Tablica IO'!AE182*INDEX(Model!$C$93:$CA$93,Model!$A26) + IF(wplyw_cen_import_wlaczony,'Tablica IO'!AE260*INDEX(Model!$C$2:$CA$2,Model!$A26),'Tablica IO'!AE260*1)</f>
        <v>1.1477944978497289E-4</v>
      </c>
      <c r="AF26" s="222" cm="1">
        <f t="array" aca="1" ref="AF26" ca="1">'Tablica IO'!AF182*INDEX(Model!$C$93:$CA$93,Model!$A26) + IF(wplyw_cen_import_wlaczony,'Tablica IO'!AF260*INDEX(Model!$C$2:$CA$2,Model!$A26),'Tablica IO'!AF260*1)</f>
        <v>3.5231255162783604E-4</v>
      </c>
      <c r="AG26" s="222" cm="1">
        <f t="array" aca="1" ref="AG26" ca="1">'Tablica IO'!AG182*INDEX(Model!$C$93:$CA$93,Model!$A26) + IF(wplyw_cen_import_wlaczony,'Tablica IO'!AG260*INDEX(Model!$C$2:$CA$2,Model!$A26),'Tablica IO'!AG260*1)</f>
        <v>3.0068880260413503E-4</v>
      </c>
      <c r="AH26" s="222" cm="1">
        <f t="array" aca="1" ref="AH26" ca="1">'Tablica IO'!AH182*INDEX(Model!$C$93:$CA$93,Model!$A26) + IF(wplyw_cen_import_wlaczony,'Tablica IO'!AH260*INDEX(Model!$C$2:$CA$2,Model!$A26),'Tablica IO'!AH260*1)</f>
        <v>5.6173181253739988E-4</v>
      </c>
      <c r="AI26" s="222" cm="1">
        <f t="array" aca="1" ref="AI26" ca="1">'Tablica IO'!AI182*INDEX(Model!$C$93:$CA$93,Model!$A26) + IF(wplyw_cen_import_wlaczony,'Tablica IO'!AI260*INDEX(Model!$C$2:$CA$2,Model!$A26),'Tablica IO'!AI260*1)</f>
        <v>1.8952059213525748E-4</v>
      </c>
      <c r="AJ26" s="222" cm="1">
        <f t="array" aca="1" ref="AJ26" ca="1">'Tablica IO'!AJ182*INDEX(Model!$C$93:$CA$93,Model!$A26) + IF(wplyw_cen_import_wlaczony,'Tablica IO'!AJ260*INDEX(Model!$C$2:$CA$2,Model!$A26),'Tablica IO'!AJ260*1)</f>
        <v>2.5361558637769505E-4</v>
      </c>
      <c r="AK26" s="222" cm="1">
        <f t="array" aca="1" ref="AK26" ca="1">'Tablica IO'!AK182*INDEX(Model!$C$93:$CA$93,Model!$A26) + IF(wplyw_cen_import_wlaczony,'Tablica IO'!AK260*INDEX(Model!$C$2:$CA$2,Model!$A26),'Tablica IO'!AK260*1)</f>
        <v>1.0052965877094596E-3</v>
      </c>
      <c r="AL26" s="222" cm="1">
        <f t="array" aca="1" ref="AL26" ca="1">'Tablica IO'!AL182*INDEX(Model!$C$93:$CA$93,Model!$A26) + IF(wplyw_cen_import_wlaczony,'Tablica IO'!AL260*INDEX(Model!$C$2:$CA$2,Model!$A26),'Tablica IO'!AL260*1)</f>
        <v>8.1193371168920281E-3</v>
      </c>
      <c r="AM26" s="222" cm="1">
        <f t="array" aca="1" ref="AM26" ca="1">'Tablica IO'!AM182*INDEX(Model!$C$93:$CA$93,Model!$A26) + IF(wplyw_cen_import_wlaczony,'Tablica IO'!AM260*INDEX(Model!$C$2:$CA$2,Model!$A26),'Tablica IO'!AM260*1)</f>
        <v>3.5491415935948387E-3</v>
      </c>
      <c r="AN26" s="222" cm="1">
        <f t="array" aca="1" ref="AN26" ca="1">'Tablica IO'!AN182*INDEX(Model!$C$93:$CA$93,Model!$A26) + IF(wplyw_cen_import_wlaczony,'Tablica IO'!AN260*INDEX(Model!$C$2:$CA$2,Model!$A26),'Tablica IO'!AN260*1)</f>
        <v>5.9932536982398952E-4</v>
      </c>
      <c r="AO26" s="222" cm="1">
        <f t="array" aca="1" ref="AO26" ca="1">'Tablica IO'!AO182*INDEX(Model!$C$93:$CA$93,Model!$A26) + IF(wplyw_cen_import_wlaczony,'Tablica IO'!AO260*INDEX(Model!$C$2:$CA$2,Model!$A26),'Tablica IO'!AO260*1)</f>
        <v>5.2062934325777853E-4</v>
      </c>
      <c r="AP26" s="222" cm="1">
        <f t="array" aca="1" ref="AP26" ca="1">'Tablica IO'!AP182*INDEX(Model!$C$93:$CA$93,Model!$A26) + IF(wplyw_cen_import_wlaczony,'Tablica IO'!AP260*INDEX(Model!$C$2:$CA$2,Model!$A26),'Tablica IO'!AP260*1)</f>
        <v>2.7619456901969069E-4</v>
      </c>
      <c r="AQ26" s="222" cm="1">
        <f t="array" aca="1" ref="AQ26" ca="1">'Tablica IO'!AQ182*INDEX(Model!$C$93:$CA$93,Model!$A26) + IF(wplyw_cen_import_wlaczony,'Tablica IO'!AQ260*INDEX(Model!$C$2:$CA$2,Model!$A26),'Tablica IO'!AQ260*1)</f>
        <v>5.5954828110190997E-4</v>
      </c>
      <c r="AR26" s="222" cm="1">
        <f t="array" aca="1" ref="AR26" ca="1">'Tablica IO'!AR182*INDEX(Model!$C$93:$CA$93,Model!$A26) + IF(wplyw_cen_import_wlaczony,'Tablica IO'!AR260*INDEX(Model!$C$2:$CA$2,Model!$A26),'Tablica IO'!AR260*1)</f>
        <v>3.7320333729164347E-4</v>
      </c>
      <c r="AS26" s="222" cm="1">
        <f t="array" aca="1" ref="AS26" ca="1">'Tablica IO'!AS182*INDEX(Model!$C$93:$CA$93,Model!$A26) + IF(wplyw_cen_import_wlaczony,'Tablica IO'!AS260*INDEX(Model!$C$2:$CA$2,Model!$A26),'Tablica IO'!AS260*1)</f>
        <v>7.9748486553942635E-2</v>
      </c>
      <c r="AT26" s="222" cm="1">
        <f t="array" aca="1" ref="AT26" ca="1">'Tablica IO'!AT182*INDEX(Model!$C$93:$CA$93,Model!$A26) + IF(wplyw_cen_import_wlaczony,'Tablica IO'!AT260*INDEX(Model!$C$2:$CA$2,Model!$A26),'Tablica IO'!AT260*1)</f>
        <v>2.2405271803273171E-2</v>
      </c>
      <c r="AU26" s="222" cm="1">
        <f t="array" aca="1" ref="AU26" ca="1">'Tablica IO'!AU182*INDEX(Model!$C$93:$CA$93,Model!$A26) + IF(wplyw_cen_import_wlaczony,'Tablica IO'!AU260*INDEX(Model!$C$2:$CA$2,Model!$A26),'Tablica IO'!AU260*1)</f>
        <v>2.1296292495487793E-4</v>
      </c>
      <c r="AV26" s="222" cm="1">
        <f t="array" aca="1" ref="AV26" ca="1">'Tablica IO'!AV182*INDEX(Model!$C$93:$CA$93,Model!$A26) + IF(wplyw_cen_import_wlaczony,'Tablica IO'!AV260*INDEX(Model!$C$2:$CA$2,Model!$A26),'Tablica IO'!AV260*1)</f>
        <v>1.4993722388065335E-3</v>
      </c>
      <c r="AW26" s="222" cm="1">
        <f t="array" aca="1" ref="AW26" ca="1">'Tablica IO'!AW182*INDEX(Model!$C$93:$CA$93,Model!$A26) + IF(wplyw_cen_import_wlaczony,'Tablica IO'!AW260*INDEX(Model!$C$2:$CA$2,Model!$A26),'Tablica IO'!AW260*1)</f>
        <v>6.4404624109339113E-4</v>
      </c>
      <c r="AX26" s="222" cm="1">
        <f t="array" aca="1" ref="AX26" ca="1">'Tablica IO'!AX182*INDEX(Model!$C$93:$CA$93,Model!$A26) + IF(wplyw_cen_import_wlaczony,'Tablica IO'!AX260*INDEX(Model!$C$2:$CA$2,Model!$A26),'Tablica IO'!AX260*1)</f>
        <v>2.1979259505343087E-3</v>
      </c>
      <c r="AY26" s="222" cm="1">
        <f t="array" aca="1" ref="AY26" ca="1">'Tablica IO'!AY182*INDEX(Model!$C$93:$CA$93,Model!$A26) + IF(wplyw_cen_import_wlaczony,'Tablica IO'!AY260*INDEX(Model!$C$2:$CA$2,Model!$A26),'Tablica IO'!AY260*1)</f>
        <v>6.9649217992438497E-3</v>
      </c>
      <c r="AZ26" s="222" cm="1">
        <f t="array" aca="1" ref="AZ26" ca="1">'Tablica IO'!AZ182*INDEX(Model!$C$93:$CA$93,Model!$A26) + IF(wplyw_cen_import_wlaczony,'Tablica IO'!AZ260*INDEX(Model!$C$2:$CA$2,Model!$A26),'Tablica IO'!AZ260*1)</f>
        <v>5.1455621162949612E-2</v>
      </c>
      <c r="BA26" s="222" cm="1">
        <f t="array" aca="1" ref="BA26" ca="1">'Tablica IO'!BA182*INDEX(Model!$C$93:$CA$93,Model!$A26) + IF(wplyw_cen_import_wlaczony,'Tablica IO'!BA260*INDEX(Model!$C$2:$CA$2,Model!$A26),'Tablica IO'!BA260*1)</f>
        <v>4.2643661090713807E-3</v>
      </c>
      <c r="BB26" s="222" cm="1">
        <f t="array" aca="1" ref="BB26" ca="1">'Tablica IO'!BB182*INDEX(Model!$C$93:$CA$93,Model!$A26) + IF(wplyw_cen_import_wlaczony,'Tablica IO'!BB260*INDEX(Model!$C$2:$CA$2,Model!$A26),'Tablica IO'!BB260*1)</f>
        <v>2.3069301821786902E-4</v>
      </c>
      <c r="BC26" s="222" cm="1">
        <f t="array" aca="1" ref="BC26" ca="1">'Tablica IO'!BC182*INDEX(Model!$C$93:$CA$93,Model!$A26) + IF(wplyw_cen_import_wlaczony,'Tablica IO'!BC260*INDEX(Model!$C$2:$CA$2,Model!$A26),'Tablica IO'!BC260*1)</f>
        <v>7.8251869620313535E-4</v>
      </c>
      <c r="BD26" s="222" cm="1">
        <f t="array" aca="1" ref="BD26" ca="1">'Tablica IO'!BD182*INDEX(Model!$C$93:$CA$93,Model!$A26) + IF(wplyw_cen_import_wlaczony,'Tablica IO'!BD260*INDEX(Model!$C$2:$CA$2,Model!$A26),'Tablica IO'!BD260*1)</f>
        <v>2.763036374725485E-3</v>
      </c>
      <c r="BE26" s="222" cm="1">
        <f t="array" aca="1" ref="BE26" ca="1">'Tablica IO'!BE182*INDEX(Model!$C$93:$CA$93,Model!$A26) + IF(wplyw_cen_import_wlaczony,'Tablica IO'!BE260*INDEX(Model!$C$2:$CA$2,Model!$A26),'Tablica IO'!BE260*1)</f>
        <v>7.466887362016718E-4</v>
      </c>
      <c r="BF26" s="222" cm="1">
        <f t="array" aca="1" ref="BF26" ca="1">'Tablica IO'!BF182*INDEX(Model!$C$93:$CA$93,Model!$A26) + IF(wplyw_cen_import_wlaczony,'Tablica IO'!BF260*INDEX(Model!$C$2:$CA$2,Model!$A26),'Tablica IO'!BF260*1)</f>
        <v>3.1503860740446357E-3</v>
      </c>
      <c r="BG26" s="222" cm="1">
        <f t="array" aca="1" ref="BG26" ca="1">'Tablica IO'!BG182*INDEX(Model!$C$93:$CA$93,Model!$A26) + IF(wplyw_cen_import_wlaczony,'Tablica IO'!BG260*INDEX(Model!$C$2:$CA$2,Model!$A26),'Tablica IO'!BG260*1)</f>
        <v>1.6315027046212783E-2</v>
      </c>
      <c r="BH26" s="222" cm="1">
        <f t="array" aca="1" ref="BH26" ca="1">'Tablica IO'!BH182*INDEX(Model!$C$93:$CA$93,Model!$A26) + IF(wplyw_cen_import_wlaczony,'Tablica IO'!BH260*INDEX(Model!$C$2:$CA$2,Model!$A26),'Tablica IO'!BH260*1)</f>
        <v>2.3981399723191896E-2</v>
      </c>
      <c r="BI26" s="222" cm="1">
        <f t="array" aca="1" ref="BI26" ca="1">'Tablica IO'!BI182*INDEX(Model!$C$93:$CA$93,Model!$A26) + IF(wplyw_cen_import_wlaczony,'Tablica IO'!BI260*INDEX(Model!$C$2:$CA$2,Model!$A26),'Tablica IO'!BI260*1)</f>
        <v>6.7073873707552365E-5</v>
      </c>
      <c r="BJ26" s="222" cm="1">
        <f t="array" aca="1" ref="BJ26" ca="1">'Tablica IO'!BJ182*INDEX(Model!$C$93:$CA$93,Model!$A26) + IF(wplyw_cen_import_wlaczony,'Tablica IO'!BJ260*INDEX(Model!$C$2:$CA$2,Model!$A26),'Tablica IO'!BJ260*1)</f>
        <v>2.9323552643184575E-3</v>
      </c>
      <c r="BK26" s="222" cm="1">
        <f t="array" aca="1" ref="BK26" ca="1">'Tablica IO'!BK182*INDEX(Model!$C$93:$CA$93,Model!$A26) + IF(wplyw_cen_import_wlaczony,'Tablica IO'!BK260*INDEX(Model!$C$2:$CA$2,Model!$A26),'Tablica IO'!BK260*1)</f>
        <v>8.5126424895690101E-4</v>
      </c>
      <c r="BL26" s="222" cm="1">
        <f t="array" aca="1" ref="BL26" ca="1">'Tablica IO'!BL182*INDEX(Model!$C$93:$CA$93,Model!$A26) + IF(wplyw_cen_import_wlaczony,'Tablica IO'!BL260*INDEX(Model!$C$2:$CA$2,Model!$A26),'Tablica IO'!BL260*1)</f>
        <v>8.7029042824657364E-4</v>
      </c>
      <c r="BM26" s="222" cm="1">
        <f t="array" aca="1" ref="BM26" ca="1">'Tablica IO'!BM182*INDEX(Model!$C$93:$CA$93,Model!$A26) + IF(wplyw_cen_import_wlaczony,'Tablica IO'!BM260*INDEX(Model!$C$2:$CA$2,Model!$A26),'Tablica IO'!BM260*1)</f>
        <v>4.414158495463551E-4</v>
      </c>
      <c r="BN26" s="222" cm="1">
        <f t="array" aca="1" ref="BN26" ca="1">'Tablica IO'!BN182*INDEX(Model!$C$93:$CA$93,Model!$A26) + IF(wplyw_cen_import_wlaczony,'Tablica IO'!BN260*INDEX(Model!$C$2:$CA$2,Model!$A26),'Tablica IO'!BN260*1)</f>
        <v>5.6682558598959601E-4</v>
      </c>
      <c r="BO26" s="222" cm="1">
        <f t="array" aca="1" ref="BO26" ca="1">'Tablica IO'!BO182*INDEX(Model!$C$93:$CA$93,Model!$A26) + IF(wplyw_cen_import_wlaczony,'Tablica IO'!BO260*INDEX(Model!$C$2:$CA$2,Model!$A26),'Tablica IO'!BO260*1)</f>
        <v>2.1884753229552182E-3</v>
      </c>
      <c r="BP26" s="222" cm="1">
        <f t="array" aca="1" ref="BP26" ca="1">'Tablica IO'!BP182*INDEX(Model!$C$93:$CA$93,Model!$A26) + IF(wplyw_cen_import_wlaczony,'Tablica IO'!BP260*INDEX(Model!$C$2:$CA$2,Model!$A26),'Tablica IO'!BP260*1)</f>
        <v>2.469192309505291E-3</v>
      </c>
      <c r="BQ26" s="222" cm="1">
        <f t="array" aca="1" ref="BQ26" ca="1">'Tablica IO'!BQ182*INDEX(Model!$C$93:$CA$93,Model!$A26) + IF(wplyw_cen_import_wlaczony,'Tablica IO'!BQ260*INDEX(Model!$C$2:$CA$2,Model!$A26),'Tablica IO'!BQ260*1)</f>
        <v>8.19793830251455E-3</v>
      </c>
      <c r="BR26" s="222" cm="1">
        <f t="array" aca="1" ref="BR26" ca="1">'Tablica IO'!BR182*INDEX(Model!$C$93:$CA$93,Model!$A26) + IF(wplyw_cen_import_wlaczony,'Tablica IO'!BR260*INDEX(Model!$C$2:$CA$2,Model!$A26),'Tablica IO'!BR260*1)</f>
        <v>8.2031294577675717E-4</v>
      </c>
      <c r="BS26" s="222" cm="1">
        <f t="array" aca="1" ref="BS26" ca="1">'Tablica IO'!BS182*INDEX(Model!$C$93:$CA$93,Model!$A26) + IF(wplyw_cen_import_wlaczony,'Tablica IO'!BS260*INDEX(Model!$C$2:$CA$2,Model!$A26),'Tablica IO'!BS260*1)</f>
        <v>4.5641278244591395E-4</v>
      </c>
      <c r="BT26" s="222" cm="1">
        <f t="array" aca="1" ref="BT26" ca="1">'Tablica IO'!BT182*INDEX(Model!$C$93:$CA$93,Model!$A26) + IF(wplyw_cen_import_wlaczony,'Tablica IO'!BT260*INDEX(Model!$C$2:$CA$2,Model!$A26),'Tablica IO'!BT260*1)</f>
        <v>1.185471838871378E-2</v>
      </c>
      <c r="BU26" s="222" cm="1">
        <f t="array" aca="1" ref="BU26" ca="1">'Tablica IO'!BU182*INDEX(Model!$C$93:$CA$93,Model!$A26) + IF(wplyw_cen_import_wlaczony,'Tablica IO'!BU260*INDEX(Model!$C$2:$CA$2,Model!$A26),'Tablica IO'!BU260*1)</f>
        <v>1.4154978225930481E-2</v>
      </c>
      <c r="BV26" s="222" cm="1">
        <f t="array" aca="1" ref="BV26" ca="1">'Tablica IO'!BV182*INDEX(Model!$C$93:$CA$93,Model!$A26) + IF(wplyw_cen_import_wlaczony,'Tablica IO'!BV260*INDEX(Model!$C$2:$CA$2,Model!$A26),'Tablica IO'!BV260*1)</f>
        <v>8.0932678314448534E-3</v>
      </c>
      <c r="BW26" s="222" cm="1">
        <f t="array" aca="1" ref="BW26" ca="1">'Tablica IO'!BW182*INDEX(Model!$C$93:$CA$93,Model!$A26) + IF(wplyw_cen_import_wlaczony,'Tablica IO'!BW260*INDEX(Model!$C$2:$CA$2,Model!$A26),'Tablica IO'!BW260*1)</f>
        <v>1.4588890348086376E-3</v>
      </c>
      <c r="BX26" s="222" cm="1">
        <f t="array" aca="1" ref="BX26" ca="1">'Tablica IO'!BX182*INDEX(Model!$C$93:$CA$93,Model!$A26) + IF(wplyw_cen_import_wlaczony,'Tablica IO'!BX260*INDEX(Model!$C$2:$CA$2,Model!$A26),'Tablica IO'!BX260*1)</f>
        <v>2.1204143266277793E-2</v>
      </c>
      <c r="BY26" s="222" cm="1">
        <f t="array" aca="1" ref="BY26" ca="1">'Tablica IO'!BY182*INDEX(Model!$C$93:$CA$93,Model!$A26) + IF(wplyw_cen_import_wlaczony,'Tablica IO'!BY260*INDEX(Model!$C$2:$CA$2,Model!$A26),'Tablica IO'!BY260*1)</f>
        <v>1.2707024509508208E-5</v>
      </c>
      <c r="BZ26" s="222" cm="1">
        <f t="array" aca="1" ref="BZ26" ca="1">'Tablica IO'!BZ182*INDEX(Model!$C$93:$CA$93,Model!$A26) + IF(wplyw_cen_import_wlaczony,'Tablica IO'!BZ260*INDEX(Model!$C$2:$CA$2,Model!$A26),'Tablica IO'!BZ260*1)</f>
        <v>1.1367490577813889E-3</v>
      </c>
      <c r="CA26" s="222" cm="1">
        <f t="array" aca="1" ref="CA26" ca="1">'Tablica IO'!CA182*INDEX(Model!$C$93:$CA$93,Model!$A26) + IF(wplyw_cen_import_wlaczony,'Tablica IO'!CA260*INDEX(Model!$C$2:$CA$2,Model!$A26),'Tablica IO'!CA260*1)</f>
        <v>0</v>
      </c>
      <c r="CB26" s="247">
        <f ca="1">'Tablica IO'!CD182*INDEX(Model!$C$93:$CA$93,Model!$A26)+'Tablica IO'!CD260*INDEX(Model!$C$2:$CA$2,Model!$A26)</f>
        <v>4.3854014568322375E-3</v>
      </c>
      <c r="CC26" s="188">
        <f ca="1">'Tablica IO'!CE182*INDEX(Model!$C$93:$CA$93,Model!$A26)+'Tablica IO'!CE260*INDEX(Model!$C$2:$CA$2,Model!$A26)</f>
        <v>0</v>
      </c>
      <c r="CD26" s="188">
        <f ca="1">'Tablica IO'!CF182*INDEX(Model!$C$93:$CA$93,Model!$A26)+'Tablica IO'!CF260*INDEX(Model!$C$2:$CA$2,Model!$A26)</f>
        <v>3.6048545558057617E-5</v>
      </c>
      <c r="CE26" s="189">
        <f ca="1">'Tablica IO'!CG182*INDEX(Model!$C$93:$CA$93,Model!$A26)+'Tablica IO'!CG260*INDEX(Model!$C$2:$CA$2,Model!$A26)</f>
        <v>4.3881937272200274E-4</v>
      </c>
    </row>
    <row r="27" spans="1:83" x14ac:dyDescent="0.25">
      <c r="A27" s="164">
        <v>15</v>
      </c>
      <c r="B27" s="172" t="s">
        <v>14</v>
      </c>
      <c r="C27" s="221" cm="1">
        <f t="array" aca="1" ref="C27" ca="1">'Tablica IO'!C183*INDEX(Model!$C$93:$CA$93,Model!$A27) + IF(wplyw_cen_import_wlaczony,'Tablica IO'!C261*INDEX(Model!$C$2:$CA$2,Model!$A27),'Tablica IO'!C261*1)</f>
        <v>1.9014115733887178E-2</v>
      </c>
      <c r="D27" s="222" cm="1">
        <f t="array" aca="1" ref="D27" ca="1">'Tablica IO'!D183*INDEX(Model!$C$93:$CA$93,Model!$A27) + IF(wplyw_cen_import_wlaczony,'Tablica IO'!D261*INDEX(Model!$C$2:$CA$2,Model!$A27),'Tablica IO'!D261*1)</f>
        <v>5.1904673559410239E-3</v>
      </c>
      <c r="E27" s="222" cm="1">
        <f t="array" aca="1" ref="E27" ca="1">'Tablica IO'!E183*INDEX(Model!$C$93:$CA$93,Model!$A27) + IF(wplyw_cen_import_wlaczony,'Tablica IO'!E261*INDEX(Model!$C$2:$CA$2,Model!$A27),'Tablica IO'!E261*1)</f>
        <v>5.4800286869837886E-2</v>
      </c>
      <c r="F27" s="222" cm="1">
        <f t="array" aca="1" ref="F27" ca="1">'Tablica IO'!F183*INDEX(Model!$C$93:$CA$93,Model!$A27) + IF(wplyw_cen_import_wlaczony,'Tablica IO'!F261*INDEX(Model!$C$2:$CA$2,Model!$A27),'Tablica IO'!F261*1)</f>
        <v>2.7977673863240644E-3</v>
      </c>
      <c r="G27" s="222" cm="1">
        <f t="array" aca="1" ref="G27" ca="1">'Tablica IO'!G183*INDEX(Model!$C$93:$CA$93,Model!$A27) + IF(wplyw_cen_import_wlaczony,'Tablica IO'!G261*INDEX(Model!$C$2:$CA$2,Model!$A27),'Tablica IO'!G261*1)</f>
        <v>1.7692292653025382E-2</v>
      </c>
      <c r="H27" s="222" cm="1">
        <f t="array" aca="1" ref="H27" ca="1">'Tablica IO'!H183*INDEX(Model!$C$93:$CA$93,Model!$A27) + IF(wplyw_cen_import_wlaczony,'Tablica IO'!H261*INDEX(Model!$C$2:$CA$2,Model!$A27),'Tablica IO'!H261*1)</f>
        <v>2.0955250880233785E-3</v>
      </c>
      <c r="I27" s="222" cm="1">
        <f t="array" aca="1" ref="I27" ca="1">'Tablica IO'!I183*INDEX(Model!$C$93:$CA$93,Model!$A27) + IF(wplyw_cen_import_wlaczony,'Tablica IO'!I261*INDEX(Model!$C$2:$CA$2,Model!$A27),'Tablica IO'!I261*1)</f>
        <v>1.1454158610988764E-2</v>
      </c>
      <c r="J27" s="222" cm="1">
        <f t="array" aca="1" ref="J27" ca="1">'Tablica IO'!J183*INDEX(Model!$C$93:$CA$93,Model!$A27) + IF(wplyw_cen_import_wlaczony,'Tablica IO'!J261*INDEX(Model!$C$2:$CA$2,Model!$A27),'Tablica IO'!J261*1)</f>
        <v>2.1150684059199542E-3</v>
      </c>
      <c r="K27" s="222" cm="1">
        <f t="array" aca="1" ref="K27" ca="1">'Tablica IO'!K183*INDEX(Model!$C$93:$CA$93,Model!$A27) + IF(wplyw_cen_import_wlaczony,'Tablica IO'!K261*INDEX(Model!$C$2:$CA$2,Model!$A27),'Tablica IO'!K261*1)</f>
        <v>3.046807257124487E-3</v>
      </c>
      <c r="L27" s="222" cm="1">
        <f t="array" aca="1" ref="L27" ca="1">'Tablica IO'!L183*INDEX(Model!$C$93:$CA$93,Model!$A27) + IF(wplyw_cen_import_wlaczony,'Tablica IO'!L261*INDEX(Model!$C$2:$CA$2,Model!$A27),'Tablica IO'!L261*1)</f>
        <v>2.6769492093031847E-3</v>
      </c>
      <c r="M27" s="222" cm="1">
        <f t="array" aca="1" ref="M27" ca="1">'Tablica IO'!M183*INDEX(Model!$C$93:$CA$93,Model!$A27) + IF(wplyw_cen_import_wlaczony,'Tablica IO'!M261*INDEX(Model!$C$2:$CA$2,Model!$A27),'Tablica IO'!M261*1)</f>
        <v>2.3326952442538663E-3</v>
      </c>
      <c r="N27" s="222" cm="1">
        <f t="array" aca="1" ref="N27" ca="1">'Tablica IO'!N183*INDEX(Model!$C$93:$CA$93,Model!$A27) + IF(wplyw_cen_import_wlaczony,'Tablica IO'!N261*INDEX(Model!$C$2:$CA$2,Model!$A27),'Tablica IO'!N261*1)</f>
        <v>3.0517691001737744E-3</v>
      </c>
      <c r="O27" s="222" cm="1">
        <f t="array" aca="1" ref="O27" ca="1">'Tablica IO'!O183*INDEX(Model!$C$93:$CA$93,Model!$A27) + IF(wplyw_cen_import_wlaczony,'Tablica IO'!O261*INDEX(Model!$C$2:$CA$2,Model!$A27),'Tablica IO'!O261*1)</f>
        <v>3.4976182603922538E-3</v>
      </c>
      <c r="P27" s="222" cm="1">
        <f t="array" aca="1" ref="P27" ca="1">'Tablica IO'!P183*INDEX(Model!$C$93:$CA$93,Model!$A27) + IF(wplyw_cen_import_wlaczony,'Tablica IO'!P261*INDEX(Model!$C$2:$CA$2,Model!$A27),'Tablica IO'!P261*1)</f>
        <v>1.5484365601550005E-3</v>
      </c>
      <c r="Q27" s="222" cm="1">
        <f t="array" aca="1" ref="Q27" ca="1">'Tablica IO'!Q183*INDEX(Model!$C$93:$CA$93,Model!$A27) + IF(wplyw_cen_import_wlaczony,'Tablica IO'!Q261*INDEX(Model!$C$2:$CA$2,Model!$A27),'Tablica IO'!Q261*1)</f>
        <v>2.1549756882212549E-2</v>
      </c>
      <c r="R27" s="222" cm="1">
        <f t="array" aca="1" ref="R27" ca="1">'Tablica IO'!R183*INDEX(Model!$C$93:$CA$93,Model!$A27) + IF(wplyw_cen_import_wlaczony,'Tablica IO'!R261*INDEX(Model!$C$2:$CA$2,Model!$A27),'Tablica IO'!R261*1)</f>
        <v>1.2184614429516483E-2</v>
      </c>
      <c r="S27" s="222" cm="1">
        <f t="array" aca="1" ref="S27" ca="1">'Tablica IO'!S183*INDEX(Model!$C$93:$CA$93,Model!$A27) + IF(wplyw_cen_import_wlaczony,'Tablica IO'!S261*INDEX(Model!$C$2:$CA$2,Model!$A27),'Tablica IO'!S261*1)</f>
        <v>5.9874314271797851E-3</v>
      </c>
      <c r="T27" s="222" cm="1">
        <f t="array" aca="1" ref="T27" ca="1">'Tablica IO'!T183*INDEX(Model!$C$93:$CA$93,Model!$A27) + IF(wplyw_cen_import_wlaczony,'Tablica IO'!T261*INDEX(Model!$C$2:$CA$2,Model!$A27),'Tablica IO'!T261*1)</f>
        <v>4.2561395172223144E-3</v>
      </c>
      <c r="U27" s="222" cm="1">
        <f t="array" aca="1" ref="U27" ca="1">'Tablica IO'!U183*INDEX(Model!$C$93:$CA$93,Model!$A27) + IF(wplyw_cen_import_wlaczony,'Tablica IO'!U261*INDEX(Model!$C$2:$CA$2,Model!$A27),'Tablica IO'!U261*1)</f>
        <v>1.345741940010955E-2</v>
      </c>
      <c r="V27" s="222" cm="1">
        <f t="array" aca="1" ref="V27" ca="1">'Tablica IO'!V183*INDEX(Model!$C$93:$CA$93,Model!$A27) + IF(wplyw_cen_import_wlaczony,'Tablica IO'!V261*INDEX(Model!$C$2:$CA$2,Model!$A27),'Tablica IO'!V261*1)</f>
        <v>3.9757668654244259E-2</v>
      </c>
      <c r="W27" s="222" cm="1">
        <f t="array" aca="1" ref="W27" ca="1">'Tablica IO'!W183*INDEX(Model!$C$93:$CA$93,Model!$A27) + IF(wplyw_cen_import_wlaczony,'Tablica IO'!W261*INDEX(Model!$C$2:$CA$2,Model!$A27),'Tablica IO'!W261*1)</f>
        <v>2.2792757061814769E-3</v>
      </c>
      <c r="X27" s="222" cm="1">
        <f t="array" aca="1" ref="X27" ca="1">'Tablica IO'!X183*INDEX(Model!$C$93:$CA$93,Model!$A27) + IF(wplyw_cen_import_wlaczony,'Tablica IO'!X261*INDEX(Model!$C$2:$CA$2,Model!$A27),'Tablica IO'!X261*1)</f>
        <v>9.0568931006343835E-4</v>
      </c>
      <c r="Y27" s="222" cm="1">
        <f t="array" aca="1" ref="Y27" ca="1">'Tablica IO'!Y183*INDEX(Model!$C$93:$CA$93,Model!$A27) + IF(wplyw_cen_import_wlaczony,'Tablica IO'!Y261*INDEX(Model!$C$2:$CA$2,Model!$A27),'Tablica IO'!Y261*1)</f>
        <v>2.5634206632589914E-3</v>
      </c>
      <c r="Z27" s="222" cm="1">
        <f t="array" aca="1" ref="Z27" ca="1">'Tablica IO'!Z183*INDEX(Model!$C$93:$CA$93,Model!$A27) + IF(wplyw_cen_import_wlaczony,'Tablica IO'!Z261*INDEX(Model!$C$2:$CA$2,Model!$A27),'Tablica IO'!Z261*1)</f>
        <v>2.9353122911483253E-3</v>
      </c>
      <c r="AA27" s="222" cm="1">
        <f t="array" aca="1" ref="AA27" ca="1">'Tablica IO'!AA183*INDEX(Model!$C$93:$CA$93,Model!$A27) + IF(wplyw_cen_import_wlaczony,'Tablica IO'!AA261*INDEX(Model!$C$2:$CA$2,Model!$A27),'Tablica IO'!AA261*1)</f>
        <v>6.8668140355211747E-4</v>
      </c>
      <c r="AB27" s="222" cm="1">
        <f t="array" aca="1" ref="AB27" ca="1">'Tablica IO'!AB183*INDEX(Model!$C$93:$CA$93,Model!$A27) + IF(wplyw_cen_import_wlaczony,'Tablica IO'!AB261*INDEX(Model!$C$2:$CA$2,Model!$A27),'Tablica IO'!AB261*1)</f>
        <v>1.9214676586950747E-3</v>
      </c>
      <c r="AC27" s="222" cm="1">
        <f t="array" aca="1" ref="AC27" ca="1">'Tablica IO'!AC183*INDEX(Model!$C$93:$CA$93,Model!$A27) + IF(wplyw_cen_import_wlaczony,'Tablica IO'!AC261*INDEX(Model!$C$2:$CA$2,Model!$A27),'Tablica IO'!AC261*1)</f>
        <v>2.1220128106026006E-3</v>
      </c>
      <c r="AD27" s="222" cm="1">
        <f t="array" aca="1" ref="AD27" ca="1">'Tablica IO'!AD183*INDEX(Model!$C$93:$CA$93,Model!$A27) + IF(wplyw_cen_import_wlaczony,'Tablica IO'!AD261*INDEX(Model!$C$2:$CA$2,Model!$A27),'Tablica IO'!AD261*1)</f>
        <v>1.7698166189549544E-2</v>
      </c>
      <c r="AE27" s="222" cm="1">
        <f t="array" aca="1" ref="AE27" ca="1">'Tablica IO'!AE183*INDEX(Model!$C$93:$CA$93,Model!$A27) + IF(wplyw_cen_import_wlaczony,'Tablica IO'!AE261*INDEX(Model!$C$2:$CA$2,Model!$A27),'Tablica IO'!AE261*1)</f>
        <v>2.4835839538120677E-3</v>
      </c>
      <c r="AF27" s="222" cm="1">
        <f t="array" aca="1" ref="AF27" ca="1">'Tablica IO'!AF183*INDEX(Model!$C$93:$CA$93,Model!$A27) + IF(wplyw_cen_import_wlaczony,'Tablica IO'!AF261*INDEX(Model!$C$2:$CA$2,Model!$A27),'Tablica IO'!AF261*1)</f>
        <v>4.3501808728609957E-3</v>
      </c>
      <c r="AG27" s="222" cm="1">
        <f t="array" aca="1" ref="AG27" ca="1">'Tablica IO'!AG183*INDEX(Model!$C$93:$CA$93,Model!$A27) + IF(wplyw_cen_import_wlaczony,'Tablica IO'!AG261*INDEX(Model!$C$2:$CA$2,Model!$A27),'Tablica IO'!AG261*1)</f>
        <v>3.0770582905245193E-4</v>
      </c>
      <c r="AH27" s="222" cm="1">
        <f t="array" aca="1" ref="AH27" ca="1">'Tablica IO'!AH183*INDEX(Model!$C$93:$CA$93,Model!$A27) + IF(wplyw_cen_import_wlaczony,'Tablica IO'!AH261*INDEX(Model!$C$2:$CA$2,Model!$A27),'Tablica IO'!AH261*1)</f>
        <v>2.3292192629895341E-2</v>
      </c>
      <c r="AI27" s="222" cm="1">
        <f t="array" aca="1" ref="AI27" ca="1">'Tablica IO'!AI183*INDEX(Model!$C$93:$CA$93,Model!$A27) + IF(wplyw_cen_import_wlaczony,'Tablica IO'!AI261*INDEX(Model!$C$2:$CA$2,Model!$A27),'Tablica IO'!AI261*1)</f>
        <v>1.9895266408669079E-2</v>
      </c>
      <c r="AJ27" s="222" cm="1">
        <f t="array" aca="1" ref="AJ27" ca="1">'Tablica IO'!AJ183*INDEX(Model!$C$93:$CA$93,Model!$A27) + IF(wplyw_cen_import_wlaczony,'Tablica IO'!AJ261*INDEX(Model!$C$2:$CA$2,Model!$A27),'Tablica IO'!AJ261*1)</f>
        <v>1.470765282742709E-2</v>
      </c>
      <c r="AK27" s="222" cm="1">
        <f t="array" aca="1" ref="AK27" ca="1">'Tablica IO'!AK183*INDEX(Model!$C$93:$CA$93,Model!$A27) + IF(wplyw_cen_import_wlaczony,'Tablica IO'!AK261*INDEX(Model!$C$2:$CA$2,Model!$A27),'Tablica IO'!AK261*1)</f>
        <v>8.223349067790554E-3</v>
      </c>
      <c r="AL27" s="222" cm="1">
        <f t="array" aca="1" ref="AL27" ca="1">'Tablica IO'!AL183*INDEX(Model!$C$93:$CA$93,Model!$A27) + IF(wplyw_cen_import_wlaczony,'Tablica IO'!AL261*INDEX(Model!$C$2:$CA$2,Model!$A27),'Tablica IO'!AL261*1)</f>
        <v>1.1810991819675234E-2</v>
      </c>
      <c r="AM27" s="222" cm="1">
        <f t="array" aca="1" ref="AM27" ca="1">'Tablica IO'!AM183*INDEX(Model!$C$93:$CA$93,Model!$A27) + IF(wplyw_cen_import_wlaczony,'Tablica IO'!AM261*INDEX(Model!$C$2:$CA$2,Model!$A27),'Tablica IO'!AM261*1)</f>
        <v>3.4759648636599923E-3</v>
      </c>
      <c r="AN27" s="222" cm="1">
        <f t="array" aca="1" ref="AN27" ca="1">'Tablica IO'!AN183*INDEX(Model!$C$93:$CA$93,Model!$A27) + IF(wplyw_cen_import_wlaczony,'Tablica IO'!AN261*INDEX(Model!$C$2:$CA$2,Model!$A27),'Tablica IO'!AN261*1)</f>
        <v>0.10276392587187631</v>
      </c>
      <c r="AO27" s="222" cm="1">
        <f t="array" aca="1" ref="AO27" ca="1">'Tablica IO'!AO183*INDEX(Model!$C$93:$CA$93,Model!$A27) + IF(wplyw_cen_import_wlaczony,'Tablica IO'!AO261*INDEX(Model!$C$2:$CA$2,Model!$A27),'Tablica IO'!AO261*1)</f>
        <v>3.425464444475506E-2</v>
      </c>
      <c r="AP27" s="222" cm="1">
        <f t="array" aca="1" ref="AP27" ca="1">'Tablica IO'!AP183*INDEX(Model!$C$93:$CA$93,Model!$A27) + IF(wplyw_cen_import_wlaczony,'Tablica IO'!AP261*INDEX(Model!$C$2:$CA$2,Model!$A27),'Tablica IO'!AP261*1)</f>
        <v>1.0458278924387053E-2</v>
      </c>
      <c r="AQ27" s="222" cm="1">
        <f t="array" aca="1" ref="AQ27" ca="1">'Tablica IO'!AQ183*INDEX(Model!$C$93:$CA$93,Model!$A27) + IF(wplyw_cen_import_wlaczony,'Tablica IO'!AQ261*INDEX(Model!$C$2:$CA$2,Model!$A27),'Tablica IO'!AQ261*1)</f>
        <v>7.9654295813746164E-3</v>
      </c>
      <c r="AR27" s="222" cm="1">
        <f t="array" aca="1" ref="AR27" ca="1">'Tablica IO'!AR183*INDEX(Model!$C$93:$CA$93,Model!$A27) + IF(wplyw_cen_import_wlaczony,'Tablica IO'!AR261*INDEX(Model!$C$2:$CA$2,Model!$A27),'Tablica IO'!AR261*1)</f>
        <v>5.048514214384377E-3</v>
      </c>
      <c r="AS27" s="222" cm="1">
        <f t="array" aca="1" ref="AS27" ca="1">'Tablica IO'!AS183*INDEX(Model!$C$93:$CA$93,Model!$A27) + IF(wplyw_cen_import_wlaczony,'Tablica IO'!AS261*INDEX(Model!$C$2:$CA$2,Model!$A27),'Tablica IO'!AS261*1)</f>
        <v>8.8879078197728347E-4</v>
      </c>
      <c r="AT27" s="222" cm="1">
        <f t="array" aca="1" ref="AT27" ca="1">'Tablica IO'!AT183*INDEX(Model!$C$93:$CA$93,Model!$A27) + IF(wplyw_cen_import_wlaczony,'Tablica IO'!AT261*INDEX(Model!$C$2:$CA$2,Model!$A27),'Tablica IO'!AT261*1)</f>
        <v>1.5681011125875158E-3</v>
      </c>
      <c r="AU27" s="222" cm="1">
        <f t="array" aca="1" ref="AU27" ca="1">'Tablica IO'!AU183*INDEX(Model!$C$93:$CA$93,Model!$A27) + IF(wplyw_cen_import_wlaczony,'Tablica IO'!AU261*INDEX(Model!$C$2:$CA$2,Model!$A27),'Tablica IO'!AU261*1)</f>
        <v>2.9632223363739064E-4</v>
      </c>
      <c r="AV27" s="222" cm="1">
        <f t="array" aca="1" ref="AV27" ca="1">'Tablica IO'!AV183*INDEX(Model!$C$93:$CA$93,Model!$A27) + IF(wplyw_cen_import_wlaczony,'Tablica IO'!AV261*INDEX(Model!$C$2:$CA$2,Model!$A27),'Tablica IO'!AV261*1)</f>
        <v>1.7184243676269628E-3</v>
      </c>
      <c r="AW27" s="222" cm="1">
        <f t="array" aca="1" ref="AW27" ca="1">'Tablica IO'!AW183*INDEX(Model!$C$93:$CA$93,Model!$A27) + IF(wplyw_cen_import_wlaczony,'Tablica IO'!AW261*INDEX(Model!$C$2:$CA$2,Model!$A27),'Tablica IO'!AW261*1)</f>
        <v>1.1505214681011358E-3</v>
      </c>
      <c r="AX27" s="222" cm="1">
        <f t="array" aca="1" ref="AX27" ca="1">'Tablica IO'!AX183*INDEX(Model!$C$93:$CA$93,Model!$A27) + IF(wplyw_cen_import_wlaczony,'Tablica IO'!AX261*INDEX(Model!$C$2:$CA$2,Model!$A27),'Tablica IO'!AX261*1)</f>
        <v>1.3531570235262576E-3</v>
      </c>
      <c r="AY27" s="222" cm="1">
        <f t="array" aca="1" ref="AY27" ca="1">'Tablica IO'!AY183*INDEX(Model!$C$93:$CA$93,Model!$A27) + IF(wplyw_cen_import_wlaczony,'Tablica IO'!AY261*INDEX(Model!$C$2:$CA$2,Model!$A27),'Tablica IO'!AY261*1)</f>
        <v>3.7759070922855353E-3</v>
      </c>
      <c r="AZ27" s="222" cm="1">
        <f t="array" aca="1" ref="AZ27" ca="1">'Tablica IO'!AZ183*INDEX(Model!$C$93:$CA$93,Model!$A27) + IF(wplyw_cen_import_wlaczony,'Tablica IO'!AZ261*INDEX(Model!$C$2:$CA$2,Model!$A27),'Tablica IO'!AZ261*1)</f>
        <v>5.000198105124222E-2</v>
      </c>
      <c r="BA27" s="222" cm="1">
        <f t="array" aca="1" ref="BA27" ca="1">'Tablica IO'!BA183*INDEX(Model!$C$93:$CA$93,Model!$A27) + IF(wplyw_cen_import_wlaczony,'Tablica IO'!BA261*INDEX(Model!$C$2:$CA$2,Model!$A27),'Tablica IO'!BA261*1)</f>
        <v>2.5482929131553866E-3</v>
      </c>
      <c r="BB27" s="222" cm="1">
        <f t="array" aca="1" ref="BB27" ca="1">'Tablica IO'!BB183*INDEX(Model!$C$93:$CA$93,Model!$A27) + IF(wplyw_cen_import_wlaczony,'Tablica IO'!BB261*INDEX(Model!$C$2:$CA$2,Model!$A27),'Tablica IO'!BB261*1)</f>
        <v>1.989077791364435E-3</v>
      </c>
      <c r="BC27" s="222" cm="1">
        <f t="array" aca="1" ref="BC27" ca="1">'Tablica IO'!BC183*INDEX(Model!$C$93:$CA$93,Model!$A27) + IF(wplyw_cen_import_wlaczony,'Tablica IO'!BC261*INDEX(Model!$C$2:$CA$2,Model!$A27),'Tablica IO'!BC261*1)</f>
        <v>7.3108875002278429E-4</v>
      </c>
      <c r="BD27" s="222" cm="1">
        <f t="array" aca="1" ref="BD27" ca="1">'Tablica IO'!BD183*INDEX(Model!$C$93:$CA$93,Model!$A27) + IF(wplyw_cen_import_wlaczony,'Tablica IO'!BD261*INDEX(Model!$C$2:$CA$2,Model!$A27),'Tablica IO'!BD261*1)</f>
        <v>1.7312155226811357E-3</v>
      </c>
      <c r="BE27" s="222" cm="1">
        <f t="array" aca="1" ref="BE27" ca="1">'Tablica IO'!BE183*INDEX(Model!$C$93:$CA$93,Model!$A27) + IF(wplyw_cen_import_wlaczony,'Tablica IO'!BE261*INDEX(Model!$C$2:$CA$2,Model!$A27),'Tablica IO'!BE261*1)</f>
        <v>1.5576915418619543E-3</v>
      </c>
      <c r="BF27" s="222" cm="1">
        <f t="array" aca="1" ref="BF27" ca="1">'Tablica IO'!BF183*INDEX(Model!$C$93:$CA$93,Model!$A27) + IF(wplyw_cen_import_wlaczony,'Tablica IO'!BF261*INDEX(Model!$C$2:$CA$2,Model!$A27),'Tablica IO'!BF261*1)</f>
        <v>2.0697917190941268E-3</v>
      </c>
      <c r="BG27" s="222" cm="1">
        <f t="array" aca="1" ref="BG27" ca="1">'Tablica IO'!BG183*INDEX(Model!$C$93:$CA$93,Model!$A27) + IF(wplyw_cen_import_wlaczony,'Tablica IO'!BG261*INDEX(Model!$C$2:$CA$2,Model!$A27),'Tablica IO'!BG261*1)</f>
        <v>2.0773773363166013E-3</v>
      </c>
      <c r="BH27" s="222" cm="1">
        <f t="array" aca="1" ref="BH27" ca="1">'Tablica IO'!BH183*INDEX(Model!$C$93:$CA$93,Model!$A27) + IF(wplyw_cen_import_wlaczony,'Tablica IO'!BH261*INDEX(Model!$C$2:$CA$2,Model!$A27),'Tablica IO'!BH261*1)</f>
        <v>3.1525241102211086E-3</v>
      </c>
      <c r="BI27" s="222" cm="1">
        <f t="array" aca="1" ref="BI27" ca="1">'Tablica IO'!BI183*INDEX(Model!$C$93:$CA$93,Model!$A27) + IF(wplyw_cen_import_wlaczony,'Tablica IO'!BI261*INDEX(Model!$C$2:$CA$2,Model!$A27),'Tablica IO'!BI261*1)</f>
        <v>2.6609400326419053E-3</v>
      </c>
      <c r="BJ27" s="222" cm="1">
        <f t="array" aca="1" ref="BJ27" ca="1">'Tablica IO'!BJ183*INDEX(Model!$C$93:$CA$93,Model!$A27) + IF(wplyw_cen_import_wlaczony,'Tablica IO'!BJ261*INDEX(Model!$C$2:$CA$2,Model!$A27),'Tablica IO'!BJ261*1)</f>
        <v>1.1495226612987818E-2</v>
      </c>
      <c r="BK27" s="222" cm="1">
        <f t="array" aca="1" ref="BK27" ca="1">'Tablica IO'!BK183*INDEX(Model!$C$93:$CA$93,Model!$A27) + IF(wplyw_cen_import_wlaczony,'Tablica IO'!BK261*INDEX(Model!$C$2:$CA$2,Model!$A27),'Tablica IO'!BK261*1)</f>
        <v>3.4288602242394267E-3</v>
      </c>
      <c r="BL27" s="222" cm="1">
        <f t="array" aca="1" ref="BL27" ca="1">'Tablica IO'!BL183*INDEX(Model!$C$93:$CA$93,Model!$A27) + IF(wplyw_cen_import_wlaczony,'Tablica IO'!BL261*INDEX(Model!$C$2:$CA$2,Model!$A27),'Tablica IO'!BL261*1)</f>
        <v>3.0560981734914358E-3</v>
      </c>
      <c r="BM27" s="222" cm="1">
        <f t="array" aca="1" ref="BM27" ca="1">'Tablica IO'!BM183*INDEX(Model!$C$93:$CA$93,Model!$A27) + IF(wplyw_cen_import_wlaczony,'Tablica IO'!BM261*INDEX(Model!$C$2:$CA$2,Model!$A27),'Tablica IO'!BM261*1)</f>
        <v>1.4022842771193535E-2</v>
      </c>
      <c r="BN27" s="222" cm="1">
        <f t="array" aca="1" ref="BN27" ca="1">'Tablica IO'!BN183*INDEX(Model!$C$93:$CA$93,Model!$A27) + IF(wplyw_cen_import_wlaczony,'Tablica IO'!BN261*INDEX(Model!$C$2:$CA$2,Model!$A27),'Tablica IO'!BN261*1)</f>
        <v>1.327796012123999E-2</v>
      </c>
      <c r="BO27" s="222" cm="1">
        <f t="array" aca="1" ref="BO27" ca="1">'Tablica IO'!BO183*INDEX(Model!$C$93:$CA$93,Model!$A27) + IF(wplyw_cen_import_wlaczony,'Tablica IO'!BO261*INDEX(Model!$C$2:$CA$2,Model!$A27),'Tablica IO'!BO261*1)</f>
        <v>2.7726339947255398E-3</v>
      </c>
      <c r="BP27" s="222" cm="1">
        <f t="array" aca="1" ref="BP27" ca="1">'Tablica IO'!BP183*INDEX(Model!$C$93:$CA$93,Model!$A27) + IF(wplyw_cen_import_wlaczony,'Tablica IO'!BP261*INDEX(Model!$C$2:$CA$2,Model!$A27),'Tablica IO'!BP261*1)</f>
        <v>5.1779130612870632E-3</v>
      </c>
      <c r="BQ27" s="222" cm="1">
        <f t="array" aca="1" ref="BQ27" ca="1">'Tablica IO'!BQ183*INDEX(Model!$C$93:$CA$93,Model!$A27) + IF(wplyw_cen_import_wlaczony,'Tablica IO'!BQ261*INDEX(Model!$C$2:$CA$2,Model!$A27),'Tablica IO'!BQ261*1)</f>
        <v>1.7435511353541583E-3</v>
      </c>
      <c r="BR27" s="222" cm="1">
        <f t="array" aca="1" ref="BR27" ca="1">'Tablica IO'!BR183*INDEX(Model!$C$93:$CA$93,Model!$A27) + IF(wplyw_cen_import_wlaczony,'Tablica IO'!BR261*INDEX(Model!$C$2:$CA$2,Model!$A27),'Tablica IO'!BR261*1)</f>
        <v>1.8430161627944397E-3</v>
      </c>
      <c r="BS27" s="222" cm="1">
        <f t="array" aca="1" ref="BS27" ca="1">'Tablica IO'!BS183*INDEX(Model!$C$93:$CA$93,Model!$A27) + IF(wplyw_cen_import_wlaczony,'Tablica IO'!BS261*INDEX(Model!$C$2:$CA$2,Model!$A27),'Tablica IO'!BS261*1)</f>
        <v>3.0760574299187292E-3</v>
      </c>
      <c r="BT27" s="222" cm="1">
        <f t="array" aca="1" ref="BT27" ca="1">'Tablica IO'!BT183*INDEX(Model!$C$93:$CA$93,Model!$A27) + IF(wplyw_cen_import_wlaczony,'Tablica IO'!BT261*INDEX(Model!$C$2:$CA$2,Model!$A27),'Tablica IO'!BT261*1)</f>
        <v>2.5512972987819737E-3</v>
      </c>
      <c r="BU27" s="222" cm="1">
        <f t="array" aca="1" ref="BU27" ca="1">'Tablica IO'!BU183*INDEX(Model!$C$93:$CA$93,Model!$A27) + IF(wplyw_cen_import_wlaczony,'Tablica IO'!BU261*INDEX(Model!$C$2:$CA$2,Model!$A27),'Tablica IO'!BU261*1)</f>
        <v>3.0544626427584645E-3</v>
      </c>
      <c r="BV27" s="222" cm="1">
        <f t="array" aca="1" ref="BV27" ca="1">'Tablica IO'!BV183*INDEX(Model!$C$93:$CA$93,Model!$A27) + IF(wplyw_cen_import_wlaczony,'Tablica IO'!BV261*INDEX(Model!$C$2:$CA$2,Model!$A27),'Tablica IO'!BV261*1)</f>
        <v>7.4192993677717385E-4</v>
      </c>
      <c r="BW27" s="222" cm="1">
        <f t="array" aca="1" ref="BW27" ca="1">'Tablica IO'!BW183*INDEX(Model!$C$93:$CA$93,Model!$A27) + IF(wplyw_cen_import_wlaczony,'Tablica IO'!BW261*INDEX(Model!$C$2:$CA$2,Model!$A27),'Tablica IO'!BW261*1)</f>
        <v>3.5966191528406847E-3</v>
      </c>
      <c r="BX27" s="222" cm="1">
        <f t="array" aca="1" ref="BX27" ca="1">'Tablica IO'!BX183*INDEX(Model!$C$93:$CA$93,Model!$A27) + IF(wplyw_cen_import_wlaczony,'Tablica IO'!BX261*INDEX(Model!$C$2:$CA$2,Model!$A27),'Tablica IO'!BX261*1)</f>
        <v>7.5834607005503549E-3</v>
      </c>
      <c r="BY27" s="222" cm="1">
        <f t="array" aca="1" ref="BY27" ca="1">'Tablica IO'!BY183*INDEX(Model!$C$93:$CA$93,Model!$A27) + IF(wplyw_cen_import_wlaczony,'Tablica IO'!BY261*INDEX(Model!$C$2:$CA$2,Model!$A27),'Tablica IO'!BY261*1)</f>
        <v>7.4886527487453745E-4</v>
      </c>
      <c r="BZ27" s="222" cm="1">
        <f t="array" aca="1" ref="BZ27" ca="1">'Tablica IO'!BZ183*INDEX(Model!$C$93:$CA$93,Model!$A27) + IF(wplyw_cen_import_wlaczony,'Tablica IO'!BZ261*INDEX(Model!$C$2:$CA$2,Model!$A27),'Tablica IO'!BZ261*1)</f>
        <v>6.2136266067591072E-3</v>
      </c>
      <c r="CA27" s="222" cm="1">
        <f t="array" aca="1" ref="CA27" ca="1">'Tablica IO'!CA183*INDEX(Model!$C$93:$CA$93,Model!$A27) + IF(wplyw_cen_import_wlaczony,'Tablica IO'!CA261*INDEX(Model!$C$2:$CA$2,Model!$A27),'Tablica IO'!CA261*1)</f>
        <v>0</v>
      </c>
      <c r="CB27" s="247">
        <f ca="1">'Tablica IO'!CD183*INDEX(Model!$C$93:$CA$93,Model!$A27)+'Tablica IO'!CD261*INDEX(Model!$C$2:$CA$2,Model!$A27)</f>
        <v>1.5597831085458359E-2</v>
      </c>
      <c r="CC27" s="188">
        <f ca="1">'Tablica IO'!CE183*INDEX(Model!$C$93:$CA$93,Model!$A27)+'Tablica IO'!CE261*INDEX(Model!$C$2:$CA$2,Model!$A27)</f>
        <v>1.4122364238272381E-4</v>
      </c>
      <c r="CD27" s="188">
        <f ca="1">'Tablica IO'!CF183*INDEX(Model!$C$93:$CA$93,Model!$A27)+'Tablica IO'!CF261*INDEX(Model!$C$2:$CA$2,Model!$A27)</f>
        <v>-1.0239145246535832E-2</v>
      </c>
      <c r="CE27" s="189">
        <f ca="1">'Tablica IO'!CG183*INDEX(Model!$C$93:$CA$93,Model!$A27)+'Tablica IO'!CG261*INDEX(Model!$C$2:$CA$2,Model!$A27)</f>
        <v>2.2230460350644542E-2</v>
      </c>
    </row>
    <row r="28" spans="1:83" x14ac:dyDescent="0.25">
      <c r="A28" s="164">
        <v>16</v>
      </c>
      <c r="B28" s="172" t="s">
        <v>15</v>
      </c>
      <c r="C28" s="221" cm="1">
        <f t="array" aca="1" ref="C28" ca="1">'Tablica IO'!C184*INDEX(Model!$C$93:$CA$93,Model!$A28) + IF(wplyw_cen_import_wlaczony,'Tablica IO'!C262*INDEX(Model!$C$2:$CA$2,Model!$A28),'Tablica IO'!C262*1)</f>
        <v>8.5915718282167874E-2</v>
      </c>
      <c r="D28" s="222" cm="1">
        <f t="array" aca="1" ref="D28" ca="1">'Tablica IO'!D184*INDEX(Model!$C$93:$CA$93,Model!$A28) + IF(wplyw_cen_import_wlaczony,'Tablica IO'!D262*INDEX(Model!$C$2:$CA$2,Model!$A28),'Tablica IO'!D262*1)</f>
        <v>8.8884617143117142E-3</v>
      </c>
      <c r="E28" s="222" cm="1">
        <f t="array" aca="1" ref="E28" ca="1">'Tablica IO'!E184*INDEX(Model!$C$93:$CA$93,Model!$A28) + IF(wplyw_cen_import_wlaczony,'Tablica IO'!E262*INDEX(Model!$C$2:$CA$2,Model!$A28),'Tablica IO'!E262*1)</f>
        <v>4.1702166712748769E-3</v>
      </c>
      <c r="F28" s="222" cm="1">
        <f t="array" aca="1" ref="F28" ca="1">'Tablica IO'!F184*INDEX(Model!$C$93:$CA$93,Model!$A28) + IF(wplyw_cen_import_wlaczony,'Tablica IO'!F262*INDEX(Model!$C$2:$CA$2,Model!$A28),'Tablica IO'!F262*1)</f>
        <v>8.9509585714893369E-3</v>
      </c>
      <c r="G28" s="222" cm="1">
        <f t="array" aca="1" ref="G28" ca="1">'Tablica IO'!G184*INDEX(Model!$C$93:$CA$93,Model!$A28) + IF(wplyw_cen_import_wlaczony,'Tablica IO'!G262*INDEX(Model!$C$2:$CA$2,Model!$A28),'Tablica IO'!G262*1)</f>
        <v>9.1925830762938643E-3</v>
      </c>
      <c r="H28" s="222" cm="1">
        <f t="array" aca="1" ref="H28" ca="1">'Tablica IO'!H184*INDEX(Model!$C$93:$CA$93,Model!$A28) + IF(wplyw_cen_import_wlaczony,'Tablica IO'!H262*INDEX(Model!$C$2:$CA$2,Model!$A28),'Tablica IO'!H262*1)</f>
        <v>8.364169854637964E-3</v>
      </c>
      <c r="I28" s="222" cm="1">
        <f t="array" aca="1" ref="I28" ca="1">'Tablica IO'!I184*INDEX(Model!$C$93:$CA$93,Model!$A28) + IF(wplyw_cen_import_wlaczony,'Tablica IO'!I262*INDEX(Model!$C$2:$CA$2,Model!$A28),'Tablica IO'!I262*1)</f>
        <v>1.3547986027621226E-2</v>
      </c>
      <c r="J28" s="222" cm="1">
        <f t="array" aca="1" ref="J28" ca="1">'Tablica IO'!J184*INDEX(Model!$C$93:$CA$93,Model!$A28) + IF(wplyw_cen_import_wlaczony,'Tablica IO'!J262*INDEX(Model!$C$2:$CA$2,Model!$A28),'Tablica IO'!J262*1)</f>
        <v>9.9238529873974437E-3</v>
      </c>
      <c r="K28" s="222" cm="1">
        <f t="array" aca="1" ref="K28" ca="1">'Tablica IO'!K184*INDEX(Model!$C$93:$CA$93,Model!$A28) + IF(wplyw_cen_import_wlaczony,'Tablica IO'!K262*INDEX(Model!$C$2:$CA$2,Model!$A28),'Tablica IO'!K262*1)</f>
        <v>8.2032425274064555E-2</v>
      </c>
      <c r="L28" s="222" cm="1">
        <f t="array" aca="1" ref="L28" ca="1">'Tablica IO'!L184*INDEX(Model!$C$93:$CA$93,Model!$A28) + IF(wplyw_cen_import_wlaczony,'Tablica IO'!L262*INDEX(Model!$C$2:$CA$2,Model!$A28),'Tablica IO'!L262*1)</f>
        <v>1.6329406888905138E-2</v>
      </c>
      <c r="M28" s="222" cm="1">
        <f t="array" aca="1" ref="M28" ca="1">'Tablica IO'!M184*INDEX(Model!$C$93:$CA$93,Model!$A28) + IF(wplyw_cen_import_wlaczony,'Tablica IO'!M262*INDEX(Model!$C$2:$CA$2,Model!$A28),'Tablica IO'!M262*1)</f>
        <v>7.1838365450781635E-2</v>
      </c>
      <c r="N28" s="222" cm="1">
        <f t="array" aca="1" ref="N28" ca="1">'Tablica IO'!N184*INDEX(Model!$C$93:$CA$93,Model!$A28) + IF(wplyw_cen_import_wlaczony,'Tablica IO'!N262*INDEX(Model!$C$2:$CA$2,Model!$A28),'Tablica IO'!N262*1)</f>
        <v>4.3894333170586539E-2</v>
      </c>
      <c r="O28" s="222" cm="1">
        <f t="array" aca="1" ref="O28" ca="1">'Tablica IO'!O184*INDEX(Model!$C$93:$CA$93,Model!$A28) + IF(wplyw_cen_import_wlaczony,'Tablica IO'!O262*INDEX(Model!$C$2:$CA$2,Model!$A28),'Tablica IO'!O262*1)</f>
        <v>6.5346438737121593E-2</v>
      </c>
      <c r="P28" s="222" cm="1">
        <f t="array" aca="1" ref="P28" ca="1">'Tablica IO'!P184*INDEX(Model!$C$93:$CA$93,Model!$A28) + IF(wplyw_cen_import_wlaczony,'Tablica IO'!P262*INDEX(Model!$C$2:$CA$2,Model!$A28),'Tablica IO'!P262*1)</f>
        <v>5.7902494302040114E-2</v>
      </c>
      <c r="Q28" s="222" cm="1">
        <f t="array" aca="1" ref="Q28" ca="1">'Tablica IO'!Q184*INDEX(Model!$C$93:$CA$93,Model!$A28) + IF(wplyw_cen_import_wlaczony,'Tablica IO'!Q262*INDEX(Model!$C$2:$CA$2,Model!$A28),'Tablica IO'!Q262*1)</f>
        <v>3.6798587368619365E-2</v>
      </c>
      <c r="R28" s="222" cm="1">
        <f t="array" aca="1" ref="R28" ca="1">'Tablica IO'!R184*INDEX(Model!$C$93:$CA$93,Model!$A28) + IF(wplyw_cen_import_wlaczony,'Tablica IO'!R262*INDEX(Model!$C$2:$CA$2,Model!$A28),'Tablica IO'!R262*1)</f>
        <v>0.32857437214655638</v>
      </c>
      <c r="S28" s="222" cm="1">
        <f t="array" aca="1" ref="S28" ca="1">'Tablica IO'!S184*INDEX(Model!$C$93:$CA$93,Model!$A28) + IF(wplyw_cen_import_wlaczony,'Tablica IO'!S262*INDEX(Model!$C$2:$CA$2,Model!$A28),'Tablica IO'!S262*1)</f>
        <v>2.1221888425222716E-2</v>
      </c>
      <c r="T28" s="222" cm="1">
        <f t="array" aca="1" ref="T28" ca="1">'Tablica IO'!T184*INDEX(Model!$C$93:$CA$93,Model!$A28) + IF(wplyw_cen_import_wlaczony,'Tablica IO'!T262*INDEX(Model!$C$2:$CA$2,Model!$A28),'Tablica IO'!T262*1)</f>
        <v>0.21660329833943368</v>
      </c>
      <c r="U28" s="222" cm="1">
        <f t="array" aca="1" ref="U28" ca="1">'Tablica IO'!U184*INDEX(Model!$C$93:$CA$93,Model!$A28) + IF(wplyw_cen_import_wlaczony,'Tablica IO'!U262*INDEX(Model!$C$2:$CA$2,Model!$A28),'Tablica IO'!U262*1)</f>
        <v>4.602974073518707E-2</v>
      </c>
      <c r="V28" s="222" cm="1">
        <f t="array" aca="1" ref="V28" ca="1">'Tablica IO'!V184*INDEX(Model!$C$93:$CA$93,Model!$A28) + IF(wplyw_cen_import_wlaczony,'Tablica IO'!V262*INDEX(Model!$C$2:$CA$2,Model!$A28),'Tablica IO'!V262*1)</f>
        <v>7.861939336085845E-3</v>
      </c>
      <c r="W28" s="222" cm="1">
        <f t="array" aca="1" ref="W28" ca="1">'Tablica IO'!W184*INDEX(Model!$C$93:$CA$93,Model!$A28) + IF(wplyw_cen_import_wlaczony,'Tablica IO'!W262*INDEX(Model!$C$2:$CA$2,Model!$A28),'Tablica IO'!W262*1)</f>
        <v>1.9282569193481303E-2</v>
      </c>
      <c r="X28" s="222" cm="1">
        <f t="array" aca="1" ref="X28" ca="1">'Tablica IO'!X184*INDEX(Model!$C$93:$CA$93,Model!$A28) + IF(wplyw_cen_import_wlaczony,'Tablica IO'!X262*INDEX(Model!$C$2:$CA$2,Model!$A28),'Tablica IO'!X262*1)</f>
        <v>1.2562109035624713E-2</v>
      </c>
      <c r="Y28" s="222" cm="1">
        <f t="array" aca="1" ref="Y28" ca="1">'Tablica IO'!Y184*INDEX(Model!$C$93:$CA$93,Model!$A28) + IF(wplyw_cen_import_wlaczony,'Tablica IO'!Y262*INDEX(Model!$C$2:$CA$2,Model!$A28),'Tablica IO'!Y262*1)</f>
        <v>3.1941693385452496E-2</v>
      </c>
      <c r="Z28" s="222" cm="1">
        <f t="array" aca="1" ref="Z28" ca="1">'Tablica IO'!Z184*INDEX(Model!$C$93:$CA$93,Model!$A28) + IF(wplyw_cen_import_wlaczony,'Tablica IO'!Z262*INDEX(Model!$C$2:$CA$2,Model!$A28),'Tablica IO'!Z262*1)</f>
        <v>1.5963485879933251E-2</v>
      </c>
      <c r="AA28" s="222" cm="1">
        <f t="array" aca="1" ref="AA28" ca="1">'Tablica IO'!AA184*INDEX(Model!$C$93:$CA$93,Model!$A28) + IF(wplyw_cen_import_wlaczony,'Tablica IO'!AA262*INDEX(Model!$C$2:$CA$2,Model!$A28),'Tablica IO'!AA262*1)</f>
        <v>1.7688347933046848E-2</v>
      </c>
      <c r="AB28" s="222" cm="1">
        <f t="array" aca="1" ref="AB28" ca="1">'Tablica IO'!AB184*INDEX(Model!$C$93:$CA$93,Model!$A28) + IF(wplyw_cen_import_wlaczony,'Tablica IO'!AB262*INDEX(Model!$C$2:$CA$2,Model!$A28),'Tablica IO'!AB262*1)</f>
        <v>1.8069757825504629E-2</v>
      </c>
      <c r="AC28" s="222" cm="1">
        <f t="array" aca="1" ref="AC28" ca="1">'Tablica IO'!AC184*INDEX(Model!$C$93:$CA$93,Model!$A28) + IF(wplyw_cen_import_wlaczony,'Tablica IO'!AC262*INDEX(Model!$C$2:$CA$2,Model!$A28),'Tablica IO'!AC262*1)</f>
        <v>3.8801948933576011E-2</v>
      </c>
      <c r="AD28" s="222" cm="1">
        <f t="array" aca="1" ref="AD28" ca="1">'Tablica IO'!AD184*INDEX(Model!$C$93:$CA$93,Model!$A28) + IF(wplyw_cen_import_wlaczony,'Tablica IO'!AD262*INDEX(Model!$C$2:$CA$2,Model!$A28),'Tablica IO'!AD262*1)</f>
        <v>4.3767666035607812E-2</v>
      </c>
      <c r="AE28" s="222" cm="1">
        <f t="array" aca="1" ref="AE28" ca="1">'Tablica IO'!AE184*INDEX(Model!$C$93:$CA$93,Model!$A28) + IF(wplyw_cen_import_wlaczony,'Tablica IO'!AE262*INDEX(Model!$C$2:$CA$2,Model!$A28),'Tablica IO'!AE262*1)</f>
        <v>9.0843142348683778E-3</v>
      </c>
      <c r="AF28" s="222" cm="1">
        <f t="array" aca="1" ref="AF28" ca="1">'Tablica IO'!AF184*INDEX(Model!$C$93:$CA$93,Model!$A28) + IF(wplyw_cen_import_wlaczony,'Tablica IO'!AF262*INDEX(Model!$C$2:$CA$2,Model!$A28),'Tablica IO'!AF262*1)</f>
        <v>2.1707944160117695E-3</v>
      </c>
      <c r="AG28" s="222" cm="1">
        <f t="array" aca="1" ref="AG28" ca="1">'Tablica IO'!AG184*INDEX(Model!$C$93:$CA$93,Model!$A28) + IF(wplyw_cen_import_wlaczony,'Tablica IO'!AG262*INDEX(Model!$C$2:$CA$2,Model!$A28),'Tablica IO'!AG262*1)</f>
        <v>2.2149449728000169E-2</v>
      </c>
      <c r="AH28" s="222" cm="1">
        <f t="array" aca="1" ref="AH28" ca="1">'Tablica IO'!AH184*INDEX(Model!$C$93:$CA$93,Model!$A28) + IF(wplyw_cen_import_wlaczony,'Tablica IO'!AH262*INDEX(Model!$C$2:$CA$2,Model!$A28),'Tablica IO'!AH262*1)</f>
        <v>7.7397400117052463E-3</v>
      </c>
      <c r="AI28" s="222" cm="1">
        <f t="array" aca="1" ref="AI28" ca="1">'Tablica IO'!AI184*INDEX(Model!$C$93:$CA$93,Model!$A28) + IF(wplyw_cen_import_wlaczony,'Tablica IO'!AI262*INDEX(Model!$C$2:$CA$2,Model!$A28),'Tablica IO'!AI262*1)</f>
        <v>1.3096125832140742E-2</v>
      </c>
      <c r="AJ28" s="222" cm="1">
        <f t="array" aca="1" ref="AJ28" ca="1">'Tablica IO'!AJ184*INDEX(Model!$C$93:$CA$93,Model!$A28) + IF(wplyw_cen_import_wlaczony,'Tablica IO'!AJ262*INDEX(Model!$C$2:$CA$2,Model!$A28),'Tablica IO'!AJ262*1)</f>
        <v>1.0755787645218121E-2</v>
      </c>
      <c r="AK28" s="222" cm="1">
        <f t="array" aca="1" ref="AK28" ca="1">'Tablica IO'!AK184*INDEX(Model!$C$93:$CA$93,Model!$A28) + IF(wplyw_cen_import_wlaczony,'Tablica IO'!AK262*INDEX(Model!$C$2:$CA$2,Model!$A28),'Tablica IO'!AK262*1)</f>
        <v>8.4008602257317436E-3</v>
      </c>
      <c r="AL28" s="222" cm="1">
        <f t="array" aca="1" ref="AL28" ca="1">'Tablica IO'!AL184*INDEX(Model!$C$93:$CA$93,Model!$A28) + IF(wplyw_cen_import_wlaczony,'Tablica IO'!AL262*INDEX(Model!$C$2:$CA$2,Model!$A28),'Tablica IO'!AL262*1)</f>
        <v>1.0911104787109395E-2</v>
      </c>
      <c r="AM28" s="222" cm="1">
        <f t="array" aca="1" ref="AM28" ca="1">'Tablica IO'!AM184*INDEX(Model!$C$93:$CA$93,Model!$A28) + IF(wplyw_cen_import_wlaczony,'Tablica IO'!AM262*INDEX(Model!$C$2:$CA$2,Model!$A28),'Tablica IO'!AM262*1)</f>
        <v>4.2833683264766878E-3</v>
      </c>
      <c r="AN28" s="222" cm="1">
        <f t="array" aca="1" ref="AN28" ca="1">'Tablica IO'!AN184*INDEX(Model!$C$93:$CA$93,Model!$A28) + IF(wplyw_cen_import_wlaczony,'Tablica IO'!AN262*INDEX(Model!$C$2:$CA$2,Model!$A28),'Tablica IO'!AN262*1)</f>
        <v>4.1942536788225036E-3</v>
      </c>
      <c r="AO28" s="222" cm="1">
        <f t="array" aca="1" ref="AO28" ca="1">'Tablica IO'!AO184*INDEX(Model!$C$93:$CA$93,Model!$A28) + IF(wplyw_cen_import_wlaczony,'Tablica IO'!AO262*INDEX(Model!$C$2:$CA$2,Model!$A28),'Tablica IO'!AO262*1)</f>
        <v>1.8767993176611814E-3</v>
      </c>
      <c r="AP28" s="222" cm="1">
        <f t="array" aca="1" ref="AP28" ca="1">'Tablica IO'!AP184*INDEX(Model!$C$93:$CA$93,Model!$A28) + IF(wplyw_cen_import_wlaczony,'Tablica IO'!AP262*INDEX(Model!$C$2:$CA$2,Model!$A28),'Tablica IO'!AP262*1)</f>
        <v>1.8566757091358775E-3</v>
      </c>
      <c r="AQ28" s="222" cm="1">
        <f t="array" aca="1" ref="AQ28" ca="1">'Tablica IO'!AQ184*INDEX(Model!$C$93:$CA$93,Model!$A28) + IF(wplyw_cen_import_wlaczony,'Tablica IO'!AQ262*INDEX(Model!$C$2:$CA$2,Model!$A28),'Tablica IO'!AQ262*1)</f>
        <v>9.274954477401922E-3</v>
      </c>
      <c r="AR28" s="222" cm="1">
        <f t="array" aca="1" ref="AR28" ca="1">'Tablica IO'!AR184*INDEX(Model!$C$93:$CA$93,Model!$A28) + IF(wplyw_cen_import_wlaczony,'Tablica IO'!AR262*INDEX(Model!$C$2:$CA$2,Model!$A28),'Tablica IO'!AR262*1)</f>
        <v>4.8471381372805445E-3</v>
      </c>
      <c r="AS28" s="222" cm="1">
        <f t="array" aca="1" ref="AS28" ca="1">'Tablica IO'!AS184*INDEX(Model!$C$93:$CA$93,Model!$A28) + IF(wplyw_cen_import_wlaczony,'Tablica IO'!AS262*INDEX(Model!$C$2:$CA$2,Model!$A28),'Tablica IO'!AS262*1)</f>
        <v>6.9053300296971765E-3</v>
      </c>
      <c r="AT28" s="222" cm="1">
        <f t="array" aca="1" ref="AT28" ca="1">'Tablica IO'!AT184*INDEX(Model!$C$93:$CA$93,Model!$A28) + IF(wplyw_cen_import_wlaczony,'Tablica IO'!AT262*INDEX(Model!$C$2:$CA$2,Model!$A28),'Tablica IO'!AT262*1)</f>
        <v>1.9099714727458424E-2</v>
      </c>
      <c r="AU28" s="222" cm="1">
        <f t="array" aca="1" ref="AU28" ca="1">'Tablica IO'!AU184*INDEX(Model!$C$93:$CA$93,Model!$A28) + IF(wplyw_cen_import_wlaczony,'Tablica IO'!AU262*INDEX(Model!$C$2:$CA$2,Model!$A28),'Tablica IO'!AU262*1)</f>
        <v>7.3553373697570154E-6</v>
      </c>
      <c r="AV28" s="222" cm="1">
        <f t="array" aca="1" ref="AV28" ca="1">'Tablica IO'!AV184*INDEX(Model!$C$93:$CA$93,Model!$A28) + IF(wplyw_cen_import_wlaczony,'Tablica IO'!AV262*INDEX(Model!$C$2:$CA$2,Model!$A28),'Tablica IO'!AV262*1)</f>
        <v>5.2704419928221586E-5</v>
      </c>
      <c r="AW28" s="222" cm="1">
        <f t="array" aca="1" ref="AW28" ca="1">'Tablica IO'!AW184*INDEX(Model!$C$93:$CA$93,Model!$A28) + IF(wplyw_cen_import_wlaczony,'Tablica IO'!AW262*INDEX(Model!$C$2:$CA$2,Model!$A28),'Tablica IO'!AW262*1)</f>
        <v>3.66283542346228E-4</v>
      </c>
      <c r="AX28" s="222" cm="1">
        <f t="array" aca="1" ref="AX28" ca="1">'Tablica IO'!AX184*INDEX(Model!$C$93:$CA$93,Model!$A28) + IF(wplyw_cen_import_wlaczony,'Tablica IO'!AX262*INDEX(Model!$C$2:$CA$2,Model!$A28),'Tablica IO'!AX262*1)</f>
        <v>4.2274677511109921E-4</v>
      </c>
      <c r="AY28" s="222" cm="1">
        <f t="array" aca="1" ref="AY28" ca="1">'Tablica IO'!AY184*INDEX(Model!$C$93:$CA$93,Model!$A28) + IF(wplyw_cen_import_wlaczony,'Tablica IO'!AY262*INDEX(Model!$C$2:$CA$2,Model!$A28),'Tablica IO'!AY262*1)</f>
        <v>2.7975194209481913E-3</v>
      </c>
      <c r="AZ28" s="222" cm="1">
        <f t="array" aca="1" ref="AZ28" ca="1">'Tablica IO'!AZ184*INDEX(Model!$C$93:$CA$93,Model!$A28) + IF(wplyw_cen_import_wlaczony,'Tablica IO'!AZ262*INDEX(Model!$C$2:$CA$2,Model!$A28),'Tablica IO'!AZ262*1)</f>
        <v>6.867218315071066E-4</v>
      </c>
      <c r="BA28" s="222" cm="1">
        <f t="array" aca="1" ref="BA28" ca="1">'Tablica IO'!BA184*INDEX(Model!$C$93:$CA$93,Model!$A28) + IF(wplyw_cen_import_wlaczony,'Tablica IO'!BA262*INDEX(Model!$C$2:$CA$2,Model!$A28),'Tablica IO'!BA262*1)</f>
        <v>1.1828407647095553E-3</v>
      </c>
      <c r="BB28" s="222" cm="1">
        <f t="array" aca="1" ref="BB28" ca="1">'Tablica IO'!BB184*INDEX(Model!$C$93:$CA$93,Model!$A28) + IF(wplyw_cen_import_wlaczony,'Tablica IO'!BB262*INDEX(Model!$C$2:$CA$2,Model!$A28),'Tablica IO'!BB262*1)</f>
        <v>8.9551442090626768E-3</v>
      </c>
      <c r="BC28" s="222" cm="1">
        <f t="array" aca="1" ref="BC28" ca="1">'Tablica IO'!BC184*INDEX(Model!$C$93:$CA$93,Model!$A28) + IF(wplyw_cen_import_wlaczony,'Tablica IO'!BC262*INDEX(Model!$C$2:$CA$2,Model!$A28),'Tablica IO'!BC262*1)</f>
        <v>1.4992286566910809E-3</v>
      </c>
      <c r="BD28" s="222" cm="1">
        <f t="array" aca="1" ref="BD28" ca="1">'Tablica IO'!BD184*INDEX(Model!$C$93:$CA$93,Model!$A28) + IF(wplyw_cen_import_wlaczony,'Tablica IO'!BD262*INDEX(Model!$C$2:$CA$2,Model!$A28),'Tablica IO'!BD262*1)</f>
        <v>1.0487544097874083E-3</v>
      </c>
      <c r="BE28" s="222" cm="1">
        <f t="array" aca="1" ref="BE28" ca="1">'Tablica IO'!BE184*INDEX(Model!$C$93:$CA$93,Model!$A28) + IF(wplyw_cen_import_wlaczony,'Tablica IO'!BE262*INDEX(Model!$C$2:$CA$2,Model!$A28),'Tablica IO'!BE262*1)</f>
        <v>3.231984104553423E-3</v>
      </c>
      <c r="BF28" s="222" cm="1">
        <f t="array" aca="1" ref="BF28" ca="1">'Tablica IO'!BF184*INDEX(Model!$C$93:$CA$93,Model!$A28) + IF(wplyw_cen_import_wlaczony,'Tablica IO'!BF262*INDEX(Model!$C$2:$CA$2,Model!$A28),'Tablica IO'!BF262*1)</f>
        <v>3.1450323109115275E-2</v>
      </c>
      <c r="BG28" s="222" cm="1">
        <f t="array" aca="1" ref="BG28" ca="1">'Tablica IO'!BG184*INDEX(Model!$C$93:$CA$93,Model!$A28) + IF(wplyw_cen_import_wlaczony,'Tablica IO'!BG262*INDEX(Model!$C$2:$CA$2,Model!$A28),'Tablica IO'!BG262*1)</f>
        <v>1.6320105991845127E-3</v>
      </c>
      <c r="BH28" s="222" cm="1">
        <f t="array" aca="1" ref="BH28" ca="1">'Tablica IO'!BH184*INDEX(Model!$C$93:$CA$93,Model!$A28) + IF(wplyw_cen_import_wlaczony,'Tablica IO'!BH262*INDEX(Model!$C$2:$CA$2,Model!$A28),'Tablica IO'!BH262*1)</f>
        <v>3.4746532372241217E-3</v>
      </c>
      <c r="BI28" s="222" cm="1">
        <f t="array" aca="1" ref="BI28" ca="1">'Tablica IO'!BI184*INDEX(Model!$C$93:$CA$93,Model!$A28) + IF(wplyw_cen_import_wlaczony,'Tablica IO'!BI262*INDEX(Model!$C$2:$CA$2,Model!$A28),'Tablica IO'!BI262*1)</f>
        <v>1.200308952521492E-2</v>
      </c>
      <c r="BJ28" s="222" cm="1">
        <f t="array" aca="1" ref="BJ28" ca="1">'Tablica IO'!BJ184*INDEX(Model!$C$93:$CA$93,Model!$A28) + IF(wplyw_cen_import_wlaczony,'Tablica IO'!BJ262*INDEX(Model!$C$2:$CA$2,Model!$A28),'Tablica IO'!BJ262*1)</f>
        <v>2.8486112650095898E-3</v>
      </c>
      <c r="BK28" s="222" cm="1">
        <f t="array" aca="1" ref="BK28" ca="1">'Tablica IO'!BK184*INDEX(Model!$C$93:$CA$93,Model!$A28) + IF(wplyw_cen_import_wlaczony,'Tablica IO'!BK262*INDEX(Model!$C$2:$CA$2,Model!$A28),'Tablica IO'!BK262*1)</f>
        <v>9.7303351329980315E-4</v>
      </c>
      <c r="BL28" s="222" cm="1">
        <f t="array" aca="1" ref="BL28" ca="1">'Tablica IO'!BL184*INDEX(Model!$C$93:$CA$93,Model!$A28) + IF(wplyw_cen_import_wlaczony,'Tablica IO'!BL262*INDEX(Model!$C$2:$CA$2,Model!$A28),'Tablica IO'!BL262*1)</f>
        <v>5.4661148365867714E-4</v>
      </c>
      <c r="BM28" s="222" cm="1">
        <f t="array" aca="1" ref="BM28" ca="1">'Tablica IO'!BM184*INDEX(Model!$C$93:$CA$93,Model!$A28) + IF(wplyw_cen_import_wlaczony,'Tablica IO'!BM262*INDEX(Model!$C$2:$CA$2,Model!$A28),'Tablica IO'!BM262*1)</f>
        <v>4.9272107617260689E-3</v>
      </c>
      <c r="BN28" s="222" cm="1">
        <f t="array" aca="1" ref="BN28" ca="1">'Tablica IO'!BN184*INDEX(Model!$C$93:$CA$93,Model!$A28) + IF(wplyw_cen_import_wlaczony,'Tablica IO'!BN262*INDEX(Model!$C$2:$CA$2,Model!$A28),'Tablica IO'!BN262*1)</f>
        <v>5.1335907773851205E-2</v>
      </c>
      <c r="BO28" s="222" cm="1">
        <f t="array" aca="1" ref="BO28" ca="1">'Tablica IO'!BO184*INDEX(Model!$C$93:$CA$93,Model!$A28) + IF(wplyw_cen_import_wlaczony,'Tablica IO'!BO262*INDEX(Model!$C$2:$CA$2,Model!$A28),'Tablica IO'!BO262*1)</f>
        <v>4.783212500603852E-3</v>
      </c>
      <c r="BP28" s="222" cm="1">
        <f t="array" aca="1" ref="BP28" ca="1">'Tablica IO'!BP184*INDEX(Model!$C$93:$CA$93,Model!$A28) + IF(wplyw_cen_import_wlaczony,'Tablica IO'!BP262*INDEX(Model!$C$2:$CA$2,Model!$A28),'Tablica IO'!BP262*1)</f>
        <v>2.1048374044714191E-3</v>
      </c>
      <c r="BQ28" s="222" cm="1">
        <f t="array" aca="1" ref="BQ28" ca="1">'Tablica IO'!BQ184*INDEX(Model!$C$93:$CA$93,Model!$A28) + IF(wplyw_cen_import_wlaczony,'Tablica IO'!BQ262*INDEX(Model!$C$2:$CA$2,Model!$A28),'Tablica IO'!BQ262*1)</f>
        <v>1.9432740499994705E-3</v>
      </c>
      <c r="BR28" s="222" cm="1">
        <f t="array" aca="1" ref="BR28" ca="1">'Tablica IO'!BR184*INDEX(Model!$C$93:$CA$93,Model!$A28) + IF(wplyw_cen_import_wlaczony,'Tablica IO'!BR262*INDEX(Model!$C$2:$CA$2,Model!$A28),'Tablica IO'!BR262*1)</f>
        <v>1.5579857106346E-2</v>
      </c>
      <c r="BS28" s="222" cm="1">
        <f t="array" aca="1" ref="BS28" ca="1">'Tablica IO'!BS184*INDEX(Model!$C$93:$CA$93,Model!$A28) + IF(wplyw_cen_import_wlaczony,'Tablica IO'!BS262*INDEX(Model!$C$2:$CA$2,Model!$A28),'Tablica IO'!BS262*1)</f>
        <v>2.1349482687494066E-3</v>
      </c>
      <c r="BT28" s="222" cm="1">
        <f t="array" aca="1" ref="BT28" ca="1">'Tablica IO'!BT184*INDEX(Model!$C$93:$CA$93,Model!$A28) + IF(wplyw_cen_import_wlaczony,'Tablica IO'!BT262*INDEX(Model!$C$2:$CA$2,Model!$A28),'Tablica IO'!BT262*1)</f>
        <v>3.6228029493018061E-3</v>
      </c>
      <c r="BU28" s="222" cm="1">
        <f t="array" aca="1" ref="BU28" ca="1">'Tablica IO'!BU184*INDEX(Model!$C$93:$CA$93,Model!$A28) + IF(wplyw_cen_import_wlaczony,'Tablica IO'!BU262*INDEX(Model!$C$2:$CA$2,Model!$A28),'Tablica IO'!BU262*1)</f>
        <v>1.2021679134996026E-3</v>
      </c>
      <c r="BV28" s="222" cm="1">
        <f t="array" aca="1" ref="BV28" ca="1">'Tablica IO'!BV184*INDEX(Model!$C$93:$CA$93,Model!$A28) + IF(wplyw_cen_import_wlaczony,'Tablica IO'!BV262*INDEX(Model!$C$2:$CA$2,Model!$A28),'Tablica IO'!BV262*1)</f>
        <v>1.0396571639474371E-4</v>
      </c>
      <c r="BW28" s="222" cm="1">
        <f t="array" aca="1" ref="BW28" ca="1">'Tablica IO'!BW184*INDEX(Model!$C$93:$CA$93,Model!$A28) + IF(wplyw_cen_import_wlaczony,'Tablica IO'!BW262*INDEX(Model!$C$2:$CA$2,Model!$A28),'Tablica IO'!BW262*1)</f>
        <v>4.4215171266833546E-3</v>
      </c>
      <c r="BX28" s="222" cm="1">
        <f t="array" aca="1" ref="BX28" ca="1">'Tablica IO'!BX184*INDEX(Model!$C$93:$CA$93,Model!$A28) + IF(wplyw_cen_import_wlaczony,'Tablica IO'!BX262*INDEX(Model!$C$2:$CA$2,Model!$A28),'Tablica IO'!BX262*1)</f>
        <v>2.9466566149866192E-2</v>
      </c>
      <c r="BY28" s="222" cm="1">
        <f t="array" aca="1" ref="BY28" ca="1">'Tablica IO'!BY184*INDEX(Model!$C$93:$CA$93,Model!$A28) + IF(wplyw_cen_import_wlaczony,'Tablica IO'!BY262*INDEX(Model!$C$2:$CA$2,Model!$A28),'Tablica IO'!BY262*1)</f>
        <v>1.3988002047159995E-3</v>
      </c>
      <c r="BZ28" s="222" cm="1">
        <f t="array" aca="1" ref="BZ28" ca="1">'Tablica IO'!BZ184*INDEX(Model!$C$93:$CA$93,Model!$A28) + IF(wplyw_cen_import_wlaczony,'Tablica IO'!BZ262*INDEX(Model!$C$2:$CA$2,Model!$A28),'Tablica IO'!BZ262*1)</f>
        <v>1.5175059728342655E-2</v>
      </c>
      <c r="CA28" s="222" cm="1">
        <f t="array" aca="1" ref="CA28" ca="1">'Tablica IO'!CA184*INDEX(Model!$C$93:$CA$93,Model!$A28) + IF(wplyw_cen_import_wlaczony,'Tablica IO'!CA262*INDEX(Model!$C$2:$CA$2,Model!$A28),'Tablica IO'!CA262*1)</f>
        <v>0</v>
      </c>
      <c r="CB28" s="247">
        <f ca="1">'Tablica IO'!CD184*INDEX(Model!$C$93:$CA$93,Model!$A28)+'Tablica IO'!CD262*INDEX(Model!$C$2:$CA$2,Model!$A28)</f>
        <v>1.4360406214792593E-2</v>
      </c>
      <c r="CC28" s="188">
        <f ca="1">'Tablica IO'!CE184*INDEX(Model!$C$93:$CA$93,Model!$A28)+'Tablica IO'!CE262*INDEX(Model!$C$2:$CA$2,Model!$A28)</f>
        <v>1.8822647978875987E-5</v>
      </c>
      <c r="CD28" s="188">
        <f ca="1">'Tablica IO'!CF184*INDEX(Model!$C$93:$CA$93,Model!$A28)+'Tablica IO'!CF262*INDEX(Model!$C$2:$CA$2,Model!$A28)</f>
        <v>1.8669451868370728E-3</v>
      </c>
      <c r="CE28" s="189">
        <f ca="1">'Tablica IO'!CG184*INDEX(Model!$C$93:$CA$93,Model!$A28)+'Tablica IO'!CG262*INDEX(Model!$C$2:$CA$2,Model!$A28)</f>
        <v>4.8410667385980301E-2</v>
      </c>
    </row>
    <row r="29" spans="1:83" x14ac:dyDescent="0.25">
      <c r="A29" s="164">
        <v>17</v>
      </c>
      <c r="B29" s="172" t="s">
        <v>16</v>
      </c>
      <c r="C29" s="221" cm="1">
        <f t="array" aca="1" ref="C29" ca="1">'Tablica IO'!C185*INDEX(Model!$C$93:$CA$93,Model!$A29) + IF(wplyw_cen_import_wlaczony,'Tablica IO'!C263*INDEX(Model!$C$2:$CA$2,Model!$A29),'Tablica IO'!C263*1)</f>
        <v>2.9854628443014633E-4</v>
      </c>
      <c r="D29" s="222" cm="1">
        <f t="array" aca="1" ref="D29" ca="1">'Tablica IO'!D185*INDEX(Model!$C$93:$CA$93,Model!$A29) + IF(wplyw_cen_import_wlaczony,'Tablica IO'!D263*INDEX(Model!$C$2:$CA$2,Model!$A29),'Tablica IO'!D263*1)</f>
        <v>5.1432899125641587E-5</v>
      </c>
      <c r="E29" s="222" cm="1">
        <f t="array" aca="1" ref="E29" ca="1">'Tablica IO'!E185*INDEX(Model!$C$93:$CA$93,Model!$A29) + IF(wplyw_cen_import_wlaczony,'Tablica IO'!E263*INDEX(Model!$C$2:$CA$2,Model!$A29),'Tablica IO'!E263*1)</f>
        <v>5.9398809605999182E-4</v>
      </c>
      <c r="F29" s="222" cm="1">
        <f t="array" aca="1" ref="F29" ca="1">'Tablica IO'!F185*INDEX(Model!$C$93:$CA$93,Model!$A29) + IF(wplyw_cen_import_wlaczony,'Tablica IO'!F263*INDEX(Model!$C$2:$CA$2,Model!$A29),'Tablica IO'!F263*1)</f>
        <v>4.1537003796015987E-6</v>
      </c>
      <c r="G29" s="222" cm="1">
        <f t="array" aca="1" ref="G29" ca="1">'Tablica IO'!G185*INDEX(Model!$C$93:$CA$93,Model!$A29) + IF(wplyw_cen_import_wlaczony,'Tablica IO'!G263*INDEX(Model!$C$2:$CA$2,Model!$A29),'Tablica IO'!G263*1)</f>
        <v>7.8334936118806264E-5</v>
      </c>
      <c r="H29" s="222" cm="1">
        <f t="array" aca="1" ref="H29" ca="1">'Tablica IO'!H185*INDEX(Model!$C$93:$CA$93,Model!$A29) + IF(wplyw_cen_import_wlaczony,'Tablica IO'!H263*INDEX(Model!$C$2:$CA$2,Model!$A29),'Tablica IO'!H263*1)</f>
        <v>4.3220732188366565E-4</v>
      </c>
      <c r="I29" s="222" cm="1">
        <f t="array" aca="1" ref="I29" ca="1">'Tablica IO'!I185*INDEX(Model!$C$93:$CA$93,Model!$A29) + IF(wplyw_cen_import_wlaczony,'Tablica IO'!I263*INDEX(Model!$C$2:$CA$2,Model!$A29),'Tablica IO'!I263*1)</f>
        <v>3.276418412950285E-5</v>
      </c>
      <c r="J29" s="222" cm="1">
        <f t="array" aca="1" ref="J29" ca="1">'Tablica IO'!J185*INDEX(Model!$C$93:$CA$93,Model!$A29) + IF(wplyw_cen_import_wlaczony,'Tablica IO'!J263*INDEX(Model!$C$2:$CA$2,Model!$A29),'Tablica IO'!J263*1)</f>
        <v>2.634680925881589E-7</v>
      </c>
      <c r="K29" s="222" cm="1">
        <f t="array" aca="1" ref="K29" ca="1">'Tablica IO'!K185*INDEX(Model!$C$93:$CA$93,Model!$A29) + IF(wplyw_cen_import_wlaczony,'Tablica IO'!K263*INDEX(Model!$C$2:$CA$2,Model!$A29),'Tablica IO'!K263*1)</f>
        <v>2.4521644088764416E-3</v>
      </c>
      <c r="L29" s="222" cm="1">
        <f t="array" aca="1" ref="L29" ca="1">'Tablica IO'!L185*INDEX(Model!$C$93:$CA$93,Model!$A29) + IF(wplyw_cen_import_wlaczony,'Tablica IO'!L263*INDEX(Model!$C$2:$CA$2,Model!$A29),'Tablica IO'!L263*1)</f>
        <v>2.5256798301206024E-5</v>
      </c>
      <c r="M29" s="222" cm="1">
        <f t="array" aca="1" ref="M29" ca="1">'Tablica IO'!M185*INDEX(Model!$C$93:$CA$93,Model!$A29) + IF(wplyw_cen_import_wlaczony,'Tablica IO'!M263*INDEX(Model!$C$2:$CA$2,Model!$A29),'Tablica IO'!M263*1)</f>
        <v>4.8343773494173041E-6</v>
      </c>
      <c r="N29" s="222" cm="1">
        <f t="array" aca="1" ref="N29" ca="1">'Tablica IO'!N185*INDEX(Model!$C$93:$CA$93,Model!$A29) + IF(wplyw_cen_import_wlaczony,'Tablica IO'!N263*INDEX(Model!$C$2:$CA$2,Model!$A29),'Tablica IO'!N263*1)</f>
        <v>5.4146067380199291E-7</v>
      </c>
      <c r="O29" s="222" cm="1">
        <f t="array" aca="1" ref="O29" ca="1">'Tablica IO'!O185*INDEX(Model!$C$93:$CA$93,Model!$A29) + IF(wplyw_cen_import_wlaczony,'Tablica IO'!O263*INDEX(Model!$C$2:$CA$2,Model!$A29),'Tablica IO'!O263*1)</f>
        <v>2.0007800509478905E-5</v>
      </c>
      <c r="P29" s="222" cm="1">
        <f t="array" aca="1" ref="P29" ca="1">'Tablica IO'!P185*INDEX(Model!$C$93:$CA$93,Model!$A29) + IF(wplyw_cen_import_wlaczony,'Tablica IO'!P263*INDEX(Model!$C$2:$CA$2,Model!$A29),'Tablica IO'!P263*1)</f>
        <v>4.6303400069196432E-6</v>
      </c>
      <c r="Q29" s="222" cm="1">
        <f t="array" aca="1" ref="Q29" ca="1">'Tablica IO'!Q185*INDEX(Model!$C$93:$CA$93,Model!$A29) + IF(wplyw_cen_import_wlaczony,'Tablica IO'!Q263*INDEX(Model!$C$2:$CA$2,Model!$A29),'Tablica IO'!Q263*1)</f>
        <v>2.0851872226407732E-6</v>
      </c>
      <c r="R29" s="222" cm="1">
        <f t="array" aca="1" ref="R29" ca="1">'Tablica IO'!R185*INDEX(Model!$C$93:$CA$93,Model!$A29) + IF(wplyw_cen_import_wlaczony,'Tablica IO'!R263*INDEX(Model!$C$2:$CA$2,Model!$A29),'Tablica IO'!R263*1)</f>
        <v>2.4091916417863174E-3</v>
      </c>
      <c r="S29" s="222" cm="1">
        <f t="array" aca="1" ref="S29" ca="1">'Tablica IO'!S185*INDEX(Model!$C$93:$CA$93,Model!$A29) + IF(wplyw_cen_import_wlaczony,'Tablica IO'!S263*INDEX(Model!$C$2:$CA$2,Model!$A29),'Tablica IO'!S263*1)</f>
        <v>0.31908819896368767</v>
      </c>
      <c r="T29" s="222" cm="1">
        <f t="array" aca="1" ref="T29" ca="1">'Tablica IO'!T185*INDEX(Model!$C$93:$CA$93,Model!$A29) + IF(wplyw_cen_import_wlaczony,'Tablica IO'!T263*INDEX(Model!$C$2:$CA$2,Model!$A29),'Tablica IO'!T263*1)</f>
        <v>3.5846196583733727E-4</v>
      </c>
      <c r="U29" s="222" cm="1">
        <f t="array" aca="1" ref="U29" ca="1">'Tablica IO'!U185*INDEX(Model!$C$93:$CA$93,Model!$A29) + IF(wplyw_cen_import_wlaczony,'Tablica IO'!U263*INDEX(Model!$C$2:$CA$2,Model!$A29),'Tablica IO'!U263*1)</f>
        <v>6.8207988206037094E-5</v>
      </c>
      <c r="V29" s="222" cm="1">
        <f t="array" aca="1" ref="V29" ca="1">'Tablica IO'!V185*INDEX(Model!$C$93:$CA$93,Model!$A29) + IF(wplyw_cen_import_wlaczony,'Tablica IO'!V263*INDEX(Model!$C$2:$CA$2,Model!$A29),'Tablica IO'!V263*1)</f>
        <v>5.7870408575660896E-7</v>
      </c>
      <c r="W29" s="222" cm="1">
        <f t="array" aca="1" ref="W29" ca="1">'Tablica IO'!W185*INDEX(Model!$C$93:$CA$93,Model!$A29) + IF(wplyw_cen_import_wlaczony,'Tablica IO'!W263*INDEX(Model!$C$2:$CA$2,Model!$A29),'Tablica IO'!W263*1)</f>
        <v>6.4508635587123324E-5</v>
      </c>
      <c r="X29" s="222" cm="1">
        <f t="array" aca="1" ref="X29" ca="1">'Tablica IO'!X185*INDEX(Model!$C$93:$CA$93,Model!$A29) + IF(wplyw_cen_import_wlaczony,'Tablica IO'!X263*INDEX(Model!$C$2:$CA$2,Model!$A29),'Tablica IO'!X263*1)</f>
        <v>2.9391830320422285E-5</v>
      </c>
      <c r="Y29" s="222" cm="1">
        <f t="array" aca="1" ref="Y29" ca="1">'Tablica IO'!Y185*INDEX(Model!$C$93:$CA$93,Model!$A29) + IF(wplyw_cen_import_wlaczony,'Tablica IO'!Y263*INDEX(Model!$C$2:$CA$2,Model!$A29),'Tablica IO'!Y263*1)</f>
        <v>3.1598691443970788E-6</v>
      </c>
      <c r="Z29" s="222" cm="1">
        <f t="array" aca="1" ref="Z29" ca="1">'Tablica IO'!Z185*INDEX(Model!$C$93:$CA$93,Model!$A29) + IF(wplyw_cen_import_wlaczony,'Tablica IO'!Z263*INDEX(Model!$C$2:$CA$2,Model!$A29),'Tablica IO'!Z263*1)</f>
        <v>9.3968910447166394E-5</v>
      </c>
      <c r="AA29" s="222" cm="1">
        <f t="array" aca="1" ref="AA29" ca="1">'Tablica IO'!AA185*INDEX(Model!$C$93:$CA$93,Model!$A29) + IF(wplyw_cen_import_wlaczony,'Tablica IO'!AA263*INDEX(Model!$C$2:$CA$2,Model!$A29),'Tablica IO'!AA263*1)</f>
        <v>9.2602846294740737E-4</v>
      </c>
      <c r="AB29" s="222" cm="1">
        <f t="array" aca="1" ref="AB29" ca="1">'Tablica IO'!AB185*INDEX(Model!$C$93:$CA$93,Model!$A29) + IF(wplyw_cen_import_wlaczony,'Tablica IO'!AB263*INDEX(Model!$C$2:$CA$2,Model!$A29),'Tablica IO'!AB263*1)</f>
        <v>5.2882596028506909E-6</v>
      </c>
      <c r="AC29" s="222" cm="1">
        <f t="array" aca="1" ref="AC29" ca="1">'Tablica IO'!AC185*INDEX(Model!$C$93:$CA$93,Model!$A29) + IF(wplyw_cen_import_wlaczony,'Tablica IO'!AC263*INDEX(Model!$C$2:$CA$2,Model!$A29),'Tablica IO'!AC263*1)</f>
        <v>4.4573620660463879E-6</v>
      </c>
      <c r="AD29" s="222" cm="1">
        <f t="array" aca="1" ref="AD29" ca="1">'Tablica IO'!AD185*INDEX(Model!$C$93:$CA$93,Model!$A29) + IF(wplyw_cen_import_wlaczony,'Tablica IO'!AD263*INDEX(Model!$C$2:$CA$2,Model!$A29),'Tablica IO'!AD263*1)</f>
        <v>4.1001108891474986E-4</v>
      </c>
      <c r="AE29" s="222" cm="1">
        <f t="array" aca="1" ref="AE29" ca="1">'Tablica IO'!AE185*INDEX(Model!$C$93:$CA$93,Model!$A29) + IF(wplyw_cen_import_wlaczony,'Tablica IO'!AE263*INDEX(Model!$C$2:$CA$2,Model!$A29),'Tablica IO'!AE263*1)</f>
        <v>7.1839437017200407E-6</v>
      </c>
      <c r="AF29" s="222" cm="1">
        <f t="array" aca="1" ref="AF29" ca="1">'Tablica IO'!AF185*INDEX(Model!$C$93:$CA$93,Model!$A29) + IF(wplyw_cen_import_wlaczony,'Tablica IO'!AF263*INDEX(Model!$C$2:$CA$2,Model!$A29),'Tablica IO'!AF263*1)</f>
        <v>3.8259400905524328E-6</v>
      </c>
      <c r="AG29" s="222" cm="1">
        <f t="array" aca="1" ref="AG29" ca="1">'Tablica IO'!AG185*INDEX(Model!$C$93:$CA$93,Model!$A29) + IF(wplyw_cen_import_wlaczony,'Tablica IO'!AG263*INDEX(Model!$C$2:$CA$2,Model!$A29),'Tablica IO'!AG263*1)</f>
        <v>1.2793821299981779E-5</v>
      </c>
      <c r="AH29" s="222" cm="1">
        <f t="array" aca="1" ref="AH29" ca="1">'Tablica IO'!AH185*INDEX(Model!$C$93:$CA$93,Model!$A29) + IF(wplyw_cen_import_wlaczony,'Tablica IO'!AH263*INDEX(Model!$C$2:$CA$2,Model!$A29),'Tablica IO'!AH263*1)</f>
        <v>1.4742513789517064E-5</v>
      </c>
      <c r="AI29" s="222" cm="1">
        <f t="array" aca="1" ref="AI29" ca="1">'Tablica IO'!AI185*INDEX(Model!$C$93:$CA$93,Model!$A29) + IF(wplyw_cen_import_wlaczony,'Tablica IO'!AI263*INDEX(Model!$C$2:$CA$2,Model!$A29),'Tablica IO'!AI263*1)</f>
        <v>1.18288969846634E-4</v>
      </c>
      <c r="AJ29" s="222" cm="1">
        <f t="array" aca="1" ref="AJ29" ca="1">'Tablica IO'!AJ185*INDEX(Model!$C$93:$CA$93,Model!$A29) + IF(wplyw_cen_import_wlaczony,'Tablica IO'!AJ263*INDEX(Model!$C$2:$CA$2,Model!$A29),'Tablica IO'!AJ263*1)</f>
        <v>1.1808007343141089E-5</v>
      </c>
      <c r="AK29" s="222" cm="1">
        <f t="array" aca="1" ref="AK29" ca="1">'Tablica IO'!AK185*INDEX(Model!$C$93:$CA$93,Model!$A29) + IF(wplyw_cen_import_wlaczony,'Tablica IO'!AK263*INDEX(Model!$C$2:$CA$2,Model!$A29),'Tablica IO'!AK263*1)</f>
        <v>9.2705080648818299E-6</v>
      </c>
      <c r="AL29" s="222" cm="1">
        <f t="array" aca="1" ref="AL29" ca="1">'Tablica IO'!AL185*INDEX(Model!$C$93:$CA$93,Model!$A29) + IF(wplyw_cen_import_wlaczony,'Tablica IO'!AL263*INDEX(Model!$C$2:$CA$2,Model!$A29),'Tablica IO'!AL263*1)</f>
        <v>4.2470898932278671E-4</v>
      </c>
      <c r="AM29" s="222" cm="1">
        <f t="array" aca="1" ref="AM29" ca="1">'Tablica IO'!AM185*INDEX(Model!$C$93:$CA$93,Model!$A29) + IF(wplyw_cen_import_wlaczony,'Tablica IO'!AM263*INDEX(Model!$C$2:$CA$2,Model!$A29),'Tablica IO'!AM263*1)</f>
        <v>1.7677317613151142E-4</v>
      </c>
      <c r="AN29" s="222" cm="1">
        <f t="array" aca="1" ref="AN29" ca="1">'Tablica IO'!AN185*INDEX(Model!$C$93:$CA$93,Model!$A29) + IF(wplyw_cen_import_wlaczony,'Tablica IO'!AN263*INDEX(Model!$C$2:$CA$2,Model!$A29),'Tablica IO'!AN263*1)</f>
        <v>3.5238090787749697E-5</v>
      </c>
      <c r="AO29" s="222" cm="1">
        <f t="array" aca="1" ref="AO29" ca="1">'Tablica IO'!AO185*INDEX(Model!$C$93:$CA$93,Model!$A29) + IF(wplyw_cen_import_wlaczony,'Tablica IO'!AO263*INDEX(Model!$C$2:$CA$2,Model!$A29),'Tablica IO'!AO263*1)</f>
        <v>3.7603622781631258E-4</v>
      </c>
      <c r="AP29" s="222" cm="1">
        <f t="array" aca="1" ref="AP29" ca="1">'Tablica IO'!AP185*INDEX(Model!$C$93:$CA$93,Model!$A29) + IF(wplyw_cen_import_wlaczony,'Tablica IO'!AP263*INDEX(Model!$C$2:$CA$2,Model!$A29),'Tablica IO'!AP263*1)</f>
        <v>1.7294055006094212E-4</v>
      </c>
      <c r="AQ29" s="222" cm="1">
        <f t="array" aca="1" ref="AQ29" ca="1">'Tablica IO'!AQ185*INDEX(Model!$C$93:$CA$93,Model!$A29) + IF(wplyw_cen_import_wlaczony,'Tablica IO'!AQ263*INDEX(Model!$C$2:$CA$2,Model!$A29),'Tablica IO'!AQ263*1)</f>
        <v>3.9501406584075587E-4</v>
      </c>
      <c r="AR29" s="222" cm="1">
        <f t="array" aca="1" ref="AR29" ca="1">'Tablica IO'!AR185*INDEX(Model!$C$93:$CA$93,Model!$A29) + IF(wplyw_cen_import_wlaczony,'Tablica IO'!AR263*INDEX(Model!$C$2:$CA$2,Model!$A29),'Tablica IO'!AR263*1)</f>
        <v>8.6148278353826929E-5</v>
      </c>
      <c r="AS29" s="222" cm="1">
        <f t="array" aca="1" ref="AS29" ca="1">'Tablica IO'!AS185*INDEX(Model!$C$93:$CA$93,Model!$A29) + IF(wplyw_cen_import_wlaczony,'Tablica IO'!AS263*INDEX(Model!$C$2:$CA$2,Model!$A29),'Tablica IO'!AS263*1)</f>
        <v>8.4213845809435255E-8</v>
      </c>
      <c r="AT29" s="222" cm="1">
        <f t="array" aca="1" ref="AT29" ca="1">'Tablica IO'!AT185*INDEX(Model!$C$93:$CA$93,Model!$A29) + IF(wplyw_cen_import_wlaczony,'Tablica IO'!AT263*INDEX(Model!$C$2:$CA$2,Model!$A29),'Tablica IO'!AT263*1)</f>
        <v>3.11430070751418E-6</v>
      </c>
      <c r="AU29" s="222" cm="1">
        <f t="array" aca="1" ref="AU29" ca="1">'Tablica IO'!AU185*INDEX(Model!$C$93:$CA$93,Model!$A29) + IF(wplyw_cen_import_wlaczony,'Tablica IO'!AU263*INDEX(Model!$C$2:$CA$2,Model!$A29),'Tablica IO'!AU263*1)</f>
        <v>0</v>
      </c>
      <c r="AV29" s="222" cm="1">
        <f t="array" aca="1" ref="AV29" ca="1">'Tablica IO'!AV185*INDEX(Model!$C$93:$CA$93,Model!$A29) + IF(wplyw_cen_import_wlaczony,'Tablica IO'!AV263*INDEX(Model!$C$2:$CA$2,Model!$A29),'Tablica IO'!AV263*1)</f>
        <v>4.2800201632182591E-7</v>
      </c>
      <c r="AW29" s="222" cm="1">
        <f t="array" aca="1" ref="AW29" ca="1">'Tablica IO'!AW185*INDEX(Model!$C$93:$CA$93,Model!$A29) + IF(wplyw_cen_import_wlaczony,'Tablica IO'!AW263*INDEX(Model!$C$2:$CA$2,Model!$A29),'Tablica IO'!AW263*1)</f>
        <v>9.5481655480626878E-5</v>
      </c>
      <c r="AX29" s="222" cm="1">
        <f t="array" aca="1" ref="AX29" ca="1">'Tablica IO'!AX185*INDEX(Model!$C$93:$CA$93,Model!$A29) + IF(wplyw_cen_import_wlaczony,'Tablica IO'!AX263*INDEX(Model!$C$2:$CA$2,Model!$A29),'Tablica IO'!AX263*1)</f>
        <v>3.7104167151876877E-4</v>
      </c>
      <c r="AY29" s="222" cm="1">
        <f t="array" aca="1" ref="AY29" ca="1">'Tablica IO'!AY185*INDEX(Model!$C$93:$CA$93,Model!$A29) + IF(wplyw_cen_import_wlaczony,'Tablica IO'!AY263*INDEX(Model!$C$2:$CA$2,Model!$A29),'Tablica IO'!AY263*1)</f>
        <v>1.4483232798081734E-5</v>
      </c>
      <c r="AZ29" s="222" cm="1">
        <f t="array" aca="1" ref="AZ29" ca="1">'Tablica IO'!AZ185*INDEX(Model!$C$93:$CA$93,Model!$A29) + IF(wplyw_cen_import_wlaczony,'Tablica IO'!AZ263*INDEX(Model!$C$2:$CA$2,Model!$A29),'Tablica IO'!AZ263*1)</f>
        <v>2.9307605167921033E-5</v>
      </c>
      <c r="BA29" s="222" cm="1">
        <f t="array" aca="1" ref="BA29" ca="1">'Tablica IO'!BA185*INDEX(Model!$C$93:$CA$93,Model!$A29) + IF(wplyw_cen_import_wlaczony,'Tablica IO'!BA263*INDEX(Model!$C$2:$CA$2,Model!$A29),'Tablica IO'!BA263*1)</f>
        <v>6.1647558003315698E-6</v>
      </c>
      <c r="BB29" s="222" cm="1">
        <f t="array" aca="1" ref="BB29" ca="1">'Tablica IO'!BB185*INDEX(Model!$C$93:$CA$93,Model!$A29) + IF(wplyw_cen_import_wlaczony,'Tablica IO'!BB263*INDEX(Model!$C$2:$CA$2,Model!$A29),'Tablica IO'!BB263*1)</f>
        <v>7.8585451505479811E-6</v>
      </c>
      <c r="BC29" s="222" cm="1">
        <f t="array" aca="1" ref="BC29" ca="1">'Tablica IO'!BC185*INDEX(Model!$C$93:$CA$93,Model!$A29) + IF(wplyw_cen_import_wlaczony,'Tablica IO'!BC263*INDEX(Model!$C$2:$CA$2,Model!$A29),'Tablica IO'!BC263*1)</f>
        <v>1.0280938251302758E-5</v>
      </c>
      <c r="BD29" s="222" cm="1">
        <f t="array" aca="1" ref="BD29" ca="1">'Tablica IO'!BD185*INDEX(Model!$C$93:$CA$93,Model!$A29) + IF(wplyw_cen_import_wlaczony,'Tablica IO'!BD263*INDEX(Model!$C$2:$CA$2,Model!$A29),'Tablica IO'!BD263*1)</f>
        <v>2.2708502955994929E-4</v>
      </c>
      <c r="BE29" s="222" cm="1">
        <f t="array" aca="1" ref="BE29" ca="1">'Tablica IO'!BE185*INDEX(Model!$C$93:$CA$93,Model!$A29) + IF(wplyw_cen_import_wlaczony,'Tablica IO'!BE263*INDEX(Model!$C$2:$CA$2,Model!$A29),'Tablica IO'!BE263*1)</f>
        <v>6.9946946950594176E-5</v>
      </c>
      <c r="BF29" s="222" cm="1">
        <f t="array" aca="1" ref="BF29" ca="1">'Tablica IO'!BF185*INDEX(Model!$C$93:$CA$93,Model!$A29) + IF(wplyw_cen_import_wlaczony,'Tablica IO'!BF263*INDEX(Model!$C$2:$CA$2,Model!$A29),'Tablica IO'!BF263*1)</f>
        <v>5.5984734706136137E-3</v>
      </c>
      <c r="BG29" s="222" cm="1">
        <f t="array" aca="1" ref="BG29" ca="1">'Tablica IO'!BG185*INDEX(Model!$C$93:$CA$93,Model!$A29) + IF(wplyw_cen_import_wlaczony,'Tablica IO'!BG263*INDEX(Model!$C$2:$CA$2,Model!$A29),'Tablica IO'!BG263*1)</f>
        <v>3.2017944764818986E-4</v>
      </c>
      <c r="BH29" s="222" cm="1">
        <f t="array" aca="1" ref="BH29" ca="1">'Tablica IO'!BH185*INDEX(Model!$C$93:$CA$93,Model!$A29) + IF(wplyw_cen_import_wlaczony,'Tablica IO'!BH263*INDEX(Model!$C$2:$CA$2,Model!$A29),'Tablica IO'!BH263*1)</f>
        <v>8.8646039810023473E-7</v>
      </c>
      <c r="BI29" s="222" cm="1">
        <f t="array" aca="1" ref="BI29" ca="1">'Tablica IO'!BI185*INDEX(Model!$C$93:$CA$93,Model!$A29) + IF(wplyw_cen_import_wlaczony,'Tablica IO'!BI263*INDEX(Model!$C$2:$CA$2,Model!$A29),'Tablica IO'!BI263*1)</f>
        <v>0.15011163064304042</v>
      </c>
      <c r="BJ29" s="222" cm="1">
        <f t="array" aca="1" ref="BJ29" ca="1">'Tablica IO'!BJ185*INDEX(Model!$C$93:$CA$93,Model!$A29) + IF(wplyw_cen_import_wlaczony,'Tablica IO'!BJ263*INDEX(Model!$C$2:$CA$2,Model!$A29),'Tablica IO'!BJ263*1)</f>
        <v>4.0530822485462976E-5</v>
      </c>
      <c r="BK29" s="222" cm="1">
        <f t="array" aca="1" ref="BK29" ca="1">'Tablica IO'!BK185*INDEX(Model!$C$93:$CA$93,Model!$A29) + IF(wplyw_cen_import_wlaczony,'Tablica IO'!BK263*INDEX(Model!$C$2:$CA$2,Model!$A29),'Tablica IO'!BK263*1)</f>
        <v>6.7731060250385846E-6</v>
      </c>
      <c r="BL29" s="222" cm="1">
        <f t="array" aca="1" ref="BL29" ca="1">'Tablica IO'!BL185*INDEX(Model!$C$93:$CA$93,Model!$A29) + IF(wplyw_cen_import_wlaczony,'Tablica IO'!BL263*INDEX(Model!$C$2:$CA$2,Model!$A29),'Tablica IO'!BL263*1)</f>
        <v>4.9668954962668146E-5</v>
      </c>
      <c r="BM29" s="222" cm="1">
        <f t="array" aca="1" ref="BM29" ca="1">'Tablica IO'!BM185*INDEX(Model!$C$93:$CA$93,Model!$A29) + IF(wplyw_cen_import_wlaczony,'Tablica IO'!BM263*INDEX(Model!$C$2:$CA$2,Model!$A29),'Tablica IO'!BM263*1)</f>
        <v>8.5158903999615196E-5</v>
      </c>
      <c r="BN29" s="222" cm="1">
        <f t="array" aca="1" ref="BN29" ca="1">'Tablica IO'!BN185*INDEX(Model!$C$93:$CA$93,Model!$A29) + IF(wplyw_cen_import_wlaczony,'Tablica IO'!BN263*INDEX(Model!$C$2:$CA$2,Model!$A29),'Tablica IO'!BN263*1)</f>
        <v>7.2085572640502474E-4</v>
      </c>
      <c r="BO29" s="222" cm="1">
        <f t="array" aca="1" ref="BO29" ca="1">'Tablica IO'!BO185*INDEX(Model!$C$93:$CA$93,Model!$A29) + IF(wplyw_cen_import_wlaczony,'Tablica IO'!BO263*INDEX(Model!$C$2:$CA$2,Model!$A29),'Tablica IO'!BO263*1)</f>
        <v>6.6548858975995303E-6</v>
      </c>
      <c r="BP29" s="222" cm="1">
        <f t="array" aca="1" ref="BP29" ca="1">'Tablica IO'!BP185*INDEX(Model!$C$93:$CA$93,Model!$A29) + IF(wplyw_cen_import_wlaczony,'Tablica IO'!BP263*INDEX(Model!$C$2:$CA$2,Model!$A29),'Tablica IO'!BP263*1)</f>
        <v>2.1665220856139106E-3</v>
      </c>
      <c r="BQ29" s="222" cm="1">
        <f t="array" aca="1" ref="BQ29" ca="1">'Tablica IO'!BQ185*INDEX(Model!$C$93:$CA$93,Model!$A29) + IF(wplyw_cen_import_wlaczony,'Tablica IO'!BQ263*INDEX(Model!$C$2:$CA$2,Model!$A29),'Tablica IO'!BQ263*1)</f>
        <v>5.7079889725588902E-4</v>
      </c>
      <c r="BR29" s="222" cm="1">
        <f t="array" aca="1" ref="BR29" ca="1">'Tablica IO'!BR185*INDEX(Model!$C$93:$CA$93,Model!$A29) + IF(wplyw_cen_import_wlaczony,'Tablica IO'!BR263*INDEX(Model!$C$2:$CA$2,Model!$A29),'Tablica IO'!BR263*1)</f>
        <v>4.0101526458718367E-2</v>
      </c>
      <c r="BS29" s="222" cm="1">
        <f t="array" aca="1" ref="BS29" ca="1">'Tablica IO'!BS185*INDEX(Model!$C$93:$CA$93,Model!$A29) + IF(wplyw_cen_import_wlaczony,'Tablica IO'!BS263*INDEX(Model!$C$2:$CA$2,Model!$A29),'Tablica IO'!BS263*1)</f>
        <v>9.3723017245857607E-3</v>
      </c>
      <c r="BT29" s="222" cm="1">
        <f t="array" aca="1" ref="BT29" ca="1">'Tablica IO'!BT185*INDEX(Model!$C$93:$CA$93,Model!$A29) + IF(wplyw_cen_import_wlaczony,'Tablica IO'!BT263*INDEX(Model!$C$2:$CA$2,Model!$A29),'Tablica IO'!BT263*1)</f>
        <v>3.7377177126808505E-5</v>
      </c>
      <c r="BU29" s="222" cm="1">
        <f t="array" aca="1" ref="BU29" ca="1">'Tablica IO'!BU185*INDEX(Model!$C$93:$CA$93,Model!$A29) + IF(wplyw_cen_import_wlaczony,'Tablica IO'!BU263*INDEX(Model!$C$2:$CA$2,Model!$A29),'Tablica IO'!BU263*1)</f>
        <v>2.1526147837346216E-5</v>
      </c>
      <c r="BV29" s="222" cm="1">
        <f t="array" aca="1" ref="BV29" ca="1">'Tablica IO'!BV185*INDEX(Model!$C$93:$CA$93,Model!$A29) + IF(wplyw_cen_import_wlaczony,'Tablica IO'!BV263*INDEX(Model!$C$2:$CA$2,Model!$A29),'Tablica IO'!BV263*1)</f>
        <v>1.0971647128132841E-6</v>
      </c>
      <c r="BW29" s="222" cm="1">
        <f t="array" aca="1" ref="BW29" ca="1">'Tablica IO'!BW185*INDEX(Model!$C$93:$CA$93,Model!$A29) + IF(wplyw_cen_import_wlaczony,'Tablica IO'!BW263*INDEX(Model!$C$2:$CA$2,Model!$A29),'Tablica IO'!BW263*1)</f>
        <v>1.3199019475639076E-3</v>
      </c>
      <c r="BX29" s="222" cm="1">
        <f t="array" aca="1" ref="BX29" ca="1">'Tablica IO'!BX185*INDEX(Model!$C$93:$CA$93,Model!$A29) + IF(wplyw_cen_import_wlaczony,'Tablica IO'!BX263*INDEX(Model!$C$2:$CA$2,Model!$A29),'Tablica IO'!BX263*1)</f>
        <v>2.0788848123693899E-6</v>
      </c>
      <c r="BY29" s="222" cm="1">
        <f t="array" aca="1" ref="BY29" ca="1">'Tablica IO'!BY185*INDEX(Model!$C$93:$CA$93,Model!$A29) + IF(wplyw_cen_import_wlaczony,'Tablica IO'!BY263*INDEX(Model!$C$2:$CA$2,Model!$A29),'Tablica IO'!BY263*1)</f>
        <v>4.8543967171795705E-7</v>
      </c>
      <c r="BZ29" s="222" cm="1">
        <f t="array" aca="1" ref="BZ29" ca="1">'Tablica IO'!BZ185*INDEX(Model!$C$93:$CA$93,Model!$A29) + IF(wplyw_cen_import_wlaczony,'Tablica IO'!BZ263*INDEX(Model!$C$2:$CA$2,Model!$A29),'Tablica IO'!BZ263*1)</f>
        <v>2.8479750335516808E-4</v>
      </c>
      <c r="CA29" s="222" cm="1">
        <f t="array" aca="1" ref="CA29" ca="1">'Tablica IO'!CA185*INDEX(Model!$C$93:$CA$93,Model!$A29) + IF(wplyw_cen_import_wlaczony,'Tablica IO'!CA263*INDEX(Model!$C$2:$CA$2,Model!$A29),'Tablica IO'!CA263*1)</f>
        <v>0</v>
      </c>
      <c r="CB29" s="247">
        <f ca="1">'Tablica IO'!CD185*INDEX(Model!$C$93:$CA$93,Model!$A29)+'Tablica IO'!CD263*INDEX(Model!$C$2:$CA$2,Model!$A29)</f>
        <v>1.4678906303920526E-2</v>
      </c>
      <c r="CC29" s="188">
        <f ca="1">'Tablica IO'!CE185*INDEX(Model!$C$93:$CA$93,Model!$A29)+'Tablica IO'!CE263*INDEX(Model!$C$2:$CA$2,Model!$A29)</f>
        <v>1.6950424697218365E-2</v>
      </c>
      <c r="CD29" s="188">
        <f ca="1">'Tablica IO'!CF185*INDEX(Model!$C$93:$CA$93,Model!$A29)+'Tablica IO'!CF263*INDEX(Model!$C$2:$CA$2,Model!$A29)</f>
        <v>3.5653309719954791E-4</v>
      </c>
      <c r="CE29" s="189">
        <f ca="1">'Tablica IO'!CG185*INDEX(Model!$C$93:$CA$93,Model!$A29)+'Tablica IO'!CG263*INDEX(Model!$C$2:$CA$2,Model!$A29)</f>
        <v>1.156907791593831E-2</v>
      </c>
    </row>
    <row r="30" spans="1:83" x14ac:dyDescent="0.25">
      <c r="A30" s="164">
        <v>18</v>
      </c>
      <c r="B30" s="172" t="s">
        <v>17</v>
      </c>
      <c r="C30" s="221" cm="1">
        <f t="array" aca="1" ref="C30" ca="1">'Tablica IO'!C186*INDEX(Model!$C$93:$CA$93,Model!$A30) + IF(wplyw_cen_import_wlaczony,'Tablica IO'!C264*INDEX(Model!$C$2:$CA$2,Model!$A30),'Tablica IO'!C264*1)</f>
        <v>1.919408047519543E-3</v>
      </c>
      <c r="D30" s="222" cm="1">
        <f t="array" aca="1" ref="D30" ca="1">'Tablica IO'!D186*INDEX(Model!$C$93:$CA$93,Model!$A30) + IF(wplyw_cen_import_wlaczony,'Tablica IO'!D264*INDEX(Model!$C$2:$CA$2,Model!$A30),'Tablica IO'!D264*1)</f>
        <v>5.1770165534766269E-3</v>
      </c>
      <c r="E30" s="222" cm="1">
        <f t="array" aca="1" ref="E30" ca="1">'Tablica IO'!E186*INDEX(Model!$C$93:$CA$93,Model!$A30) + IF(wplyw_cen_import_wlaczony,'Tablica IO'!E264*INDEX(Model!$C$2:$CA$2,Model!$A30),'Tablica IO'!E264*1)</f>
        <v>8.1432131067837399E-4</v>
      </c>
      <c r="F30" s="222" cm="1">
        <f t="array" aca="1" ref="F30" ca="1">'Tablica IO'!F186*INDEX(Model!$C$93:$CA$93,Model!$A30) + IF(wplyw_cen_import_wlaczony,'Tablica IO'!F264*INDEX(Model!$C$2:$CA$2,Model!$A30),'Tablica IO'!F264*1)</f>
        <v>1.0029733485324592E-2</v>
      </c>
      <c r="G30" s="222" cm="1">
        <f t="array" aca="1" ref="G30" ca="1">'Tablica IO'!G186*INDEX(Model!$C$93:$CA$93,Model!$A30) + IF(wplyw_cen_import_wlaczony,'Tablica IO'!G264*INDEX(Model!$C$2:$CA$2,Model!$A30),'Tablica IO'!G264*1)</f>
        <v>4.7808428390687307E-3</v>
      </c>
      <c r="H30" s="222" cm="1">
        <f t="array" aca="1" ref="H30" ca="1">'Tablica IO'!H186*INDEX(Model!$C$93:$CA$93,Model!$A30) + IF(wplyw_cen_import_wlaczony,'Tablica IO'!H264*INDEX(Model!$C$2:$CA$2,Model!$A30),'Tablica IO'!H264*1)</f>
        <v>8.8035672266466164E-3</v>
      </c>
      <c r="I30" s="222" cm="1">
        <f t="array" aca="1" ref="I30" ca="1">'Tablica IO'!I186*INDEX(Model!$C$93:$CA$93,Model!$A30) + IF(wplyw_cen_import_wlaczony,'Tablica IO'!I264*INDEX(Model!$C$2:$CA$2,Model!$A30),'Tablica IO'!I264*1)</f>
        <v>5.8589620388022706E-2</v>
      </c>
      <c r="J30" s="222" cm="1">
        <f t="array" aca="1" ref="J30" ca="1">'Tablica IO'!J186*INDEX(Model!$C$93:$CA$93,Model!$A30) + IF(wplyw_cen_import_wlaczony,'Tablica IO'!J264*INDEX(Model!$C$2:$CA$2,Model!$A30),'Tablica IO'!J264*1)</f>
        <v>1.0088963365406581E-4</v>
      </c>
      <c r="K30" s="222" cm="1">
        <f t="array" aca="1" ref="K30" ca="1">'Tablica IO'!K186*INDEX(Model!$C$93:$CA$93,Model!$A30) + IF(wplyw_cen_import_wlaczony,'Tablica IO'!K264*INDEX(Model!$C$2:$CA$2,Model!$A30),'Tablica IO'!K264*1)</f>
        <v>2.1560954731500843E-2</v>
      </c>
      <c r="L30" s="222" cm="1">
        <f t="array" aca="1" ref="L30" ca="1">'Tablica IO'!L186*INDEX(Model!$C$93:$CA$93,Model!$A30) + IF(wplyw_cen_import_wlaczony,'Tablica IO'!L264*INDEX(Model!$C$2:$CA$2,Model!$A30),'Tablica IO'!L264*1)</f>
        <v>4.1100140854540366E-3</v>
      </c>
      <c r="M30" s="222" cm="1">
        <f t="array" aca="1" ref="M30" ca="1">'Tablica IO'!M186*INDEX(Model!$C$93:$CA$93,Model!$A30) + IF(wplyw_cen_import_wlaczony,'Tablica IO'!M264*INDEX(Model!$C$2:$CA$2,Model!$A30),'Tablica IO'!M264*1)</f>
        <v>4.1584916618114698E-2</v>
      </c>
      <c r="N30" s="222" cm="1">
        <f t="array" aca="1" ref="N30" ca="1">'Tablica IO'!N186*INDEX(Model!$C$93:$CA$93,Model!$A30) + IF(wplyw_cen_import_wlaczony,'Tablica IO'!N264*INDEX(Model!$C$2:$CA$2,Model!$A30),'Tablica IO'!N264*1)</f>
        <v>1.4472455715314154E-2</v>
      </c>
      <c r="O30" s="222" cm="1">
        <f t="array" aca="1" ref="O30" ca="1">'Tablica IO'!O186*INDEX(Model!$C$93:$CA$93,Model!$A30) + IF(wplyw_cen_import_wlaczony,'Tablica IO'!O264*INDEX(Model!$C$2:$CA$2,Model!$A30),'Tablica IO'!O264*1)</f>
        <v>1.2709687285829399E-2</v>
      </c>
      <c r="P30" s="222" cm="1">
        <f t="array" aca="1" ref="P30" ca="1">'Tablica IO'!P186*INDEX(Model!$C$93:$CA$93,Model!$A30) + IF(wplyw_cen_import_wlaczony,'Tablica IO'!P264*INDEX(Model!$C$2:$CA$2,Model!$A30),'Tablica IO'!P264*1)</f>
        <v>2.013579317124178E-2</v>
      </c>
      <c r="Q30" s="222" cm="1">
        <f t="array" aca="1" ref="Q30" ca="1">'Tablica IO'!Q186*INDEX(Model!$C$93:$CA$93,Model!$A30) + IF(wplyw_cen_import_wlaczony,'Tablica IO'!Q264*INDEX(Model!$C$2:$CA$2,Model!$A30),'Tablica IO'!Q264*1)</f>
        <v>1.7573477694269449E-3</v>
      </c>
      <c r="R30" s="222" cm="1">
        <f t="array" aca="1" ref="R30" ca="1">'Tablica IO'!R186*INDEX(Model!$C$93:$CA$93,Model!$A30) + IF(wplyw_cen_import_wlaczony,'Tablica IO'!R264*INDEX(Model!$C$2:$CA$2,Model!$A30),'Tablica IO'!R264*1)</f>
        <v>2.8866208478401743E-2</v>
      </c>
      <c r="S30" s="222" cm="1">
        <f t="array" aca="1" ref="S30" ca="1">'Tablica IO'!S186*INDEX(Model!$C$93:$CA$93,Model!$A30) + IF(wplyw_cen_import_wlaczony,'Tablica IO'!S264*INDEX(Model!$C$2:$CA$2,Model!$A30),'Tablica IO'!S264*1)</f>
        <v>1.3489579288478864E-2</v>
      </c>
      <c r="T30" s="222" cm="1">
        <f t="array" aca="1" ref="T30" ca="1">'Tablica IO'!T186*INDEX(Model!$C$93:$CA$93,Model!$A30) + IF(wplyw_cen_import_wlaczony,'Tablica IO'!T264*INDEX(Model!$C$2:$CA$2,Model!$A30),'Tablica IO'!T264*1)</f>
        <v>0.21586483667208278</v>
      </c>
      <c r="U30" s="222" cm="1">
        <f t="array" aca="1" ref="U30" ca="1">'Tablica IO'!U186*INDEX(Model!$C$93:$CA$93,Model!$A30) + IF(wplyw_cen_import_wlaczony,'Tablica IO'!U264*INDEX(Model!$C$2:$CA$2,Model!$A30),'Tablica IO'!U264*1)</f>
        <v>1.0149122409680082E-2</v>
      </c>
      <c r="V30" s="222" cm="1">
        <f t="array" aca="1" ref="V30" ca="1">'Tablica IO'!V186*INDEX(Model!$C$93:$CA$93,Model!$A30) + IF(wplyw_cen_import_wlaczony,'Tablica IO'!V264*INDEX(Model!$C$2:$CA$2,Model!$A30),'Tablica IO'!V264*1)</f>
        <v>2.5396332129875875E-3</v>
      </c>
      <c r="W30" s="222" cm="1">
        <f t="array" aca="1" ref="W30" ca="1">'Tablica IO'!W186*INDEX(Model!$C$93:$CA$93,Model!$A30) + IF(wplyw_cen_import_wlaczony,'Tablica IO'!W264*INDEX(Model!$C$2:$CA$2,Model!$A30),'Tablica IO'!W264*1)</f>
        <v>1.0525266920017356E-2</v>
      </c>
      <c r="X30" s="222" cm="1">
        <f t="array" aca="1" ref="X30" ca="1">'Tablica IO'!X186*INDEX(Model!$C$93:$CA$93,Model!$A30) + IF(wplyw_cen_import_wlaczony,'Tablica IO'!X264*INDEX(Model!$C$2:$CA$2,Model!$A30),'Tablica IO'!X264*1)</f>
        <v>4.152275175247562E-2</v>
      </c>
      <c r="Y30" s="222" cm="1">
        <f t="array" aca="1" ref="Y30" ca="1">'Tablica IO'!Y186*INDEX(Model!$C$93:$CA$93,Model!$A30) + IF(wplyw_cen_import_wlaczony,'Tablica IO'!Y264*INDEX(Model!$C$2:$CA$2,Model!$A30),'Tablica IO'!Y264*1)</f>
        <v>5.4145293934617547E-2</v>
      </c>
      <c r="Z30" s="222" cm="1">
        <f t="array" aca="1" ref="Z30" ca="1">'Tablica IO'!Z186*INDEX(Model!$C$93:$CA$93,Model!$A30) + IF(wplyw_cen_import_wlaczony,'Tablica IO'!Z264*INDEX(Model!$C$2:$CA$2,Model!$A30),'Tablica IO'!Z264*1)</f>
        <v>2.5577511124213814E-2</v>
      </c>
      <c r="AA30" s="222" cm="1">
        <f t="array" aca="1" ref="AA30" ca="1">'Tablica IO'!AA186*INDEX(Model!$C$93:$CA$93,Model!$A30) + IF(wplyw_cen_import_wlaczony,'Tablica IO'!AA264*INDEX(Model!$C$2:$CA$2,Model!$A30),'Tablica IO'!AA264*1)</f>
        <v>4.8851779617832464E-2</v>
      </c>
      <c r="AB30" s="222" cm="1">
        <f t="array" aca="1" ref="AB30" ca="1">'Tablica IO'!AB186*INDEX(Model!$C$93:$CA$93,Model!$A30) + IF(wplyw_cen_import_wlaczony,'Tablica IO'!AB264*INDEX(Model!$C$2:$CA$2,Model!$A30),'Tablica IO'!AB264*1)</f>
        <v>9.6734634313024419E-3</v>
      </c>
      <c r="AC30" s="222" cm="1">
        <f t="array" aca="1" ref="AC30" ca="1">'Tablica IO'!AC186*INDEX(Model!$C$93:$CA$93,Model!$A30) + IF(wplyw_cen_import_wlaczony,'Tablica IO'!AC264*INDEX(Model!$C$2:$CA$2,Model!$A30),'Tablica IO'!AC264*1)</f>
        <v>3.7599718442559771E-2</v>
      </c>
      <c r="AD30" s="222" cm="1">
        <f t="array" aca="1" ref="AD30" ca="1">'Tablica IO'!AD186*INDEX(Model!$C$93:$CA$93,Model!$A30) + IF(wplyw_cen_import_wlaczony,'Tablica IO'!AD264*INDEX(Model!$C$2:$CA$2,Model!$A30),'Tablica IO'!AD264*1)</f>
        <v>8.5360039624630013E-2</v>
      </c>
      <c r="AE30" s="222" cm="1">
        <f t="array" aca="1" ref="AE30" ca="1">'Tablica IO'!AE186*INDEX(Model!$C$93:$CA$93,Model!$A30) + IF(wplyw_cen_import_wlaczony,'Tablica IO'!AE264*INDEX(Model!$C$2:$CA$2,Model!$A30),'Tablica IO'!AE264*1)</f>
        <v>1.1792972550133438E-2</v>
      </c>
      <c r="AF30" s="222" cm="1">
        <f t="array" aca="1" ref="AF30" ca="1">'Tablica IO'!AF186*INDEX(Model!$C$93:$CA$93,Model!$A30) + IF(wplyw_cen_import_wlaczony,'Tablica IO'!AF264*INDEX(Model!$C$2:$CA$2,Model!$A30),'Tablica IO'!AF264*1)</f>
        <v>1.744007412853202E-3</v>
      </c>
      <c r="AG30" s="222" cm="1">
        <f t="array" aca="1" ref="AG30" ca="1">'Tablica IO'!AG186*INDEX(Model!$C$93:$CA$93,Model!$A30) + IF(wplyw_cen_import_wlaczony,'Tablica IO'!AG264*INDEX(Model!$C$2:$CA$2,Model!$A30),'Tablica IO'!AG264*1)</f>
        <v>3.4394636577790398E-3</v>
      </c>
      <c r="AH30" s="222" cm="1">
        <f t="array" aca="1" ref="AH30" ca="1">'Tablica IO'!AH186*INDEX(Model!$C$93:$CA$93,Model!$A30) + IF(wplyw_cen_import_wlaczony,'Tablica IO'!AH264*INDEX(Model!$C$2:$CA$2,Model!$A30),'Tablica IO'!AH264*1)</f>
        <v>1.7953884244796329E-2</v>
      </c>
      <c r="AI30" s="222" cm="1">
        <f t="array" aca="1" ref="AI30" ca="1">'Tablica IO'!AI186*INDEX(Model!$C$93:$CA$93,Model!$A30) + IF(wplyw_cen_import_wlaczony,'Tablica IO'!AI264*INDEX(Model!$C$2:$CA$2,Model!$A30),'Tablica IO'!AI264*1)</f>
        <v>1.113422934029961E-2</v>
      </c>
      <c r="AJ30" s="222" cm="1">
        <f t="array" aca="1" ref="AJ30" ca="1">'Tablica IO'!AJ186*INDEX(Model!$C$93:$CA$93,Model!$A30) + IF(wplyw_cen_import_wlaczony,'Tablica IO'!AJ264*INDEX(Model!$C$2:$CA$2,Model!$A30),'Tablica IO'!AJ264*1)</f>
        <v>6.2598278186266454E-2</v>
      </c>
      <c r="AK30" s="222" cm="1">
        <f t="array" aca="1" ref="AK30" ca="1">'Tablica IO'!AK186*INDEX(Model!$C$93:$CA$93,Model!$A30) + IF(wplyw_cen_import_wlaczony,'Tablica IO'!AK264*INDEX(Model!$C$2:$CA$2,Model!$A30),'Tablica IO'!AK264*1)</f>
        <v>9.0392012812165884E-3</v>
      </c>
      <c r="AL30" s="222" cm="1">
        <f t="array" aca="1" ref="AL30" ca="1">'Tablica IO'!AL186*INDEX(Model!$C$93:$CA$93,Model!$A30) + IF(wplyw_cen_import_wlaczony,'Tablica IO'!AL264*INDEX(Model!$C$2:$CA$2,Model!$A30),'Tablica IO'!AL264*1)</f>
        <v>1.713279648597054E-2</v>
      </c>
      <c r="AM30" s="222" cm="1">
        <f t="array" aca="1" ref="AM30" ca="1">'Tablica IO'!AM186*INDEX(Model!$C$93:$CA$93,Model!$A30) + IF(wplyw_cen_import_wlaczony,'Tablica IO'!AM264*INDEX(Model!$C$2:$CA$2,Model!$A30),'Tablica IO'!AM264*1)</f>
        <v>1.1107192312418289E-2</v>
      </c>
      <c r="AN30" s="222" cm="1">
        <f t="array" aca="1" ref="AN30" ca="1">'Tablica IO'!AN186*INDEX(Model!$C$93:$CA$93,Model!$A30) + IF(wplyw_cen_import_wlaczony,'Tablica IO'!AN264*INDEX(Model!$C$2:$CA$2,Model!$A30),'Tablica IO'!AN264*1)</f>
        <v>1.0912949658400201E-2</v>
      </c>
      <c r="AO30" s="222" cm="1">
        <f t="array" aca="1" ref="AO30" ca="1">'Tablica IO'!AO186*INDEX(Model!$C$93:$CA$93,Model!$A30) + IF(wplyw_cen_import_wlaczony,'Tablica IO'!AO264*INDEX(Model!$C$2:$CA$2,Model!$A30),'Tablica IO'!AO264*1)</f>
        <v>7.3193402719105459E-4</v>
      </c>
      <c r="AP30" s="222" cm="1">
        <f t="array" aca="1" ref="AP30" ca="1">'Tablica IO'!AP186*INDEX(Model!$C$93:$CA$93,Model!$A30) + IF(wplyw_cen_import_wlaczony,'Tablica IO'!AP264*INDEX(Model!$C$2:$CA$2,Model!$A30),'Tablica IO'!AP264*1)</f>
        <v>4.2922228743833574E-3</v>
      </c>
      <c r="AQ30" s="222" cm="1">
        <f t="array" aca="1" ref="AQ30" ca="1">'Tablica IO'!AQ186*INDEX(Model!$C$93:$CA$93,Model!$A30) + IF(wplyw_cen_import_wlaczony,'Tablica IO'!AQ264*INDEX(Model!$C$2:$CA$2,Model!$A30),'Tablica IO'!AQ264*1)</f>
        <v>9.2490304501364269E-4</v>
      </c>
      <c r="AR30" s="222" cm="1">
        <f t="array" aca="1" ref="AR30" ca="1">'Tablica IO'!AR186*INDEX(Model!$C$93:$CA$93,Model!$A30) + IF(wplyw_cen_import_wlaczony,'Tablica IO'!AR264*INDEX(Model!$C$2:$CA$2,Model!$A30),'Tablica IO'!AR264*1)</f>
        <v>1.429186518870451E-3</v>
      </c>
      <c r="AS30" s="222" cm="1">
        <f t="array" aca="1" ref="AS30" ca="1">'Tablica IO'!AS186*INDEX(Model!$C$93:$CA$93,Model!$A30) + IF(wplyw_cen_import_wlaczony,'Tablica IO'!AS264*INDEX(Model!$C$2:$CA$2,Model!$A30),'Tablica IO'!AS264*1)</f>
        <v>4.2554739446915403E-3</v>
      </c>
      <c r="AT30" s="222" cm="1">
        <f t="array" aca="1" ref="AT30" ca="1">'Tablica IO'!AT186*INDEX(Model!$C$93:$CA$93,Model!$A30) + IF(wplyw_cen_import_wlaczony,'Tablica IO'!AT264*INDEX(Model!$C$2:$CA$2,Model!$A30),'Tablica IO'!AT264*1)</f>
        <v>2.8310212596177393E-2</v>
      </c>
      <c r="AU30" s="222" cm="1">
        <f t="array" aca="1" ref="AU30" ca="1">'Tablica IO'!AU186*INDEX(Model!$C$93:$CA$93,Model!$A30) + IF(wplyw_cen_import_wlaczony,'Tablica IO'!AU264*INDEX(Model!$C$2:$CA$2,Model!$A30),'Tablica IO'!AU264*1)</f>
        <v>8.7837501514806388E-5</v>
      </c>
      <c r="AV30" s="222" cm="1">
        <f t="array" aca="1" ref="AV30" ca="1">'Tablica IO'!AV186*INDEX(Model!$C$93:$CA$93,Model!$A30) + IF(wplyw_cen_import_wlaczony,'Tablica IO'!AV264*INDEX(Model!$C$2:$CA$2,Model!$A30),'Tablica IO'!AV264*1)</f>
        <v>1.6888100514499053E-3</v>
      </c>
      <c r="AW30" s="222" cm="1">
        <f t="array" aca="1" ref="AW30" ca="1">'Tablica IO'!AW186*INDEX(Model!$C$93:$CA$93,Model!$A30) + IF(wplyw_cen_import_wlaczony,'Tablica IO'!AW264*INDEX(Model!$C$2:$CA$2,Model!$A30),'Tablica IO'!AW264*1)</f>
        <v>2.0730960864588519E-4</v>
      </c>
      <c r="AX30" s="222" cm="1">
        <f t="array" aca="1" ref="AX30" ca="1">'Tablica IO'!AX186*INDEX(Model!$C$93:$CA$93,Model!$A30) + IF(wplyw_cen_import_wlaczony,'Tablica IO'!AX264*INDEX(Model!$C$2:$CA$2,Model!$A30),'Tablica IO'!AX264*1)</f>
        <v>2.9645397758949451E-4</v>
      </c>
      <c r="AY30" s="222" cm="1">
        <f t="array" aca="1" ref="AY30" ca="1">'Tablica IO'!AY186*INDEX(Model!$C$93:$CA$93,Model!$A30) + IF(wplyw_cen_import_wlaczony,'Tablica IO'!AY264*INDEX(Model!$C$2:$CA$2,Model!$A30),'Tablica IO'!AY264*1)</f>
        <v>1.9238135441947352E-3</v>
      </c>
      <c r="AZ30" s="222" cm="1">
        <f t="array" aca="1" ref="AZ30" ca="1">'Tablica IO'!AZ186*INDEX(Model!$C$93:$CA$93,Model!$A30) + IF(wplyw_cen_import_wlaczony,'Tablica IO'!AZ264*INDEX(Model!$C$2:$CA$2,Model!$A30),'Tablica IO'!AZ264*1)</f>
        <v>1.6953105261614223E-2</v>
      </c>
      <c r="BA30" s="222" cm="1">
        <f t="array" aca="1" ref="BA30" ca="1">'Tablica IO'!BA186*INDEX(Model!$C$93:$CA$93,Model!$A30) + IF(wplyw_cen_import_wlaczony,'Tablica IO'!BA264*INDEX(Model!$C$2:$CA$2,Model!$A30),'Tablica IO'!BA264*1)</f>
        <v>1.6162020968931468E-5</v>
      </c>
      <c r="BB30" s="222" cm="1">
        <f t="array" aca="1" ref="BB30" ca="1">'Tablica IO'!BB186*INDEX(Model!$C$93:$CA$93,Model!$A30) + IF(wplyw_cen_import_wlaczony,'Tablica IO'!BB264*INDEX(Model!$C$2:$CA$2,Model!$A30),'Tablica IO'!BB264*1)</f>
        <v>1.1251508082631009E-3</v>
      </c>
      <c r="BC30" s="222" cm="1">
        <f t="array" aca="1" ref="BC30" ca="1">'Tablica IO'!BC186*INDEX(Model!$C$93:$CA$93,Model!$A30) + IF(wplyw_cen_import_wlaczony,'Tablica IO'!BC264*INDEX(Model!$C$2:$CA$2,Model!$A30),'Tablica IO'!BC264*1)</f>
        <v>4.1352313503671342E-4</v>
      </c>
      <c r="BD30" s="222" cm="1">
        <f t="array" aca="1" ref="BD30" ca="1">'Tablica IO'!BD186*INDEX(Model!$C$93:$CA$93,Model!$A30) + IF(wplyw_cen_import_wlaczony,'Tablica IO'!BD264*INDEX(Model!$C$2:$CA$2,Model!$A30),'Tablica IO'!BD264*1)</f>
        <v>1.1058369776729365E-3</v>
      </c>
      <c r="BE30" s="222" cm="1">
        <f t="array" aca="1" ref="BE30" ca="1">'Tablica IO'!BE186*INDEX(Model!$C$93:$CA$93,Model!$A30) + IF(wplyw_cen_import_wlaczony,'Tablica IO'!BE264*INDEX(Model!$C$2:$CA$2,Model!$A30),'Tablica IO'!BE264*1)</f>
        <v>1.9193158873370103E-3</v>
      </c>
      <c r="BF30" s="222" cm="1">
        <f t="array" aca="1" ref="BF30" ca="1">'Tablica IO'!BF186*INDEX(Model!$C$93:$CA$93,Model!$A30) + IF(wplyw_cen_import_wlaczony,'Tablica IO'!BF264*INDEX(Model!$C$2:$CA$2,Model!$A30),'Tablica IO'!BF264*1)</f>
        <v>3.7504529441458956E-3</v>
      </c>
      <c r="BG30" s="222" cm="1">
        <f t="array" aca="1" ref="BG30" ca="1">'Tablica IO'!BG186*INDEX(Model!$C$93:$CA$93,Model!$A30) + IF(wplyw_cen_import_wlaczony,'Tablica IO'!BG264*INDEX(Model!$C$2:$CA$2,Model!$A30),'Tablica IO'!BG264*1)</f>
        <v>9.6359316743420843E-4</v>
      </c>
      <c r="BH30" s="222" cm="1">
        <f t="array" aca="1" ref="BH30" ca="1">'Tablica IO'!BH186*INDEX(Model!$C$93:$CA$93,Model!$A30) + IF(wplyw_cen_import_wlaczony,'Tablica IO'!BH264*INDEX(Model!$C$2:$CA$2,Model!$A30),'Tablica IO'!BH264*1)</f>
        <v>4.2048467933409841E-4</v>
      </c>
      <c r="BI30" s="222" cm="1">
        <f t="array" aca="1" ref="BI30" ca="1">'Tablica IO'!BI186*INDEX(Model!$C$93:$CA$93,Model!$A30) + IF(wplyw_cen_import_wlaczony,'Tablica IO'!BI264*INDEX(Model!$C$2:$CA$2,Model!$A30),'Tablica IO'!BI264*1)</f>
        <v>9.0794435385349801E-5</v>
      </c>
      <c r="BJ30" s="222" cm="1">
        <f t="array" aca="1" ref="BJ30" ca="1">'Tablica IO'!BJ186*INDEX(Model!$C$93:$CA$93,Model!$A30) + IF(wplyw_cen_import_wlaczony,'Tablica IO'!BJ264*INDEX(Model!$C$2:$CA$2,Model!$A30),'Tablica IO'!BJ264*1)</f>
        <v>4.0590732653901307E-3</v>
      </c>
      <c r="BK30" s="222" cm="1">
        <f t="array" aca="1" ref="BK30" ca="1">'Tablica IO'!BK186*INDEX(Model!$C$93:$CA$93,Model!$A30) + IF(wplyw_cen_import_wlaczony,'Tablica IO'!BK264*INDEX(Model!$C$2:$CA$2,Model!$A30),'Tablica IO'!BK264*1)</f>
        <v>4.4904357750549079E-4</v>
      </c>
      <c r="BL30" s="222" cm="1">
        <f t="array" aca="1" ref="BL30" ca="1">'Tablica IO'!BL186*INDEX(Model!$C$93:$CA$93,Model!$A30) + IF(wplyw_cen_import_wlaczony,'Tablica IO'!BL264*INDEX(Model!$C$2:$CA$2,Model!$A30),'Tablica IO'!BL264*1)</f>
        <v>2.1740654984568012E-4</v>
      </c>
      <c r="BM30" s="222" cm="1">
        <f t="array" aca="1" ref="BM30" ca="1">'Tablica IO'!BM186*INDEX(Model!$C$93:$CA$93,Model!$A30) + IF(wplyw_cen_import_wlaczony,'Tablica IO'!BM264*INDEX(Model!$C$2:$CA$2,Model!$A30),'Tablica IO'!BM264*1)</f>
        <v>6.8820350498687553E-4</v>
      </c>
      <c r="BN30" s="222" cm="1">
        <f t="array" aca="1" ref="BN30" ca="1">'Tablica IO'!BN186*INDEX(Model!$C$93:$CA$93,Model!$A30) + IF(wplyw_cen_import_wlaczony,'Tablica IO'!BN264*INDEX(Model!$C$2:$CA$2,Model!$A30),'Tablica IO'!BN264*1)</f>
        <v>8.8172063292145282E-3</v>
      </c>
      <c r="BO30" s="222" cm="1">
        <f t="array" aca="1" ref="BO30" ca="1">'Tablica IO'!BO186*INDEX(Model!$C$93:$CA$93,Model!$A30) + IF(wplyw_cen_import_wlaczony,'Tablica IO'!BO264*INDEX(Model!$C$2:$CA$2,Model!$A30),'Tablica IO'!BO264*1)</f>
        <v>2.0935164087251011E-2</v>
      </c>
      <c r="BP30" s="222" cm="1">
        <f t="array" aca="1" ref="BP30" ca="1">'Tablica IO'!BP186*INDEX(Model!$C$93:$CA$93,Model!$A30) + IF(wplyw_cen_import_wlaczony,'Tablica IO'!BP264*INDEX(Model!$C$2:$CA$2,Model!$A30),'Tablica IO'!BP264*1)</f>
        <v>2.7746800922282336E-3</v>
      </c>
      <c r="BQ30" s="222" cm="1">
        <f t="array" aca="1" ref="BQ30" ca="1">'Tablica IO'!BQ186*INDEX(Model!$C$93:$CA$93,Model!$A30) + IF(wplyw_cen_import_wlaczony,'Tablica IO'!BQ264*INDEX(Model!$C$2:$CA$2,Model!$A30),'Tablica IO'!BQ264*1)</f>
        <v>5.6704226928805748E-4</v>
      </c>
      <c r="BR30" s="222" cm="1">
        <f t="array" aca="1" ref="BR30" ca="1">'Tablica IO'!BR186*INDEX(Model!$C$93:$CA$93,Model!$A30) + IF(wplyw_cen_import_wlaczony,'Tablica IO'!BR264*INDEX(Model!$C$2:$CA$2,Model!$A30),'Tablica IO'!BR264*1)</f>
        <v>1.1424795995261965E-3</v>
      </c>
      <c r="BS30" s="222" cm="1">
        <f t="array" aca="1" ref="BS30" ca="1">'Tablica IO'!BS186*INDEX(Model!$C$93:$CA$93,Model!$A30) + IF(wplyw_cen_import_wlaczony,'Tablica IO'!BS264*INDEX(Model!$C$2:$CA$2,Model!$A30),'Tablica IO'!BS264*1)</f>
        <v>4.3947457501294522E-4</v>
      </c>
      <c r="BT30" s="222" cm="1">
        <f t="array" aca="1" ref="BT30" ca="1">'Tablica IO'!BT186*INDEX(Model!$C$93:$CA$93,Model!$A30) + IF(wplyw_cen_import_wlaczony,'Tablica IO'!BT264*INDEX(Model!$C$2:$CA$2,Model!$A30),'Tablica IO'!BT264*1)</f>
        <v>5.1184010231235353E-4</v>
      </c>
      <c r="BU30" s="222" cm="1">
        <f t="array" aca="1" ref="BU30" ca="1">'Tablica IO'!BU186*INDEX(Model!$C$93:$CA$93,Model!$A30) + IF(wplyw_cen_import_wlaczony,'Tablica IO'!BU264*INDEX(Model!$C$2:$CA$2,Model!$A30),'Tablica IO'!BU264*1)</f>
        <v>1.6415409355682682E-3</v>
      </c>
      <c r="BV30" s="222" cm="1">
        <f t="array" aca="1" ref="BV30" ca="1">'Tablica IO'!BV186*INDEX(Model!$C$93:$CA$93,Model!$A30) + IF(wplyw_cen_import_wlaczony,'Tablica IO'!BV264*INDEX(Model!$C$2:$CA$2,Model!$A30),'Tablica IO'!BV264*1)</f>
        <v>1.8274227179197118E-4</v>
      </c>
      <c r="BW30" s="222" cm="1">
        <f t="array" aca="1" ref="BW30" ca="1">'Tablica IO'!BW186*INDEX(Model!$C$93:$CA$93,Model!$A30) + IF(wplyw_cen_import_wlaczony,'Tablica IO'!BW264*INDEX(Model!$C$2:$CA$2,Model!$A30),'Tablica IO'!BW264*1)</f>
        <v>1.4561208548829344E-3</v>
      </c>
      <c r="BX30" s="222" cm="1">
        <f t="array" aca="1" ref="BX30" ca="1">'Tablica IO'!BX186*INDEX(Model!$C$93:$CA$93,Model!$A30) + IF(wplyw_cen_import_wlaczony,'Tablica IO'!BX264*INDEX(Model!$C$2:$CA$2,Model!$A30),'Tablica IO'!BX264*1)</f>
        <v>8.8392449947097655E-3</v>
      </c>
      <c r="BY30" s="222" cm="1">
        <f t="array" aca="1" ref="BY30" ca="1">'Tablica IO'!BY186*INDEX(Model!$C$93:$CA$93,Model!$A30) + IF(wplyw_cen_import_wlaczony,'Tablica IO'!BY264*INDEX(Model!$C$2:$CA$2,Model!$A30),'Tablica IO'!BY264*1)</f>
        <v>1.5654845209739114E-3</v>
      </c>
      <c r="BZ30" s="222" cm="1">
        <f t="array" aca="1" ref="BZ30" ca="1">'Tablica IO'!BZ186*INDEX(Model!$C$93:$CA$93,Model!$A30) + IF(wplyw_cen_import_wlaczony,'Tablica IO'!BZ264*INDEX(Model!$C$2:$CA$2,Model!$A30),'Tablica IO'!BZ264*1)</f>
        <v>7.5128496986327873E-3</v>
      </c>
      <c r="CA30" s="222" cm="1">
        <f t="array" aca="1" ref="CA30" ca="1">'Tablica IO'!CA186*INDEX(Model!$C$93:$CA$93,Model!$A30) + IF(wplyw_cen_import_wlaczony,'Tablica IO'!CA264*INDEX(Model!$C$2:$CA$2,Model!$A30),'Tablica IO'!CA264*1)</f>
        <v>0</v>
      </c>
      <c r="CB30" s="247">
        <f ca="1">'Tablica IO'!CD186*INDEX(Model!$C$93:$CA$93,Model!$A30)+'Tablica IO'!CD264*INDEX(Model!$C$2:$CA$2,Model!$A30)</f>
        <v>5.0524653928113832E-3</v>
      </c>
      <c r="CC30" s="188">
        <f ca="1">'Tablica IO'!CE186*INDEX(Model!$C$93:$CA$93,Model!$A30)+'Tablica IO'!CE264*INDEX(Model!$C$2:$CA$2,Model!$A30)</f>
        <v>0</v>
      </c>
      <c r="CD30" s="188">
        <f ca="1">'Tablica IO'!CF186*INDEX(Model!$C$93:$CA$93,Model!$A30)+'Tablica IO'!CF264*INDEX(Model!$C$2:$CA$2,Model!$A30)</f>
        <v>1.9933373882026757E-3</v>
      </c>
      <c r="CE30" s="189">
        <f ca="1">'Tablica IO'!CG186*INDEX(Model!$C$93:$CA$93,Model!$A30)+'Tablica IO'!CG264*INDEX(Model!$C$2:$CA$2,Model!$A30)</f>
        <v>4.6102536767472689E-2</v>
      </c>
    </row>
    <row r="31" spans="1:83" x14ac:dyDescent="0.25">
      <c r="A31" s="164">
        <v>19</v>
      </c>
      <c r="B31" s="172" t="s">
        <v>18</v>
      </c>
      <c r="C31" s="221" cm="1">
        <f t="array" aca="1" ref="C31" ca="1">'Tablica IO'!C187*INDEX(Model!$C$93:$CA$93,Model!$A31) + IF(wplyw_cen_import_wlaczony,'Tablica IO'!C265*INDEX(Model!$C$2:$CA$2,Model!$A31),'Tablica IO'!C265*1)</f>
        <v>3.7681109731599002E-3</v>
      </c>
      <c r="D31" s="222" cm="1">
        <f t="array" aca="1" ref="D31" ca="1">'Tablica IO'!D187*INDEX(Model!$C$93:$CA$93,Model!$A31) + IF(wplyw_cen_import_wlaczony,'Tablica IO'!D265*INDEX(Model!$C$2:$CA$2,Model!$A31),'Tablica IO'!D265*1)</f>
        <v>2.2597269259969268E-3</v>
      </c>
      <c r="E31" s="222" cm="1">
        <f t="array" aca="1" ref="E31" ca="1">'Tablica IO'!E187*INDEX(Model!$C$93:$CA$93,Model!$A31) + IF(wplyw_cen_import_wlaczony,'Tablica IO'!E265*INDEX(Model!$C$2:$CA$2,Model!$A31),'Tablica IO'!E265*1)</f>
        <v>1.5276524022775676E-3</v>
      </c>
      <c r="F31" s="222" cm="1">
        <f t="array" aca="1" ref="F31" ca="1">'Tablica IO'!F187*INDEX(Model!$C$93:$CA$93,Model!$A31) + IF(wplyw_cen_import_wlaczony,'Tablica IO'!F265*INDEX(Model!$C$2:$CA$2,Model!$A31),'Tablica IO'!F265*1)</f>
        <v>2.8173520482785569E-3</v>
      </c>
      <c r="G31" s="222" cm="1">
        <f t="array" aca="1" ref="G31" ca="1">'Tablica IO'!G187*INDEX(Model!$C$93:$CA$93,Model!$A31) + IF(wplyw_cen_import_wlaczony,'Tablica IO'!G265*INDEX(Model!$C$2:$CA$2,Model!$A31),'Tablica IO'!G265*1)</f>
        <v>1.2252431591661488E-2</v>
      </c>
      <c r="H31" s="222" cm="1">
        <f t="array" aca="1" ref="H31" ca="1">'Tablica IO'!H187*INDEX(Model!$C$93:$CA$93,Model!$A31) + IF(wplyw_cen_import_wlaczony,'Tablica IO'!H265*INDEX(Model!$C$2:$CA$2,Model!$A31),'Tablica IO'!H265*1)</f>
        <v>2.75519599389274E-3</v>
      </c>
      <c r="I31" s="222" cm="1">
        <f t="array" aca="1" ref="I31" ca="1">'Tablica IO'!I187*INDEX(Model!$C$93:$CA$93,Model!$A31) + IF(wplyw_cen_import_wlaczony,'Tablica IO'!I265*INDEX(Model!$C$2:$CA$2,Model!$A31),'Tablica IO'!I265*1)</f>
        <v>2.3841943573490485E-2</v>
      </c>
      <c r="J31" s="222" cm="1">
        <f t="array" aca="1" ref="J31" ca="1">'Tablica IO'!J187*INDEX(Model!$C$93:$CA$93,Model!$A31) + IF(wplyw_cen_import_wlaczony,'Tablica IO'!J265*INDEX(Model!$C$2:$CA$2,Model!$A31),'Tablica IO'!J265*1)</f>
        <v>1.1232450871069279E-3</v>
      </c>
      <c r="K31" s="222" cm="1">
        <f t="array" aca="1" ref="K31" ca="1">'Tablica IO'!K187*INDEX(Model!$C$93:$CA$93,Model!$A31) + IF(wplyw_cen_import_wlaczony,'Tablica IO'!K265*INDEX(Model!$C$2:$CA$2,Model!$A31),'Tablica IO'!K265*1)</f>
        <v>4.1513034082643428E-3</v>
      </c>
      <c r="L31" s="222" cm="1">
        <f t="array" aca="1" ref="L31" ca="1">'Tablica IO'!L187*INDEX(Model!$C$93:$CA$93,Model!$A31) + IF(wplyw_cen_import_wlaczony,'Tablica IO'!L265*INDEX(Model!$C$2:$CA$2,Model!$A31),'Tablica IO'!L265*1)</f>
        <v>2.3477128903888027E-3</v>
      </c>
      <c r="M31" s="222" cm="1">
        <f t="array" aca="1" ref="M31" ca="1">'Tablica IO'!M187*INDEX(Model!$C$93:$CA$93,Model!$A31) + IF(wplyw_cen_import_wlaczony,'Tablica IO'!M265*INDEX(Model!$C$2:$CA$2,Model!$A31),'Tablica IO'!M265*1)</f>
        <v>7.2709619905364188E-3</v>
      </c>
      <c r="N31" s="222" cm="1">
        <f t="array" aca="1" ref="N31" ca="1">'Tablica IO'!N187*INDEX(Model!$C$93:$CA$93,Model!$A31) + IF(wplyw_cen_import_wlaczony,'Tablica IO'!N265*INDEX(Model!$C$2:$CA$2,Model!$A31),'Tablica IO'!N265*1)</f>
        <v>1.5140527963281393E-2</v>
      </c>
      <c r="O31" s="222" cm="1">
        <f t="array" aca="1" ref="O31" ca="1">'Tablica IO'!O187*INDEX(Model!$C$93:$CA$93,Model!$A31) + IF(wplyw_cen_import_wlaczony,'Tablica IO'!O265*INDEX(Model!$C$2:$CA$2,Model!$A31),'Tablica IO'!O265*1)</f>
        <v>2.2229338798052806E-3</v>
      </c>
      <c r="P31" s="222" cm="1">
        <f t="array" aca="1" ref="P31" ca="1">'Tablica IO'!P187*INDEX(Model!$C$93:$CA$93,Model!$A31) + IF(wplyw_cen_import_wlaczony,'Tablica IO'!P265*INDEX(Model!$C$2:$CA$2,Model!$A31),'Tablica IO'!P265*1)</f>
        <v>2.4620410595542607E-3</v>
      </c>
      <c r="Q31" s="222" cm="1">
        <f t="array" aca="1" ref="Q31" ca="1">'Tablica IO'!Q187*INDEX(Model!$C$93:$CA$93,Model!$A31) + IF(wplyw_cen_import_wlaczony,'Tablica IO'!Q265*INDEX(Model!$C$2:$CA$2,Model!$A31),'Tablica IO'!Q265*1)</f>
        <v>1.8962976349037207E-3</v>
      </c>
      <c r="R31" s="222" cm="1">
        <f t="array" aca="1" ref="R31" ca="1">'Tablica IO'!R187*INDEX(Model!$C$93:$CA$93,Model!$A31) + IF(wplyw_cen_import_wlaczony,'Tablica IO'!R265*INDEX(Model!$C$2:$CA$2,Model!$A31),'Tablica IO'!R265*1)</f>
        <v>5.6189044687873961E-3</v>
      </c>
      <c r="S31" s="222" cm="1">
        <f t="array" aca="1" ref="S31" ca="1">'Tablica IO'!S187*INDEX(Model!$C$93:$CA$93,Model!$A31) + IF(wplyw_cen_import_wlaczony,'Tablica IO'!S265*INDEX(Model!$C$2:$CA$2,Model!$A31),'Tablica IO'!S265*1)</f>
        <v>3.4392582890496693E-3</v>
      </c>
      <c r="T31" s="222" cm="1">
        <f t="array" aca="1" ref="T31" ca="1">'Tablica IO'!T187*INDEX(Model!$C$93:$CA$93,Model!$A31) + IF(wplyw_cen_import_wlaczony,'Tablica IO'!T265*INDEX(Model!$C$2:$CA$2,Model!$A31),'Tablica IO'!T265*1)</f>
        <v>1.9941468501438082E-2</v>
      </c>
      <c r="U31" s="222" cm="1">
        <f t="array" aca="1" ref="U31" ca="1">'Tablica IO'!U187*INDEX(Model!$C$93:$CA$93,Model!$A31) + IF(wplyw_cen_import_wlaczony,'Tablica IO'!U265*INDEX(Model!$C$2:$CA$2,Model!$A31),'Tablica IO'!U265*1)</f>
        <v>0.14433901911421435</v>
      </c>
      <c r="V31" s="222" cm="1">
        <f t="array" aca="1" ref="V31" ca="1">'Tablica IO'!V187*INDEX(Model!$C$93:$CA$93,Model!$A31) + IF(wplyw_cen_import_wlaczony,'Tablica IO'!V265*INDEX(Model!$C$2:$CA$2,Model!$A31),'Tablica IO'!V265*1)</f>
        <v>9.3689216324054359E-3</v>
      </c>
      <c r="W31" s="222" cm="1">
        <f t="array" aca="1" ref="W31" ca="1">'Tablica IO'!W187*INDEX(Model!$C$93:$CA$93,Model!$A31) + IF(wplyw_cen_import_wlaczony,'Tablica IO'!W265*INDEX(Model!$C$2:$CA$2,Model!$A31),'Tablica IO'!W265*1)</f>
        <v>1.1998796284464918E-2</v>
      </c>
      <c r="X31" s="222" cm="1">
        <f t="array" aca="1" ref="X31" ca="1">'Tablica IO'!X187*INDEX(Model!$C$93:$CA$93,Model!$A31) + IF(wplyw_cen_import_wlaczony,'Tablica IO'!X265*INDEX(Model!$C$2:$CA$2,Model!$A31),'Tablica IO'!X265*1)</f>
        <v>3.9301879802623781E-3</v>
      </c>
      <c r="Y31" s="222" cm="1">
        <f t="array" aca="1" ref="Y31" ca="1">'Tablica IO'!Y187*INDEX(Model!$C$93:$CA$93,Model!$A31) + IF(wplyw_cen_import_wlaczony,'Tablica IO'!Y265*INDEX(Model!$C$2:$CA$2,Model!$A31),'Tablica IO'!Y265*1)</f>
        <v>1.3924183115341623E-2</v>
      </c>
      <c r="Z31" s="222" cm="1">
        <f t="array" aca="1" ref="Z31" ca="1">'Tablica IO'!Z187*INDEX(Model!$C$93:$CA$93,Model!$A31) + IF(wplyw_cen_import_wlaczony,'Tablica IO'!Z265*INDEX(Model!$C$2:$CA$2,Model!$A31),'Tablica IO'!Z265*1)</f>
        <v>7.5074847981783915E-3</v>
      </c>
      <c r="AA31" s="222" cm="1">
        <f t="array" aca="1" ref="AA31" ca="1">'Tablica IO'!AA187*INDEX(Model!$C$93:$CA$93,Model!$A31) + IF(wplyw_cen_import_wlaczony,'Tablica IO'!AA265*INDEX(Model!$C$2:$CA$2,Model!$A31),'Tablica IO'!AA265*1)</f>
        <v>4.3078645609566507E-3</v>
      </c>
      <c r="AB31" s="222" cm="1">
        <f t="array" aca="1" ref="AB31" ca="1">'Tablica IO'!AB187*INDEX(Model!$C$93:$CA$93,Model!$A31) + IF(wplyw_cen_import_wlaczony,'Tablica IO'!AB265*INDEX(Model!$C$2:$CA$2,Model!$A31),'Tablica IO'!AB265*1)</f>
        <v>5.9774013544611967E-3</v>
      </c>
      <c r="AC31" s="222" cm="1">
        <f t="array" aca="1" ref="AC31" ca="1">'Tablica IO'!AC187*INDEX(Model!$C$93:$CA$93,Model!$A31) + IF(wplyw_cen_import_wlaczony,'Tablica IO'!AC265*INDEX(Model!$C$2:$CA$2,Model!$A31),'Tablica IO'!AC265*1)</f>
        <v>1.1423879989293685E-2</v>
      </c>
      <c r="AD31" s="222" cm="1">
        <f t="array" aca="1" ref="AD31" ca="1">'Tablica IO'!AD187*INDEX(Model!$C$93:$CA$93,Model!$A31) + IF(wplyw_cen_import_wlaczony,'Tablica IO'!AD265*INDEX(Model!$C$2:$CA$2,Model!$A31),'Tablica IO'!AD265*1)</f>
        <v>2.2619941248556107E-2</v>
      </c>
      <c r="AE31" s="222" cm="1">
        <f t="array" aca="1" ref="AE31" ca="1">'Tablica IO'!AE187*INDEX(Model!$C$93:$CA$93,Model!$A31) + IF(wplyw_cen_import_wlaczony,'Tablica IO'!AE265*INDEX(Model!$C$2:$CA$2,Model!$A31),'Tablica IO'!AE265*1)</f>
        <v>5.216738924445438E-3</v>
      </c>
      <c r="AF31" s="222" cm="1">
        <f t="array" aca="1" ref="AF31" ca="1">'Tablica IO'!AF187*INDEX(Model!$C$93:$CA$93,Model!$A31) + IF(wplyw_cen_import_wlaczony,'Tablica IO'!AF265*INDEX(Model!$C$2:$CA$2,Model!$A31),'Tablica IO'!AF265*1)</f>
        <v>1.6920081403719012E-3</v>
      </c>
      <c r="AG31" s="222" cm="1">
        <f t="array" aca="1" ref="AG31" ca="1">'Tablica IO'!AG187*INDEX(Model!$C$93:$CA$93,Model!$A31) + IF(wplyw_cen_import_wlaczony,'Tablica IO'!AG265*INDEX(Model!$C$2:$CA$2,Model!$A31),'Tablica IO'!AG265*1)</f>
        <v>4.3563052069099349E-3</v>
      </c>
      <c r="AH31" s="222" cm="1">
        <f t="array" aca="1" ref="AH31" ca="1">'Tablica IO'!AH187*INDEX(Model!$C$93:$CA$93,Model!$A31) + IF(wplyw_cen_import_wlaczony,'Tablica IO'!AH265*INDEX(Model!$C$2:$CA$2,Model!$A31),'Tablica IO'!AH265*1)</f>
        <v>1.3788052733604743E-2</v>
      </c>
      <c r="AI31" s="222" cm="1">
        <f t="array" aca="1" ref="AI31" ca="1">'Tablica IO'!AI187*INDEX(Model!$C$93:$CA$93,Model!$A31) + IF(wplyw_cen_import_wlaczony,'Tablica IO'!AI265*INDEX(Model!$C$2:$CA$2,Model!$A31),'Tablica IO'!AI265*1)</f>
        <v>1.7300509538945587E-3</v>
      </c>
      <c r="AJ31" s="222" cm="1">
        <f t="array" aca="1" ref="AJ31" ca="1">'Tablica IO'!AJ187*INDEX(Model!$C$93:$CA$93,Model!$A31) + IF(wplyw_cen_import_wlaczony,'Tablica IO'!AJ265*INDEX(Model!$C$2:$CA$2,Model!$A31),'Tablica IO'!AJ265*1)</f>
        <v>6.052819928528369E-2</v>
      </c>
      <c r="AK31" s="222" cm="1">
        <f t="array" aca="1" ref="AK31" ca="1">'Tablica IO'!AK187*INDEX(Model!$C$93:$CA$93,Model!$A31) + IF(wplyw_cen_import_wlaczony,'Tablica IO'!AK265*INDEX(Model!$C$2:$CA$2,Model!$A31),'Tablica IO'!AK265*1)</f>
        <v>1.2595865153053976E-3</v>
      </c>
      <c r="AL31" s="222" cm="1">
        <f t="array" aca="1" ref="AL31" ca="1">'Tablica IO'!AL187*INDEX(Model!$C$93:$CA$93,Model!$A31) + IF(wplyw_cen_import_wlaczony,'Tablica IO'!AL265*INDEX(Model!$C$2:$CA$2,Model!$A31),'Tablica IO'!AL265*1)</f>
        <v>4.4100821620057188E-3</v>
      </c>
      <c r="AM31" s="222" cm="1">
        <f t="array" aca="1" ref="AM31" ca="1">'Tablica IO'!AM187*INDEX(Model!$C$93:$CA$93,Model!$A31) + IF(wplyw_cen_import_wlaczony,'Tablica IO'!AM265*INDEX(Model!$C$2:$CA$2,Model!$A31),'Tablica IO'!AM265*1)</f>
        <v>4.612002536570738E-3</v>
      </c>
      <c r="AN31" s="222" cm="1">
        <f t="array" aca="1" ref="AN31" ca="1">'Tablica IO'!AN187*INDEX(Model!$C$93:$CA$93,Model!$A31) + IF(wplyw_cen_import_wlaczony,'Tablica IO'!AN265*INDEX(Model!$C$2:$CA$2,Model!$A31),'Tablica IO'!AN265*1)</f>
        <v>2.425251289602462E-3</v>
      </c>
      <c r="AO31" s="222" cm="1">
        <f t="array" aca="1" ref="AO31" ca="1">'Tablica IO'!AO187*INDEX(Model!$C$93:$CA$93,Model!$A31) + IF(wplyw_cen_import_wlaczony,'Tablica IO'!AO265*INDEX(Model!$C$2:$CA$2,Model!$A31),'Tablica IO'!AO265*1)</f>
        <v>4.7826761939095811E-4</v>
      </c>
      <c r="AP31" s="222" cm="1">
        <f t="array" aca="1" ref="AP31" ca="1">'Tablica IO'!AP187*INDEX(Model!$C$93:$CA$93,Model!$A31) + IF(wplyw_cen_import_wlaczony,'Tablica IO'!AP265*INDEX(Model!$C$2:$CA$2,Model!$A31),'Tablica IO'!AP265*1)</f>
        <v>4.4999474621934467E-4</v>
      </c>
      <c r="AQ31" s="222" cm="1">
        <f t="array" aca="1" ref="AQ31" ca="1">'Tablica IO'!AQ187*INDEX(Model!$C$93:$CA$93,Model!$A31) + IF(wplyw_cen_import_wlaczony,'Tablica IO'!AQ265*INDEX(Model!$C$2:$CA$2,Model!$A31),'Tablica IO'!AQ265*1)</f>
        <v>5.9482688607175888E-3</v>
      </c>
      <c r="AR31" s="222" cm="1">
        <f t="array" aca="1" ref="AR31" ca="1">'Tablica IO'!AR187*INDEX(Model!$C$93:$CA$93,Model!$A31) + IF(wplyw_cen_import_wlaczony,'Tablica IO'!AR265*INDEX(Model!$C$2:$CA$2,Model!$A31),'Tablica IO'!AR265*1)</f>
        <v>8.6816571429248644E-4</v>
      </c>
      <c r="AS31" s="222" cm="1">
        <f t="array" aca="1" ref="AS31" ca="1">'Tablica IO'!AS187*INDEX(Model!$C$93:$CA$93,Model!$A31) + IF(wplyw_cen_import_wlaczony,'Tablica IO'!AS265*INDEX(Model!$C$2:$CA$2,Model!$A31),'Tablica IO'!AS265*1)</f>
        <v>2.8379879509263955E-4</v>
      </c>
      <c r="AT31" s="222" cm="1">
        <f t="array" aca="1" ref="AT31" ca="1">'Tablica IO'!AT187*INDEX(Model!$C$93:$CA$93,Model!$A31) + IF(wplyw_cen_import_wlaczony,'Tablica IO'!AT265*INDEX(Model!$C$2:$CA$2,Model!$A31),'Tablica IO'!AT265*1)</f>
        <v>1.7546572291507614E-4</v>
      </c>
      <c r="AU31" s="222" cm="1">
        <f t="array" aca="1" ref="AU31" ca="1">'Tablica IO'!AU187*INDEX(Model!$C$93:$CA$93,Model!$A31) + IF(wplyw_cen_import_wlaczony,'Tablica IO'!AU265*INDEX(Model!$C$2:$CA$2,Model!$A31),'Tablica IO'!AU265*1)</f>
        <v>4.7192507947570769E-7</v>
      </c>
      <c r="AV31" s="222" cm="1">
        <f t="array" aca="1" ref="AV31" ca="1">'Tablica IO'!AV187*INDEX(Model!$C$93:$CA$93,Model!$A31) + IF(wplyw_cen_import_wlaczony,'Tablica IO'!AV265*INDEX(Model!$C$2:$CA$2,Model!$A31),'Tablica IO'!AV265*1)</f>
        <v>1.304819758866636E-3</v>
      </c>
      <c r="AW31" s="222" cm="1">
        <f t="array" aca="1" ref="AW31" ca="1">'Tablica IO'!AW187*INDEX(Model!$C$93:$CA$93,Model!$A31) + IF(wplyw_cen_import_wlaczony,'Tablica IO'!AW265*INDEX(Model!$C$2:$CA$2,Model!$A31),'Tablica IO'!AW265*1)</f>
        <v>3.1276673835727324E-4</v>
      </c>
      <c r="AX31" s="222" cm="1">
        <f t="array" aca="1" ref="AX31" ca="1">'Tablica IO'!AX187*INDEX(Model!$C$93:$CA$93,Model!$A31) + IF(wplyw_cen_import_wlaczony,'Tablica IO'!AX265*INDEX(Model!$C$2:$CA$2,Model!$A31),'Tablica IO'!AX265*1)</f>
        <v>1.2851644727426771E-4</v>
      </c>
      <c r="AY31" s="222" cm="1">
        <f t="array" aca="1" ref="AY31" ca="1">'Tablica IO'!AY187*INDEX(Model!$C$93:$CA$93,Model!$A31) + IF(wplyw_cen_import_wlaczony,'Tablica IO'!AY265*INDEX(Model!$C$2:$CA$2,Model!$A31),'Tablica IO'!AY265*1)</f>
        <v>2.3962740176139054E-3</v>
      </c>
      <c r="AZ31" s="222" cm="1">
        <f t="array" aca="1" ref="AZ31" ca="1">'Tablica IO'!AZ187*INDEX(Model!$C$93:$CA$93,Model!$A31) + IF(wplyw_cen_import_wlaczony,'Tablica IO'!AZ265*INDEX(Model!$C$2:$CA$2,Model!$A31),'Tablica IO'!AZ265*1)</f>
        <v>1.3145429110782423E-5</v>
      </c>
      <c r="BA31" s="222" cm="1">
        <f t="array" aca="1" ref="BA31" ca="1">'Tablica IO'!BA187*INDEX(Model!$C$93:$CA$93,Model!$A31) + IF(wplyw_cen_import_wlaczony,'Tablica IO'!BA265*INDEX(Model!$C$2:$CA$2,Model!$A31),'Tablica IO'!BA265*1)</f>
        <v>1.8247714807871618E-4</v>
      </c>
      <c r="BB31" s="222" cm="1">
        <f t="array" aca="1" ref="BB31" ca="1">'Tablica IO'!BB187*INDEX(Model!$C$93:$CA$93,Model!$A31) + IF(wplyw_cen_import_wlaczony,'Tablica IO'!BB265*INDEX(Model!$C$2:$CA$2,Model!$A31),'Tablica IO'!BB265*1)</f>
        <v>5.4852102489204753E-3</v>
      </c>
      <c r="BC31" s="222" cm="1">
        <f t="array" aca="1" ref="BC31" ca="1">'Tablica IO'!BC187*INDEX(Model!$C$93:$CA$93,Model!$A31) + IF(wplyw_cen_import_wlaczony,'Tablica IO'!BC265*INDEX(Model!$C$2:$CA$2,Model!$A31),'Tablica IO'!BC265*1)</f>
        <v>6.1093624612932237E-5</v>
      </c>
      <c r="BD31" s="222" cm="1">
        <f t="array" aca="1" ref="BD31" ca="1">'Tablica IO'!BD187*INDEX(Model!$C$93:$CA$93,Model!$A31) + IF(wplyw_cen_import_wlaczony,'Tablica IO'!BD265*INDEX(Model!$C$2:$CA$2,Model!$A31),'Tablica IO'!BD265*1)</f>
        <v>6.2682555293407539E-3</v>
      </c>
      <c r="BE31" s="222" cm="1">
        <f t="array" aca="1" ref="BE31" ca="1">'Tablica IO'!BE187*INDEX(Model!$C$93:$CA$93,Model!$A31) + IF(wplyw_cen_import_wlaczony,'Tablica IO'!BE265*INDEX(Model!$C$2:$CA$2,Model!$A31),'Tablica IO'!BE265*1)</f>
        <v>4.977137641599111E-3</v>
      </c>
      <c r="BF31" s="222" cm="1">
        <f t="array" aca="1" ref="BF31" ca="1">'Tablica IO'!BF187*INDEX(Model!$C$93:$CA$93,Model!$A31) + IF(wplyw_cen_import_wlaczony,'Tablica IO'!BF265*INDEX(Model!$C$2:$CA$2,Model!$A31),'Tablica IO'!BF265*1)</f>
        <v>2.4493105452766616E-3</v>
      </c>
      <c r="BG31" s="222" cm="1">
        <f t="array" aca="1" ref="BG31" ca="1">'Tablica IO'!BG187*INDEX(Model!$C$93:$CA$93,Model!$A31) + IF(wplyw_cen_import_wlaczony,'Tablica IO'!BG265*INDEX(Model!$C$2:$CA$2,Model!$A31),'Tablica IO'!BG265*1)</f>
        <v>4.8861313800535739E-5</v>
      </c>
      <c r="BH31" s="222" cm="1">
        <f t="array" aca="1" ref="BH31" ca="1">'Tablica IO'!BH187*INDEX(Model!$C$93:$CA$93,Model!$A31) + IF(wplyw_cen_import_wlaczony,'Tablica IO'!BH265*INDEX(Model!$C$2:$CA$2,Model!$A31),'Tablica IO'!BH265*1)</f>
        <v>2.3763712721465925E-3</v>
      </c>
      <c r="BI31" s="222" cm="1">
        <f t="array" aca="1" ref="BI31" ca="1">'Tablica IO'!BI187*INDEX(Model!$C$93:$CA$93,Model!$A31) + IF(wplyw_cen_import_wlaczony,'Tablica IO'!BI265*INDEX(Model!$C$2:$CA$2,Model!$A31),'Tablica IO'!BI265*1)</f>
        <v>0</v>
      </c>
      <c r="BJ31" s="222" cm="1">
        <f t="array" aca="1" ref="BJ31" ca="1">'Tablica IO'!BJ187*INDEX(Model!$C$93:$CA$93,Model!$A31) + IF(wplyw_cen_import_wlaczony,'Tablica IO'!BJ265*INDEX(Model!$C$2:$CA$2,Model!$A31),'Tablica IO'!BJ265*1)</f>
        <v>5.0014695552422304E-3</v>
      </c>
      <c r="BK31" s="222" cm="1">
        <f t="array" aca="1" ref="BK31" ca="1">'Tablica IO'!BK187*INDEX(Model!$C$93:$CA$93,Model!$A31) + IF(wplyw_cen_import_wlaczony,'Tablica IO'!BK265*INDEX(Model!$C$2:$CA$2,Model!$A31),'Tablica IO'!BK265*1)</f>
        <v>3.8690402521227853E-4</v>
      </c>
      <c r="BL31" s="222" cm="1">
        <f t="array" aca="1" ref="BL31" ca="1">'Tablica IO'!BL187*INDEX(Model!$C$93:$CA$93,Model!$A31) + IF(wplyw_cen_import_wlaczony,'Tablica IO'!BL265*INDEX(Model!$C$2:$CA$2,Model!$A31),'Tablica IO'!BL265*1)</f>
        <v>4.7888593851680212E-5</v>
      </c>
      <c r="BM31" s="222" cm="1">
        <f t="array" aca="1" ref="BM31" ca="1">'Tablica IO'!BM187*INDEX(Model!$C$93:$CA$93,Model!$A31) + IF(wplyw_cen_import_wlaczony,'Tablica IO'!BM265*INDEX(Model!$C$2:$CA$2,Model!$A31),'Tablica IO'!BM265*1)</f>
        <v>1.3785529166082907E-4</v>
      </c>
      <c r="BN31" s="222" cm="1">
        <f t="array" aca="1" ref="BN31" ca="1">'Tablica IO'!BN187*INDEX(Model!$C$93:$CA$93,Model!$A31) + IF(wplyw_cen_import_wlaczony,'Tablica IO'!BN265*INDEX(Model!$C$2:$CA$2,Model!$A31),'Tablica IO'!BN265*1)</f>
        <v>2.5314241310689907E-3</v>
      </c>
      <c r="BO31" s="222" cm="1">
        <f t="array" aca="1" ref="BO31" ca="1">'Tablica IO'!BO187*INDEX(Model!$C$93:$CA$93,Model!$A31) + IF(wplyw_cen_import_wlaczony,'Tablica IO'!BO265*INDEX(Model!$C$2:$CA$2,Model!$A31),'Tablica IO'!BO265*1)</f>
        <v>1.6920476049457514E-3</v>
      </c>
      <c r="BP31" s="222" cm="1">
        <f t="array" aca="1" ref="BP31" ca="1">'Tablica IO'!BP187*INDEX(Model!$C$93:$CA$93,Model!$A31) + IF(wplyw_cen_import_wlaczony,'Tablica IO'!BP265*INDEX(Model!$C$2:$CA$2,Model!$A31),'Tablica IO'!BP265*1)</f>
        <v>7.9477203459098558E-4</v>
      </c>
      <c r="BQ31" s="222" cm="1">
        <f t="array" aca="1" ref="BQ31" ca="1">'Tablica IO'!BQ187*INDEX(Model!$C$93:$CA$93,Model!$A31) + IF(wplyw_cen_import_wlaczony,'Tablica IO'!BQ265*INDEX(Model!$C$2:$CA$2,Model!$A31),'Tablica IO'!BQ265*1)</f>
        <v>8.4462416270633623E-4</v>
      </c>
      <c r="BR31" s="222" cm="1">
        <f t="array" aca="1" ref="BR31" ca="1">'Tablica IO'!BR187*INDEX(Model!$C$93:$CA$93,Model!$A31) + IF(wplyw_cen_import_wlaczony,'Tablica IO'!BR265*INDEX(Model!$C$2:$CA$2,Model!$A31),'Tablica IO'!BR265*1)</f>
        <v>1.4429737542912273E-3</v>
      </c>
      <c r="BS31" s="222" cm="1">
        <f t="array" aca="1" ref="BS31" ca="1">'Tablica IO'!BS187*INDEX(Model!$C$93:$CA$93,Model!$A31) + IF(wplyw_cen_import_wlaczony,'Tablica IO'!BS265*INDEX(Model!$C$2:$CA$2,Model!$A31),'Tablica IO'!BS265*1)</f>
        <v>1.3440622993538341E-3</v>
      </c>
      <c r="BT31" s="222" cm="1">
        <f t="array" aca="1" ref="BT31" ca="1">'Tablica IO'!BT187*INDEX(Model!$C$93:$CA$93,Model!$A31) + IF(wplyw_cen_import_wlaczony,'Tablica IO'!BT265*INDEX(Model!$C$2:$CA$2,Model!$A31),'Tablica IO'!BT265*1)</f>
        <v>2.8209650680996673E-4</v>
      </c>
      <c r="BU31" s="222" cm="1">
        <f t="array" aca="1" ref="BU31" ca="1">'Tablica IO'!BU187*INDEX(Model!$C$93:$CA$93,Model!$A31) + IF(wplyw_cen_import_wlaczony,'Tablica IO'!BU265*INDEX(Model!$C$2:$CA$2,Model!$A31),'Tablica IO'!BU265*1)</f>
        <v>2.9884616250159543E-3</v>
      </c>
      <c r="BV31" s="222" cm="1">
        <f t="array" aca="1" ref="BV31" ca="1">'Tablica IO'!BV187*INDEX(Model!$C$93:$CA$93,Model!$A31) + IF(wplyw_cen_import_wlaczony,'Tablica IO'!BV265*INDEX(Model!$C$2:$CA$2,Model!$A31),'Tablica IO'!BV265*1)</f>
        <v>5.2224797211969083E-4</v>
      </c>
      <c r="BW31" s="222" cm="1">
        <f t="array" aca="1" ref="BW31" ca="1">'Tablica IO'!BW187*INDEX(Model!$C$93:$CA$93,Model!$A31) + IF(wplyw_cen_import_wlaczony,'Tablica IO'!BW265*INDEX(Model!$C$2:$CA$2,Model!$A31),'Tablica IO'!BW265*1)</f>
        <v>8.3822641394171475E-4</v>
      </c>
      <c r="BX31" s="222" cm="1">
        <f t="array" aca="1" ref="BX31" ca="1">'Tablica IO'!BX187*INDEX(Model!$C$93:$CA$93,Model!$A31) + IF(wplyw_cen_import_wlaczony,'Tablica IO'!BX265*INDEX(Model!$C$2:$CA$2,Model!$A31),'Tablica IO'!BX265*1)</f>
        <v>4.4361742723589684E-2</v>
      </c>
      <c r="BY31" s="222" cm="1">
        <f t="array" aca="1" ref="BY31" ca="1">'Tablica IO'!BY187*INDEX(Model!$C$93:$CA$93,Model!$A31) + IF(wplyw_cen_import_wlaczony,'Tablica IO'!BY265*INDEX(Model!$C$2:$CA$2,Model!$A31),'Tablica IO'!BY265*1)</f>
        <v>1.0237573794164889E-4</v>
      </c>
      <c r="BZ31" s="222" cm="1">
        <f t="array" aca="1" ref="BZ31" ca="1">'Tablica IO'!BZ187*INDEX(Model!$C$93:$CA$93,Model!$A31) + IF(wplyw_cen_import_wlaczony,'Tablica IO'!BZ265*INDEX(Model!$C$2:$CA$2,Model!$A31),'Tablica IO'!BZ265*1)</f>
        <v>4.8075305830447999E-3</v>
      </c>
      <c r="CA31" s="222" cm="1">
        <f t="array" aca="1" ref="CA31" ca="1">'Tablica IO'!CA187*INDEX(Model!$C$93:$CA$93,Model!$A31) + IF(wplyw_cen_import_wlaczony,'Tablica IO'!CA265*INDEX(Model!$C$2:$CA$2,Model!$A31),'Tablica IO'!CA265*1)</f>
        <v>0</v>
      </c>
      <c r="CB31" s="247">
        <f ca="1">'Tablica IO'!CD187*INDEX(Model!$C$93:$CA$93,Model!$A31)+'Tablica IO'!CD265*INDEX(Model!$C$2:$CA$2,Model!$A31)</f>
        <v>8.1374064900417327E-3</v>
      </c>
      <c r="CC31" s="188">
        <f ca="1">'Tablica IO'!CE187*INDEX(Model!$C$93:$CA$93,Model!$A31)+'Tablica IO'!CE265*INDEX(Model!$C$2:$CA$2,Model!$A31)</f>
        <v>0</v>
      </c>
      <c r="CD31" s="188">
        <f ca="1">'Tablica IO'!CF187*INDEX(Model!$C$93:$CA$93,Model!$A31)+'Tablica IO'!CF265*INDEX(Model!$C$2:$CA$2,Model!$A31)</f>
        <v>-4.8083985273964574E-3</v>
      </c>
      <c r="CE31" s="189">
        <f ca="1">'Tablica IO'!CG187*INDEX(Model!$C$93:$CA$93,Model!$A31)+'Tablica IO'!CG265*INDEX(Model!$C$2:$CA$2,Model!$A31)</f>
        <v>1.6003196262928236E-2</v>
      </c>
    </row>
    <row r="32" spans="1:83" x14ac:dyDescent="0.25">
      <c r="A32" s="164">
        <v>20</v>
      </c>
      <c r="B32" s="172" t="s">
        <v>19</v>
      </c>
      <c r="C32" s="221" cm="1">
        <f t="array" aca="1" ref="C32" ca="1">'Tablica IO'!C188*INDEX(Model!$C$93:$CA$93,Model!$A32) + IF(wplyw_cen_import_wlaczony,'Tablica IO'!C266*INDEX(Model!$C$2:$CA$2,Model!$A32),'Tablica IO'!C266*1)</f>
        <v>4.6485661965890268E-4</v>
      </c>
      <c r="D32" s="222" cm="1">
        <f t="array" aca="1" ref="D32" ca="1">'Tablica IO'!D188*INDEX(Model!$C$93:$CA$93,Model!$A32) + IF(wplyw_cen_import_wlaczony,'Tablica IO'!D266*INDEX(Model!$C$2:$CA$2,Model!$A32),'Tablica IO'!D266*1)</f>
        <v>5.894920456156657E-4</v>
      </c>
      <c r="E32" s="222" cm="1">
        <f t="array" aca="1" ref="E32" ca="1">'Tablica IO'!E188*INDEX(Model!$C$93:$CA$93,Model!$A32) + IF(wplyw_cen_import_wlaczony,'Tablica IO'!E266*INDEX(Model!$C$2:$CA$2,Model!$A32),'Tablica IO'!E266*1)</f>
        <v>3.2019611452887778E-4</v>
      </c>
      <c r="F32" s="222" cm="1">
        <f t="array" aca="1" ref="F32" ca="1">'Tablica IO'!F188*INDEX(Model!$C$93:$CA$93,Model!$A32) + IF(wplyw_cen_import_wlaczony,'Tablica IO'!F266*INDEX(Model!$C$2:$CA$2,Model!$A32),'Tablica IO'!F266*1)</f>
        <v>5.5989393622400338E-3</v>
      </c>
      <c r="G32" s="222" cm="1">
        <f t="array" aca="1" ref="G32" ca="1">'Tablica IO'!G188*INDEX(Model!$C$93:$CA$93,Model!$A32) + IF(wplyw_cen_import_wlaczony,'Tablica IO'!G266*INDEX(Model!$C$2:$CA$2,Model!$A32),'Tablica IO'!G266*1)</f>
        <v>6.1666920877947538E-3</v>
      </c>
      <c r="H32" s="222" cm="1">
        <f t="array" aca="1" ref="H32" ca="1">'Tablica IO'!H188*INDEX(Model!$C$93:$CA$93,Model!$A32) + IF(wplyw_cen_import_wlaczony,'Tablica IO'!H266*INDEX(Model!$C$2:$CA$2,Model!$A32),'Tablica IO'!H266*1)</f>
        <v>8.7385190579026303E-4</v>
      </c>
      <c r="I32" s="222" cm="1">
        <f t="array" aca="1" ref="I32" ca="1">'Tablica IO'!I188*INDEX(Model!$C$93:$CA$93,Model!$A32) + IF(wplyw_cen_import_wlaczony,'Tablica IO'!I266*INDEX(Model!$C$2:$CA$2,Model!$A32),'Tablica IO'!I266*1)</f>
        <v>1.2047723364828232E-2</v>
      </c>
      <c r="J32" s="222" cm="1">
        <f t="array" aca="1" ref="J32" ca="1">'Tablica IO'!J188*INDEX(Model!$C$93:$CA$93,Model!$A32) + IF(wplyw_cen_import_wlaczony,'Tablica IO'!J266*INDEX(Model!$C$2:$CA$2,Model!$A32),'Tablica IO'!J266*1)</f>
        <v>4.149245551838273E-4</v>
      </c>
      <c r="K32" s="222" cm="1">
        <f t="array" aca="1" ref="K32" ca="1">'Tablica IO'!K188*INDEX(Model!$C$93:$CA$93,Model!$A32) + IF(wplyw_cen_import_wlaczony,'Tablica IO'!K266*INDEX(Model!$C$2:$CA$2,Model!$A32),'Tablica IO'!K266*1)</f>
        <v>6.9179314487203278E-3</v>
      </c>
      <c r="L32" s="222" cm="1">
        <f t="array" aca="1" ref="L32" ca="1">'Tablica IO'!L188*INDEX(Model!$C$93:$CA$93,Model!$A32) + IF(wplyw_cen_import_wlaczony,'Tablica IO'!L266*INDEX(Model!$C$2:$CA$2,Model!$A32),'Tablica IO'!L266*1)</f>
        <v>1.5350205325835272E-3</v>
      </c>
      <c r="M32" s="222" cm="1">
        <f t="array" aca="1" ref="M32" ca="1">'Tablica IO'!M188*INDEX(Model!$C$93:$CA$93,Model!$A32) + IF(wplyw_cen_import_wlaczony,'Tablica IO'!M266*INDEX(Model!$C$2:$CA$2,Model!$A32),'Tablica IO'!M266*1)</f>
        <v>2.1662585708198605E-3</v>
      </c>
      <c r="N32" s="222" cm="1">
        <f t="array" aca="1" ref="N32" ca="1">'Tablica IO'!N188*INDEX(Model!$C$93:$CA$93,Model!$A32) + IF(wplyw_cen_import_wlaczony,'Tablica IO'!N266*INDEX(Model!$C$2:$CA$2,Model!$A32),'Tablica IO'!N266*1)</f>
        <v>4.1542609391201149E-3</v>
      </c>
      <c r="O32" s="222" cm="1">
        <f t="array" aca="1" ref="O32" ca="1">'Tablica IO'!O188*INDEX(Model!$C$93:$CA$93,Model!$A32) + IF(wplyw_cen_import_wlaczony,'Tablica IO'!O266*INDEX(Model!$C$2:$CA$2,Model!$A32),'Tablica IO'!O266*1)</f>
        <v>1.3921845703586233E-3</v>
      </c>
      <c r="P32" s="222" cm="1">
        <f t="array" aca="1" ref="P32" ca="1">'Tablica IO'!P188*INDEX(Model!$C$93:$CA$93,Model!$A32) + IF(wplyw_cen_import_wlaczony,'Tablica IO'!P266*INDEX(Model!$C$2:$CA$2,Model!$A32),'Tablica IO'!P266*1)</f>
        <v>3.3768046716483096E-3</v>
      </c>
      <c r="Q32" s="222" cm="1">
        <f t="array" aca="1" ref="Q32" ca="1">'Tablica IO'!Q188*INDEX(Model!$C$93:$CA$93,Model!$A32) + IF(wplyw_cen_import_wlaczony,'Tablica IO'!Q266*INDEX(Model!$C$2:$CA$2,Model!$A32),'Tablica IO'!Q266*1)</f>
        <v>1.2354864980539946E-3</v>
      </c>
      <c r="R32" s="222" cm="1">
        <f t="array" aca="1" ref="R32" ca="1">'Tablica IO'!R188*INDEX(Model!$C$93:$CA$93,Model!$A32) + IF(wplyw_cen_import_wlaczony,'Tablica IO'!R266*INDEX(Model!$C$2:$CA$2,Model!$A32),'Tablica IO'!R266*1)</f>
        <v>2.8475891664360578E-3</v>
      </c>
      <c r="S32" s="222" cm="1">
        <f t="array" aca="1" ref="S32" ca="1">'Tablica IO'!S188*INDEX(Model!$C$93:$CA$93,Model!$A32) + IF(wplyw_cen_import_wlaczony,'Tablica IO'!S266*INDEX(Model!$C$2:$CA$2,Model!$A32),'Tablica IO'!S266*1)</f>
        <v>7.7958820296675268E-4</v>
      </c>
      <c r="T32" s="222" cm="1">
        <f t="array" aca="1" ref="T32" ca="1">'Tablica IO'!T188*INDEX(Model!$C$93:$CA$93,Model!$A32) + IF(wplyw_cen_import_wlaczony,'Tablica IO'!T266*INDEX(Model!$C$2:$CA$2,Model!$A32),'Tablica IO'!T266*1)</f>
        <v>8.5939091303089098E-3</v>
      </c>
      <c r="U32" s="222" cm="1">
        <f t="array" aca="1" ref="U32" ca="1">'Tablica IO'!U188*INDEX(Model!$C$93:$CA$93,Model!$A32) + IF(wplyw_cen_import_wlaczony,'Tablica IO'!U266*INDEX(Model!$C$2:$CA$2,Model!$A32),'Tablica IO'!U266*1)</f>
        <v>7.5238629786007153E-3</v>
      </c>
      <c r="V32" s="222" cm="1">
        <f t="array" aca="1" ref="V32" ca="1">'Tablica IO'!V188*INDEX(Model!$C$93:$CA$93,Model!$A32) + IF(wplyw_cen_import_wlaczony,'Tablica IO'!V266*INDEX(Model!$C$2:$CA$2,Model!$A32),'Tablica IO'!V266*1)</f>
        <v>0.31679182824212149</v>
      </c>
      <c r="W32" s="222" cm="1">
        <f t="array" aca="1" ref="W32" ca="1">'Tablica IO'!W188*INDEX(Model!$C$93:$CA$93,Model!$A32) + IF(wplyw_cen_import_wlaczony,'Tablica IO'!W266*INDEX(Model!$C$2:$CA$2,Model!$A32),'Tablica IO'!W266*1)</f>
        <v>0.18519186569675816</v>
      </c>
      <c r="X32" s="222" cm="1">
        <f t="array" aca="1" ref="X32" ca="1">'Tablica IO'!X188*INDEX(Model!$C$93:$CA$93,Model!$A32) + IF(wplyw_cen_import_wlaczony,'Tablica IO'!X266*INDEX(Model!$C$2:$CA$2,Model!$A32),'Tablica IO'!X266*1)</f>
        <v>4.3986326242746364E-2</v>
      </c>
      <c r="Y32" s="222" cm="1">
        <f t="array" aca="1" ref="Y32" ca="1">'Tablica IO'!Y188*INDEX(Model!$C$93:$CA$93,Model!$A32) + IF(wplyw_cen_import_wlaczony,'Tablica IO'!Y266*INDEX(Model!$C$2:$CA$2,Model!$A32),'Tablica IO'!Y266*1)</f>
        <v>9.9513756171807702E-2</v>
      </c>
      <c r="Z32" s="222" cm="1">
        <f t="array" aca="1" ref="Z32" ca="1">'Tablica IO'!Z188*INDEX(Model!$C$93:$CA$93,Model!$A32) + IF(wplyw_cen_import_wlaczony,'Tablica IO'!Z266*INDEX(Model!$C$2:$CA$2,Model!$A32),'Tablica IO'!Z266*1)</f>
        <v>7.7121266277046699E-2</v>
      </c>
      <c r="AA32" s="222" cm="1">
        <f t="array" aca="1" ref="AA32" ca="1">'Tablica IO'!AA188*INDEX(Model!$C$93:$CA$93,Model!$A32) + IF(wplyw_cen_import_wlaczony,'Tablica IO'!AA266*INDEX(Model!$C$2:$CA$2,Model!$A32),'Tablica IO'!AA266*1)</f>
        <v>5.167878102435719E-2</v>
      </c>
      <c r="AB32" s="222" cm="1">
        <f t="array" aca="1" ref="AB32" ca="1">'Tablica IO'!AB188*INDEX(Model!$C$93:$CA$93,Model!$A32) + IF(wplyw_cen_import_wlaczony,'Tablica IO'!AB266*INDEX(Model!$C$2:$CA$2,Model!$A32),'Tablica IO'!AB266*1)</f>
        <v>5.9415710385961898E-2</v>
      </c>
      <c r="AC32" s="222" cm="1">
        <f t="array" aca="1" ref="AC32" ca="1">'Tablica IO'!AC188*INDEX(Model!$C$93:$CA$93,Model!$A32) + IF(wplyw_cen_import_wlaczony,'Tablica IO'!AC266*INDEX(Model!$C$2:$CA$2,Model!$A32),'Tablica IO'!AC266*1)</f>
        <v>1.5022523244480238E-2</v>
      </c>
      <c r="AD32" s="222" cm="1">
        <f t="array" aca="1" ref="AD32" ca="1">'Tablica IO'!AD188*INDEX(Model!$C$93:$CA$93,Model!$A32) + IF(wplyw_cen_import_wlaczony,'Tablica IO'!AD266*INDEX(Model!$C$2:$CA$2,Model!$A32),'Tablica IO'!AD266*1)</f>
        <v>4.8039849450295088E-2</v>
      </c>
      <c r="AE32" s="222" cm="1">
        <f t="array" aca="1" ref="AE32" ca="1">'Tablica IO'!AE188*INDEX(Model!$C$93:$CA$93,Model!$A32) + IF(wplyw_cen_import_wlaczony,'Tablica IO'!AE266*INDEX(Model!$C$2:$CA$2,Model!$A32),'Tablica IO'!AE266*1)</f>
        <v>2.4789013572811908E-2</v>
      </c>
      <c r="AF32" s="222" cm="1">
        <f t="array" aca="1" ref="AF32" ca="1">'Tablica IO'!AF188*INDEX(Model!$C$93:$CA$93,Model!$A32) + IF(wplyw_cen_import_wlaczony,'Tablica IO'!AF266*INDEX(Model!$C$2:$CA$2,Model!$A32),'Tablica IO'!AF266*1)</f>
        <v>1.4298234609423767E-3</v>
      </c>
      <c r="AG32" s="222" cm="1">
        <f t="array" aca="1" ref="AG32" ca="1">'Tablica IO'!AG188*INDEX(Model!$C$93:$CA$93,Model!$A32) + IF(wplyw_cen_import_wlaczony,'Tablica IO'!AG266*INDEX(Model!$C$2:$CA$2,Model!$A32),'Tablica IO'!AG266*1)</f>
        <v>1.5975397915651071E-3</v>
      </c>
      <c r="AH32" s="222" cm="1">
        <f t="array" aca="1" ref="AH32" ca="1">'Tablica IO'!AH188*INDEX(Model!$C$93:$CA$93,Model!$A32) + IF(wplyw_cen_import_wlaczony,'Tablica IO'!AH266*INDEX(Model!$C$2:$CA$2,Model!$A32),'Tablica IO'!AH266*1)</f>
        <v>0.13346048744798933</v>
      </c>
      <c r="AI32" s="222" cm="1">
        <f t="array" aca="1" ref="AI32" ca="1">'Tablica IO'!AI188*INDEX(Model!$C$93:$CA$93,Model!$A32) + IF(wplyw_cen_import_wlaczony,'Tablica IO'!AI266*INDEX(Model!$C$2:$CA$2,Model!$A32),'Tablica IO'!AI266*1)</f>
        <v>1.4747957517002672E-3</v>
      </c>
      <c r="AJ32" s="222" cm="1">
        <f t="array" aca="1" ref="AJ32" ca="1">'Tablica IO'!AJ188*INDEX(Model!$C$93:$CA$93,Model!$A32) + IF(wplyw_cen_import_wlaczony,'Tablica IO'!AJ266*INDEX(Model!$C$2:$CA$2,Model!$A32),'Tablica IO'!AJ266*1)</f>
        <v>9.9728033068960768E-3</v>
      </c>
      <c r="AK32" s="222" cm="1">
        <f t="array" aca="1" ref="AK32" ca="1">'Tablica IO'!AK188*INDEX(Model!$C$93:$CA$93,Model!$A32) + IF(wplyw_cen_import_wlaczony,'Tablica IO'!AK266*INDEX(Model!$C$2:$CA$2,Model!$A32),'Tablica IO'!AK266*1)</f>
        <v>2.3900018247338881E-3</v>
      </c>
      <c r="AL32" s="222" cm="1">
        <f t="array" aca="1" ref="AL32" ca="1">'Tablica IO'!AL188*INDEX(Model!$C$93:$CA$93,Model!$A32) + IF(wplyw_cen_import_wlaczony,'Tablica IO'!AL266*INDEX(Model!$C$2:$CA$2,Model!$A32),'Tablica IO'!AL266*1)</f>
        <v>4.71698223587169E-3</v>
      </c>
      <c r="AM32" s="222" cm="1">
        <f t="array" aca="1" ref="AM32" ca="1">'Tablica IO'!AM188*INDEX(Model!$C$93:$CA$93,Model!$A32) + IF(wplyw_cen_import_wlaczony,'Tablica IO'!AM266*INDEX(Model!$C$2:$CA$2,Model!$A32),'Tablica IO'!AM266*1)</f>
        <v>1.1857082126341956E-3</v>
      </c>
      <c r="AN32" s="222" cm="1">
        <f t="array" aca="1" ref="AN32" ca="1">'Tablica IO'!AN188*INDEX(Model!$C$93:$CA$93,Model!$A32) + IF(wplyw_cen_import_wlaczony,'Tablica IO'!AN266*INDEX(Model!$C$2:$CA$2,Model!$A32),'Tablica IO'!AN266*1)</f>
        <v>2.431701032200161E-3</v>
      </c>
      <c r="AO32" s="222" cm="1">
        <f t="array" aca="1" ref="AO32" ca="1">'Tablica IO'!AO188*INDEX(Model!$C$93:$CA$93,Model!$A32) + IF(wplyw_cen_import_wlaczony,'Tablica IO'!AO266*INDEX(Model!$C$2:$CA$2,Model!$A32),'Tablica IO'!AO266*1)</f>
        <v>1.1429840252173587E-3</v>
      </c>
      <c r="AP32" s="222" cm="1">
        <f t="array" aca="1" ref="AP32" ca="1">'Tablica IO'!AP188*INDEX(Model!$C$93:$CA$93,Model!$A32) + IF(wplyw_cen_import_wlaczony,'Tablica IO'!AP266*INDEX(Model!$C$2:$CA$2,Model!$A32),'Tablica IO'!AP266*1)</f>
        <v>2.8918742176868589E-4</v>
      </c>
      <c r="AQ32" s="222" cm="1">
        <f t="array" aca="1" ref="AQ32" ca="1">'Tablica IO'!AQ188*INDEX(Model!$C$93:$CA$93,Model!$A32) + IF(wplyw_cen_import_wlaczony,'Tablica IO'!AQ266*INDEX(Model!$C$2:$CA$2,Model!$A32),'Tablica IO'!AQ266*1)</f>
        <v>1.1320470288469588E-4</v>
      </c>
      <c r="AR32" s="222" cm="1">
        <f t="array" aca="1" ref="AR32" ca="1">'Tablica IO'!AR188*INDEX(Model!$C$93:$CA$93,Model!$A32) + IF(wplyw_cen_import_wlaczony,'Tablica IO'!AR266*INDEX(Model!$C$2:$CA$2,Model!$A32),'Tablica IO'!AR266*1)</f>
        <v>5.2122797342120619E-5</v>
      </c>
      <c r="AS32" s="222" cm="1">
        <f t="array" aca="1" ref="AS32" ca="1">'Tablica IO'!AS188*INDEX(Model!$C$93:$CA$93,Model!$A32) + IF(wplyw_cen_import_wlaczony,'Tablica IO'!AS266*INDEX(Model!$C$2:$CA$2,Model!$A32),'Tablica IO'!AS266*1)</f>
        <v>4.4071054794739858E-4</v>
      </c>
      <c r="AT32" s="222" cm="1">
        <f t="array" aca="1" ref="AT32" ca="1">'Tablica IO'!AT188*INDEX(Model!$C$93:$CA$93,Model!$A32) + IF(wplyw_cen_import_wlaczony,'Tablica IO'!AT266*INDEX(Model!$C$2:$CA$2,Model!$A32),'Tablica IO'!AT266*1)</f>
        <v>3.5225339256280612E-4</v>
      </c>
      <c r="AU32" s="222" cm="1">
        <f t="array" aca="1" ref="AU32" ca="1">'Tablica IO'!AU188*INDEX(Model!$C$93:$CA$93,Model!$A32) + IF(wplyw_cen_import_wlaczony,'Tablica IO'!AU266*INDEX(Model!$C$2:$CA$2,Model!$A32),'Tablica IO'!AU266*1)</f>
        <v>0</v>
      </c>
      <c r="AV32" s="222" cm="1">
        <f t="array" aca="1" ref="AV32" ca="1">'Tablica IO'!AV188*INDEX(Model!$C$93:$CA$93,Model!$A32) + IF(wplyw_cen_import_wlaczony,'Tablica IO'!AV266*INDEX(Model!$C$2:$CA$2,Model!$A32),'Tablica IO'!AV266*1)</f>
        <v>8.7038264704620031E-4</v>
      </c>
      <c r="AW32" s="222" cm="1">
        <f t="array" aca="1" ref="AW32" ca="1">'Tablica IO'!AW188*INDEX(Model!$C$93:$CA$93,Model!$A32) + IF(wplyw_cen_import_wlaczony,'Tablica IO'!AW266*INDEX(Model!$C$2:$CA$2,Model!$A32),'Tablica IO'!AW266*1)</f>
        <v>3.4068126170784145E-4</v>
      </c>
      <c r="AX32" s="222" cm="1">
        <f t="array" aca="1" ref="AX32" ca="1">'Tablica IO'!AX188*INDEX(Model!$C$93:$CA$93,Model!$A32) + IF(wplyw_cen_import_wlaczony,'Tablica IO'!AX266*INDEX(Model!$C$2:$CA$2,Model!$A32),'Tablica IO'!AX266*1)</f>
        <v>0</v>
      </c>
      <c r="AY32" s="222" cm="1">
        <f t="array" aca="1" ref="AY32" ca="1">'Tablica IO'!AY188*INDEX(Model!$C$93:$CA$93,Model!$A32) + IF(wplyw_cen_import_wlaczony,'Tablica IO'!AY266*INDEX(Model!$C$2:$CA$2,Model!$A32),'Tablica IO'!AY266*1)</f>
        <v>1.3339291088558996E-4</v>
      </c>
      <c r="AZ32" s="222" cm="1">
        <f t="array" aca="1" ref="AZ32" ca="1">'Tablica IO'!AZ188*INDEX(Model!$C$93:$CA$93,Model!$A32) + IF(wplyw_cen_import_wlaczony,'Tablica IO'!AZ266*INDEX(Model!$C$2:$CA$2,Model!$A32),'Tablica IO'!AZ266*1)</f>
        <v>0</v>
      </c>
      <c r="BA32" s="222" cm="1">
        <f t="array" aca="1" ref="BA32" ca="1">'Tablica IO'!BA188*INDEX(Model!$C$93:$CA$93,Model!$A32) + IF(wplyw_cen_import_wlaczony,'Tablica IO'!BA266*INDEX(Model!$C$2:$CA$2,Model!$A32),'Tablica IO'!BA266*1)</f>
        <v>6.7445752044128174E-7</v>
      </c>
      <c r="BB32" s="222" cm="1">
        <f t="array" aca="1" ref="BB32" ca="1">'Tablica IO'!BB188*INDEX(Model!$C$93:$CA$93,Model!$A32) + IF(wplyw_cen_import_wlaczony,'Tablica IO'!BB266*INDEX(Model!$C$2:$CA$2,Model!$A32),'Tablica IO'!BB266*1)</f>
        <v>6.6557314009218496E-4</v>
      </c>
      <c r="BC32" s="222" cm="1">
        <f t="array" aca="1" ref="BC32" ca="1">'Tablica IO'!BC188*INDEX(Model!$C$93:$CA$93,Model!$A32) + IF(wplyw_cen_import_wlaczony,'Tablica IO'!BC266*INDEX(Model!$C$2:$CA$2,Model!$A32),'Tablica IO'!BC266*1)</f>
        <v>3.8702666742655156E-5</v>
      </c>
      <c r="BD32" s="222" cm="1">
        <f t="array" aca="1" ref="BD32" ca="1">'Tablica IO'!BD188*INDEX(Model!$C$93:$CA$93,Model!$A32) + IF(wplyw_cen_import_wlaczony,'Tablica IO'!BD266*INDEX(Model!$C$2:$CA$2,Model!$A32),'Tablica IO'!BD266*1)</f>
        <v>1.2202227246431884E-4</v>
      </c>
      <c r="BE32" s="222" cm="1">
        <f t="array" aca="1" ref="BE32" ca="1">'Tablica IO'!BE188*INDEX(Model!$C$93:$CA$93,Model!$A32) + IF(wplyw_cen_import_wlaczony,'Tablica IO'!BE266*INDEX(Model!$C$2:$CA$2,Model!$A32),'Tablica IO'!BE266*1)</f>
        <v>3.2981879801009485E-3</v>
      </c>
      <c r="BF32" s="222" cm="1">
        <f t="array" aca="1" ref="BF32" ca="1">'Tablica IO'!BF188*INDEX(Model!$C$93:$CA$93,Model!$A32) + IF(wplyw_cen_import_wlaczony,'Tablica IO'!BF266*INDEX(Model!$C$2:$CA$2,Model!$A32),'Tablica IO'!BF266*1)</f>
        <v>6.3370266484153153E-3</v>
      </c>
      <c r="BG32" s="222" cm="1">
        <f t="array" aca="1" ref="BG32" ca="1">'Tablica IO'!BG188*INDEX(Model!$C$93:$CA$93,Model!$A32) + IF(wplyw_cen_import_wlaczony,'Tablica IO'!BG266*INDEX(Model!$C$2:$CA$2,Model!$A32),'Tablica IO'!BG266*1)</f>
        <v>1.5364902496908849E-3</v>
      </c>
      <c r="BH32" s="222" cm="1">
        <f t="array" aca="1" ref="BH32" ca="1">'Tablica IO'!BH188*INDEX(Model!$C$93:$CA$93,Model!$A32) + IF(wplyw_cen_import_wlaczony,'Tablica IO'!BH266*INDEX(Model!$C$2:$CA$2,Model!$A32),'Tablica IO'!BH266*1)</f>
        <v>5.5872745578648751E-4</v>
      </c>
      <c r="BI32" s="222" cm="1">
        <f t="array" aca="1" ref="BI32" ca="1">'Tablica IO'!BI188*INDEX(Model!$C$93:$CA$93,Model!$A32) + IF(wplyw_cen_import_wlaczony,'Tablica IO'!BI266*INDEX(Model!$C$2:$CA$2,Model!$A32),'Tablica IO'!BI266*1)</f>
        <v>3.0176661412887083E-5</v>
      </c>
      <c r="BJ32" s="222" cm="1">
        <f t="array" aca="1" ref="BJ32" ca="1">'Tablica IO'!BJ188*INDEX(Model!$C$93:$CA$93,Model!$A32) + IF(wplyw_cen_import_wlaczony,'Tablica IO'!BJ266*INDEX(Model!$C$2:$CA$2,Model!$A32),'Tablica IO'!BJ266*1)</f>
        <v>4.7798894271033768E-3</v>
      </c>
      <c r="BK32" s="222" cm="1">
        <f t="array" aca="1" ref="BK32" ca="1">'Tablica IO'!BK188*INDEX(Model!$C$93:$CA$93,Model!$A32) + IF(wplyw_cen_import_wlaczony,'Tablica IO'!BK266*INDEX(Model!$C$2:$CA$2,Model!$A32),'Tablica IO'!BK266*1)</f>
        <v>5.2553590222609417E-5</v>
      </c>
      <c r="BL32" s="222" cm="1">
        <f t="array" aca="1" ref="BL32" ca="1">'Tablica IO'!BL188*INDEX(Model!$C$93:$CA$93,Model!$A32) + IF(wplyw_cen_import_wlaczony,'Tablica IO'!BL266*INDEX(Model!$C$2:$CA$2,Model!$A32),'Tablica IO'!BL266*1)</f>
        <v>9.0250854532307755E-7</v>
      </c>
      <c r="BM32" s="222" cm="1">
        <f t="array" aca="1" ref="BM32" ca="1">'Tablica IO'!BM188*INDEX(Model!$C$93:$CA$93,Model!$A32) + IF(wplyw_cen_import_wlaczony,'Tablica IO'!BM266*INDEX(Model!$C$2:$CA$2,Model!$A32),'Tablica IO'!BM266*1)</f>
        <v>6.4688639388248484E-5</v>
      </c>
      <c r="BN32" s="222" cm="1">
        <f t="array" aca="1" ref="BN32" ca="1">'Tablica IO'!BN188*INDEX(Model!$C$93:$CA$93,Model!$A32) + IF(wplyw_cen_import_wlaczony,'Tablica IO'!BN266*INDEX(Model!$C$2:$CA$2,Model!$A32),'Tablica IO'!BN266*1)</f>
        <v>3.0352077899344497E-3</v>
      </c>
      <c r="BO32" s="222" cm="1">
        <f t="array" aca="1" ref="BO32" ca="1">'Tablica IO'!BO188*INDEX(Model!$C$93:$CA$93,Model!$A32) + IF(wplyw_cen_import_wlaczony,'Tablica IO'!BO266*INDEX(Model!$C$2:$CA$2,Model!$A32),'Tablica IO'!BO266*1)</f>
        <v>1.0172532142021301E-3</v>
      </c>
      <c r="BP32" s="222" cm="1">
        <f t="array" aca="1" ref="BP32" ca="1">'Tablica IO'!BP188*INDEX(Model!$C$93:$CA$93,Model!$A32) + IF(wplyw_cen_import_wlaczony,'Tablica IO'!BP266*INDEX(Model!$C$2:$CA$2,Model!$A32),'Tablica IO'!BP266*1)</f>
        <v>8.3819147892771374E-4</v>
      </c>
      <c r="BQ32" s="222" cm="1">
        <f t="array" aca="1" ref="BQ32" ca="1">'Tablica IO'!BQ188*INDEX(Model!$C$93:$CA$93,Model!$A32) + IF(wplyw_cen_import_wlaczony,'Tablica IO'!BQ266*INDEX(Model!$C$2:$CA$2,Model!$A32),'Tablica IO'!BQ266*1)</f>
        <v>1.5854100361635748E-4</v>
      </c>
      <c r="BR32" s="222" cm="1">
        <f t="array" aca="1" ref="BR32" ca="1">'Tablica IO'!BR188*INDEX(Model!$C$93:$CA$93,Model!$A32) + IF(wplyw_cen_import_wlaczony,'Tablica IO'!BR266*INDEX(Model!$C$2:$CA$2,Model!$A32),'Tablica IO'!BR266*1)</f>
        <v>1.9431018849272246E-4</v>
      </c>
      <c r="BS32" s="222" cm="1">
        <f t="array" aca="1" ref="BS32" ca="1">'Tablica IO'!BS188*INDEX(Model!$C$93:$CA$93,Model!$A32) + IF(wplyw_cen_import_wlaczony,'Tablica IO'!BS266*INDEX(Model!$C$2:$CA$2,Model!$A32),'Tablica IO'!BS266*1)</f>
        <v>1.4653572343297917E-6</v>
      </c>
      <c r="BT32" s="222" cm="1">
        <f t="array" aca="1" ref="BT32" ca="1">'Tablica IO'!BT188*INDEX(Model!$C$93:$CA$93,Model!$A32) + IF(wplyw_cen_import_wlaczony,'Tablica IO'!BT266*INDEX(Model!$C$2:$CA$2,Model!$A32),'Tablica IO'!BT266*1)</f>
        <v>2.5168911105754888E-4</v>
      </c>
      <c r="BU32" s="222" cm="1">
        <f t="array" aca="1" ref="BU32" ca="1">'Tablica IO'!BU188*INDEX(Model!$C$93:$CA$93,Model!$A32) + IF(wplyw_cen_import_wlaczony,'Tablica IO'!BU266*INDEX(Model!$C$2:$CA$2,Model!$A32),'Tablica IO'!BU266*1)</f>
        <v>4.982345763646142E-4</v>
      </c>
      <c r="BV32" s="222" cm="1">
        <f t="array" aca="1" ref="BV32" ca="1">'Tablica IO'!BV188*INDEX(Model!$C$93:$CA$93,Model!$A32) + IF(wplyw_cen_import_wlaczony,'Tablica IO'!BV266*INDEX(Model!$C$2:$CA$2,Model!$A32),'Tablica IO'!BV266*1)</f>
        <v>0</v>
      </c>
      <c r="BW32" s="222" cm="1">
        <f t="array" aca="1" ref="BW32" ca="1">'Tablica IO'!BW188*INDEX(Model!$C$93:$CA$93,Model!$A32) + IF(wplyw_cen_import_wlaczony,'Tablica IO'!BW266*INDEX(Model!$C$2:$CA$2,Model!$A32),'Tablica IO'!BW266*1)</f>
        <v>6.7969437219197952E-5</v>
      </c>
      <c r="BX32" s="222" cm="1">
        <f t="array" aca="1" ref="BX32" ca="1">'Tablica IO'!BX188*INDEX(Model!$C$93:$CA$93,Model!$A32) + IF(wplyw_cen_import_wlaczony,'Tablica IO'!BX266*INDEX(Model!$C$2:$CA$2,Model!$A32),'Tablica IO'!BX266*1)</f>
        <v>9.5008866405175592E-3</v>
      </c>
      <c r="BY32" s="222" cm="1">
        <f t="array" aca="1" ref="BY32" ca="1">'Tablica IO'!BY188*INDEX(Model!$C$93:$CA$93,Model!$A32) + IF(wplyw_cen_import_wlaczony,'Tablica IO'!BY266*INDEX(Model!$C$2:$CA$2,Model!$A32),'Tablica IO'!BY266*1)</f>
        <v>1.1675777456912591E-3</v>
      </c>
      <c r="BZ32" s="222" cm="1">
        <f t="array" aca="1" ref="BZ32" ca="1">'Tablica IO'!BZ188*INDEX(Model!$C$93:$CA$93,Model!$A32) + IF(wplyw_cen_import_wlaczony,'Tablica IO'!BZ266*INDEX(Model!$C$2:$CA$2,Model!$A32),'Tablica IO'!BZ266*1)</f>
        <v>2.5590435353398042E-3</v>
      </c>
      <c r="CA32" s="222" cm="1">
        <f t="array" aca="1" ref="CA32" ca="1">'Tablica IO'!CA188*INDEX(Model!$C$93:$CA$93,Model!$A32) + IF(wplyw_cen_import_wlaczony,'Tablica IO'!CA266*INDEX(Model!$C$2:$CA$2,Model!$A32),'Tablica IO'!CA266*1)</f>
        <v>0</v>
      </c>
      <c r="CB32" s="247">
        <f ca="1">'Tablica IO'!CD188*INDEX(Model!$C$93:$CA$93,Model!$A32)+'Tablica IO'!CD266*INDEX(Model!$C$2:$CA$2,Model!$A32)</f>
        <v>3.3856032797828387E-4</v>
      </c>
      <c r="CC32" s="188">
        <f ca="1">'Tablica IO'!CE188*INDEX(Model!$C$93:$CA$93,Model!$A32)+'Tablica IO'!CE266*INDEX(Model!$C$2:$CA$2,Model!$A32)</f>
        <v>0</v>
      </c>
      <c r="CD32" s="188">
        <f ca="1">'Tablica IO'!CF188*INDEX(Model!$C$93:$CA$93,Model!$A32)+'Tablica IO'!CF266*INDEX(Model!$C$2:$CA$2,Model!$A32)</f>
        <v>2.0297285365878026E-3</v>
      </c>
      <c r="CE32" s="189">
        <f ca="1">'Tablica IO'!CG188*INDEX(Model!$C$93:$CA$93,Model!$A32)+'Tablica IO'!CG266*INDEX(Model!$C$2:$CA$2,Model!$A32)</f>
        <v>4.5922686036648619E-2</v>
      </c>
    </row>
    <row r="33" spans="1:83" x14ac:dyDescent="0.25">
      <c r="A33" s="164">
        <v>21</v>
      </c>
      <c r="B33" s="172" t="s">
        <v>20</v>
      </c>
      <c r="C33" s="221" cm="1">
        <f t="array" aca="1" ref="C33" ca="1">'Tablica IO'!C189*INDEX(Model!$C$93:$CA$93,Model!$A33) + IF(wplyw_cen_import_wlaczony,'Tablica IO'!C267*INDEX(Model!$C$2:$CA$2,Model!$A33),'Tablica IO'!C267*1)</f>
        <v>8.0529913352708638E-3</v>
      </c>
      <c r="D33" s="222" cm="1">
        <f t="array" aca="1" ref="D33" ca="1">'Tablica IO'!D189*INDEX(Model!$C$93:$CA$93,Model!$A33) + IF(wplyw_cen_import_wlaczony,'Tablica IO'!D267*INDEX(Model!$C$2:$CA$2,Model!$A33),'Tablica IO'!D267*1)</f>
        <v>4.7266751409921742E-3</v>
      </c>
      <c r="E33" s="222" cm="1">
        <f t="array" aca="1" ref="E33" ca="1">'Tablica IO'!E189*INDEX(Model!$C$93:$CA$93,Model!$A33) + IF(wplyw_cen_import_wlaczony,'Tablica IO'!E267*INDEX(Model!$C$2:$CA$2,Model!$A33),'Tablica IO'!E267*1)</f>
        <v>5.1138629818165814E-4</v>
      </c>
      <c r="F33" s="222" cm="1">
        <f t="array" aca="1" ref="F33" ca="1">'Tablica IO'!F189*INDEX(Model!$C$93:$CA$93,Model!$A33) + IF(wplyw_cen_import_wlaczony,'Tablica IO'!F267*INDEX(Model!$C$2:$CA$2,Model!$A33),'Tablica IO'!F267*1)</f>
        <v>2.616849864739253E-2</v>
      </c>
      <c r="G33" s="222" cm="1">
        <f t="array" aca="1" ref="G33" ca="1">'Tablica IO'!G189*INDEX(Model!$C$93:$CA$93,Model!$A33) + IF(wplyw_cen_import_wlaczony,'Tablica IO'!G267*INDEX(Model!$C$2:$CA$2,Model!$A33),'Tablica IO'!G267*1)</f>
        <v>1.3042927792761155E-2</v>
      </c>
      <c r="H33" s="222" cm="1">
        <f t="array" aca="1" ref="H33" ca="1">'Tablica IO'!H189*INDEX(Model!$C$93:$CA$93,Model!$A33) + IF(wplyw_cen_import_wlaczony,'Tablica IO'!H267*INDEX(Model!$C$2:$CA$2,Model!$A33),'Tablica IO'!H267*1)</f>
        <v>2.8004894292656176E-3</v>
      </c>
      <c r="I33" s="222" cm="1">
        <f t="array" aca="1" ref="I33" ca="1">'Tablica IO'!I189*INDEX(Model!$C$93:$CA$93,Model!$A33) + IF(wplyw_cen_import_wlaczony,'Tablica IO'!I267*INDEX(Model!$C$2:$CA$2,Model!$A33),'Tablica IO'!I267*1)</f>
        <v>5.8332165609396913E-2</v>
      </c>
      <c r="J33" s="222" cm="1">
        <f t="array" aca="1" ref="J33" ca="1">'Tablica IO'!J189*INDEX(Model!$C$93:$CA$93,Model!$A33) + IF(wplyw_cen_import_wlaczony,'Tablica IO'!J267*INDEX(Model!$C$2:$CA$2,Model!$A33),'Tablica IO'!J267*1)</f>
        <v>1.024929893944567E-3</v>
      </c>
      <c r="K33" s="222" cm="1">
        <f t="array" aca="1" ref="K33" ca="1">'Tablica IO'!K189*INDEX(Model!$C$93:$CA$93,Model!$A33) + IF(wplyw_cen_import_wlaczony,'Tablica IO'!K267*INDEX(Model!$C$2:$CA$2,Model!$A33),'Tablica IO'!K267*1)</f>
        <v>2.6692407035163106E-3</v>
      </c>
      <c r="L33" s="222" cm="1">
        <f t="array" aca="1" ref="L33" ca="1">'Tablica IO'!L189*INDEX(Model!$C$93:$CA$93,Model!$A33) + IF(wplyw_cen_import_wlaczony,'Tablica IO'!L267*INDEX(Model!$C$2:$CA$2,Model!$A33),'Tablica IO'!L267*1)</f>
        <v>1.0439125786018428E-3</v>
      </c>
      <c r="M33" s="222" cm="1">
        <f t="array" aca="1" ref="M33" ca="1">'Tablica IO'!M189*INDEX(Model!$C$93:$CA$93,Model!$A33) + IF(wplyw_cen_import_wlaczony,'Tablica IO'!M267*INDEX(Model!$C$2:$CA$2,Model!$A33),'Tablica IO'!M267*1)</f>
        <v>4.1166840117199937E-3</v>
      </c>
      <c r="N33" s="222" cm="1">
        <f t="array" aca="1" ref="N33" ca="1">'Tablica IO'!N189*INDEX(Model!$C$93:$CA$93,Model!$A33) + IF(wplyw_cen_import_wlaczony,'Tablica IO'!N267*INDEX(Model!$C$2:$CA$2,Model!$A33),'Tablica IO'!N267*1)</f>
        <v>2.0703053731462744E-2</v>
      </c>
      <c r="O33" s="222" cm="1">
        <f t="array" aca="1" ref="O33" ca="1">'Tablica IO'!O189*INDEX(Model!$C$93:$CA$93,Model!$A33) + IF(wplyw_cen_import_wlaczony,'Tablica IO'!O267*INDEX(Model!$C$2:$CA$2,Model!$A33),'Tablica IO'!O267*1)</f>
        <v>3.5817934701656631E-3</v>
      </c>
      <c r="P33" s="222" cm="1">
        <f t="array" aca="1" ref="P33" ca="1">'Tablica IO'!P189*INDEX(Model!$C$93:$CA$93,Model!$A33) + IF(wplyw_cen_import_wlaczony,'Tablica IO'!P267*INDEX(Model!$C$2:$CA$2,Model!$A33),'Tablica IO'!P267*1)</f>
        <v>1.4497348812347204E-3</v>
      </c>
      <c r="Q33" s="222" cm="1">
        <f t="array" aca="1" ref="Q33" ca="1">'Tablica IO'!Q189*INDEX(Model!$C$93:$CA$93,Model!$A33) + IF(wplyw_cen_import_wlaczony,'Tablica IO'!Q267*INDEX(Model!$C$2:$CA$2,Model!$A33),'Tablica IO'!Q267*1)</f>
        <v>7.1904949484739595E-4</v>
      </c>
      <c r="R33" s="222" cm="1">
        <f t="array" aca="1" ref="R33" ca="1">'Tablica IO'!R189*INDEX(Model!$C$93:$CA$93,Model!$A33) + IF(wplyw_cen_import_wlaczony,'Tablica IO'!R267*INDEX(Model!$C$2:$CA$2,Model!$A33),'Tablica IO'!R267*1)</f>
        <v>5.0423144428519747E-3</v>
      </c>
      <c r="S33" s="222" cm="1">
        <f t="array" aca="1" ref="S33" ca="1">'Tablica IO'!S189*INDEX(Model!$C$93:$CA$93,Model!$A33) + IF(wplyw_cen_import_wlaczony,'Tablica IO'!S267*INDEX(Model!$C$2:$CA$2,Model!$A33),'Tablica IO'!S267*1)</f>
        <v>1.0899966231710241E-3</v>
      </c>
      <c r="T33" s="222" cm="1">
        <f t="array" aca="1" ref="T33" ca="1">'Tablica IO'!T189*INDEX(Model!$C$93:$CA$93,Model!$A33) + IF(wplyw_cen_import_wlaczony,'Tablica IO'!T267*INDEX(Model!$C$2:$CA$2,Model!$A33),'Tablica IO'!T267*1)</f>
        <v>1.50983696164891E-2</v>
      </c>
      <c r="U33" s="222" cm="1">
        <f t="array" aca="1" ref="U33" ca="1">'Tablica IO'!U189*INDEX(Model!$C$93:$CA$93,Model!$A33) + IF(wplyw_cen_import_wlaczony,'Tablica IO'!U267*INDEX(Model!$C$2:$CA$2,Model!$A33),'Tablica IO'!U267*1)</f>
        <v>7.5791898774498108E-3</v>
      </c>
      <c r="V33" s="222" cm="1">
        <f t="array" aca="1" ref="V33" ca="1">'Tablica IO'!V189*INDEX(Model!$C$93:$CA$93,Model!$A33) + IF(wplyw_cen_import_wlaczony,'Tablica IO'!V267*INDEX(Model!$C$2:$CA$2,Model!$A33),'Tablica IO'!V267*1)</f>
        <v>2.6677636023188744E-2</v>
      </c>
      <c r="W33" s="222" cm="1">
        <f t="array" aca="1" ref="W33" ca="1">'Tablica IO'!W189*INDEX(Model!$C$93:$CA$93,Model!$A33) + IF(wplyw_cen_import_wlaczony,'Tablica IO'!W267*INDEX(Model!$C$2:$CA$2,Model!$A33),'Tablica IO'!W267*1)</f>
        <v>0.18347863259237182</v>
      </c>
      <c r="X33" s="222" cm="1">
        <f t="array" aca="1" ref="X33" ca="1">'Tablica IO'!X189*INDEX(Model!$C$93:$CA$93,Model!$A33) + IF(wplyw_cen_import_wlaczony,'Tablica IO'!X267*INDEX(Model!$C$2:$CA$2,Model!$A33),'Tablica IO'!X267*1)</f>
        <v>9.0340184183360546E-3</v>
      </c>
      <c r="Y33" s="222" cm="1">
        <f t="array" aca="1" ref="Y33" ca="1">'Tablica IO'!Y189*INDEX(Model!$C$93:$CA$93,Model!$A33) + IF(wplyw_cen_import_wlaczony,'Tablica IO'!Y267*INDEX(Model!$C$2:$CA$2,Model!$A33),'Tablica IO'!Y267*1)</f>
        <v>4.574706410963373E-2</v>
      </c>
      <c r="Z33" s="222" cm="1">
        <f t="array" aca="1" ref="Z33" ca="1">'Tablica IO'!Z189*INDEX(Model!$C$93:$CA$93,Model!$A33) + IF(wplyw_cen_import_wlaczony,'Tablica IO'!Z267*INDEX(Model!$C$2:$CA$2,Model!$A33),'Tablica IO'!Z267*1)</f>
        <v>0.12466946173852839</v>
      </c>
      <c r="AA33" s="222" cm="1">
        <f t="array" aca="1" ref="AA33" ca="1">'Tablica IO'!AA189*INDEX(Model!$C$93:$CA$93,Model!$A33) + IF(wplyw_cen_import_wlaczony,'Tablica IO'!AA267*INDEX(Model!$C$2:$CA$2,Model!$A33),'Tablica IO'!AA267*1)</f>
        <v>0.11896560653167434</v>
      </c>
      <c r="AB33" s="222" cm="1">
        <f t="array" aca="1" ref="AB33" ca="1">'Tablica IO'!AB189*INDEX(Model!$C$93:$CA$93,Model!$A33) + IF(wplyw_cen_import_wlaczony,'Tablica IO'!AB267*INDEX(Model!$C$2:$CA$2,Model!$A33),'Tablica IO'!AB267*1)</f>
        <v>6.1043898223673732E-2</v>
      </c>
      <c r="AC33" s="222" cm="1">
        <f t="array" aca="1" ref="AC33" ca="1">'Tablica IO'!AC189*INDEX(Model!$C$93:$CA$93,Model!$A33) + IF(wplyw_cen_import_wlaczony,'Tablica IO'!AC267*INDEX(Model!$C$2:$CA$2,Model!$A33),'Tablica IO'!AC267*1)</f>
        <v>3.3593730098344342E-2</v>
      </c>
      <c r="AD33" s="222" cm="1">
        <f t="array" aca="1" ref="AD33" ca="1">'Tablica IO'!AD189*INDEX(Model!$C$93:$CA$93,Model!$A33) + IF(wplyw_cen_import_wlaczony,'Tablica IO'!AD267*INDEX(Model!$C$2:$CA$2,Model!$A33),'Tablica IO'!AD267*1)</f>
        <v>1.7102802626623309E-2</v>
      </c>
      <c r="AE33" s="222" cm="1">
        <f t="array" aca="1" ref="AE33" ca="1">'Tablica IO'!AE189*INDEX(Model!$C$93:$CA$93,Model!$A33) + IF(wplyw_cen_import_wlaczony,'Tablica IO'!AE267*INDEX(Model!$C$2:$CA$2,Model!$A33),'Tablica IO'!AE267*1)</f>
        <v>6.0275635851798959E-2</v>
      </c>
      <c r="AF33" s="222" cm="1">
        <f t="array" aca="1" ref="AF33" ca="1">'Tablica IO'!AF189*INDEX(Model!$C$93:$CA$93,Model!$A33) + IF(wplyw_cen_import_wlaczony,'Tablica IO'!AF267*INDEX(Model!$C$2:$CA$2,Model!$A33),'Tablica IO'!AF267*1)</f>
        <v>4.3892513839128029E-3</v>
      </c>
      <c r="AG33" s="222" cm="1">
        <f t="array" aca="1" ref="AG33" ca="1">'Tablica IO'!AG189*INDEX(Model!$C$93:$CA$93,Model!$A33) + IF(wplyw_cen_import_wlaczony,'Tablica IO'!AG267*INDEX(Model!$C$2:$CA$2,Model!$A33),'Tablica IO'!AG267*1)</f>
        <v>3.4575153400075286E-3</v>
      </c>
      <c r="AH33" s="222" cm="1">
        <f t="array" aca="1" ref="AH33" ca="1">'Tablica IO'!AH189*INDEX(Model!$C$93:$CA$93,Model!$A33) + IF(wplyw_cen_import_wlaczony,'Tablica IO'!AH267*INDEX(Model!$C$2:$CA$2,Model!$A33),'Tablica IO'!AH267*1)</f>
        <v>1.2700463002254553E-2</v>
      </c>
      <c r="AI33" s="222" cm="1">
        <f t="array" aca="1" ref="AI33" ca="1">'Tablica IO'!AI189*INDEX(Model!$C$93:$CA$93,Model!$A33) + IF(wplyw_cen_import_wlaczony,'Tablica IO'!AI267*INDEX(Model!$C$2:$CA$2,Model!$A33),'Tablica IO'!AI267*1)</f>
        <v>3.7032108374700475E-3</v>
      </c>
      <c r="AJ33" s="222" cm="1">
        <f t="array" aca="1" ref="AJ33" ca="1">'Tablica IO'!AJ189*INDEX(Model!$C$93:$CA$93,Model!$A33) + IF(wplyw_cen_import_wlaczony,'Tablica IO'!AJ267*INDEX(Model!$C$2:$CA$2,Model!$A33),'Tablica IO'!AJ267*1)</f>
        <v>5.0220149568484987E-2</v>
      </c>
      <c r="AK33" s="222" cm="1">
        <f t="array" aca="1" ref="AK33" ca="1">'Tablica IO'!AK189*INDEX(Model!$C$93:$CA$93,Model!$A33) + IF(wplyw_cen_import_wlaczony,'Tablica IO'!AK267*INDEX(Model!$C$2:$CA$2,Model!$A33),'Tablica IO'!AK267*1)</f>
        <v>4.5817338843109042E-3</v>
      </c>
      <c r="AL33" s="222" cm="1">
        <f t="array" aca="1" ref="AL33" ca="1">'Tablica IO'!AL189*INDEX(Model!$C$93:$CA$93,Model!$A33) + IF(wplyw_cen_import_wlaczony,'Tablica IO'!AL267*INDEX(Model!$C$2:$CA$2,Model!$A33),'Tablica IO'!AL267*1)</f>
        <v>8.7233939389737628E-3</v>
      </c>
      <c r="AM33" s="222" cm="1">
        <f t="array" aca="1" ref="AM33" ca="1">'Tablica IO'!AM189*INDEX(Model!$C$93:$CA$93,Model!$A33) + IF(wplyw_cen_import_wlaczony,'Tablica IO'!AM267*INDEX(Model!$C$2:$CA$2,Model!$A33),'Tablica IO'!AM267*1)</f>
        <v>2.9684085183398416E-3</v>
      </c>
      <c r="AN33" s="222" cm="1">
        <f t="array" aca="1" ref="AN33" ca="1">'Tablica IO'!AN189*INDEX(Model!$C$93:$CA$93,Model!$A33) + IF(wplyw_cen_import_wlaczony,'Tablica IO'!AN267*INDEX(Model!$C$2:$CA$2,Model!$A33),'Tablica IO'!AN267*1)</f>
        <v>2.0439569895342861E-3</v>
      </c>
      <c r="AO33" s="222" cm="1">
        <f t="array" aca="1" ref="AO33" ca="1">'Tablica IO'!AO189*INDEX(Model!$C$93:$CA$93,Model!$A33) + IF(wplyw_cen_import_wlaczony,'Tablica IO'!AO267*INDEX(Model!$C$2:$CA$2,Model!$A33),'Tablica IO'!AO267*1)</f>
        <v>4.7792905116786724E-4</v>
      </c>
      <c r="AP33" s="222" cm="1">
        <f t="array" aca="1" ref="AP33" ca="1">'Tablica IO'!AP189*INDEX(Model!$C$93:$CA$93,Model!$A33) + IF(wplyw_cen_import_wlaczony,'Tablica IO'!AP267*INDEX(Model!$C$2:$CA$2,Model!$A33),'Tablica IO'!AP267*1)</f>
        <v>6.8653877944869384E-4</v>
      </c>
      <c r="AQ33" s="222" cm="1">
        <f t="array" aca="1" ref="AQ33" ca="1">'Tablica IO'!AQ189*INDEX(Model!$C$93:$CA$93,Model!$A33) + IF(wplyw_cen_import_wlaczony,'Tablica IO'!AQ267*INDEX(Model!$C$2:$CA$2,Model!$A33),'Tablica IO'!AQ267*1)</f>
        <v>1.5123862132327076E-3</v>
      </c>
      <c r="AR33" s="222" cm="1">
        <f t="array" aca="1" ref="AR33" ca="1">'Tablica IO'!AR189*INDEX(Model!$C$93:$CA$93,Model!$A33) + IF(wplyw_cen_import_wlaczony,'Tablica IO'!AR267*INDEX(Model!$C$2:$CA$2,Model!$A33),'Tablica IO'!AR267*1)</f>
        <v>5.3236898515753158E-4</v>
      </c>
      <c r="AS33" s="222" cm="1">
        <f t="array" aca="1" ref="AS33" ca="1">'Tablica IO'!AS189*INDEX(Model!$C$93:$CA$93,Model!$A33) + IF(wplyw_cen_import_wlaczony,'Tablica IO'!AS267*INDEX(Model!$C$2:$CA$2,Model!$A33),'Tablica IO'!AS267*1)</f>
        <v>1.0143237828097991E-3</v>
      </c>
      <c r="AT33" s="222" cm="1">
        <f t="array" aca="1" ref="AT33" ca="1">'Tablica IO'!AT189*INDEX(Model!$C$93:$CA$93,Model!$A33) + IF(wplyw_cen_import_wlaczony,'Tablica IO'!AT267*INDEX(Model!$C$2:$CA$2,Model!$A33),'Tablica IO'!AT267*1)</f>
        <v>1.5783049623968872E-4</v>
      </c>
      <c r="AU33" s="222" cm="1">
        <f t="array" aca="1" ref="AU33" ca="1">'Tablica IO'!AU189*INDEX(Model!$C$93:$CA$93,Model!$A33) + IF(wplyw_cen_import_wlaczony,'Tablica IO'!AU267*INDEX(Model!$C$2:$CA$2,Model!$A33),'Tablica IO'!AU267*1)</f>
        <v>2.9212633557003303E-6</v>
      </c>
      <c r="AV33" s="222" cm="1">
        <f t="array" aca="1" ref="AV33" ca="1">'Tablica IO'!AV189*INDEX(Model!$C$93:$CA$93,Model!$A33) + IF(wplyw_cen_import_wlaczony,'Tablica IO'!AV267*INDEX(Model!$C$2:$CA$2,Model!$A33),'Tablica IO'!AV267*1)</f>
        <v>2.3441687908280849E-4</v>
      </c>
      <c r="AW33" s="222" cm="1">
        <f t="array" aca="1" ref="AW33" ca="1">'Tablica IO'!AW189*INDEX(Model!$C$93:$CA$93,Model!$A33) + IF(wplyw_cen_import_wlaczony,'Tablica IO'!AW267*INDEX(Model!$C$2:$CA$2,Model!$A33),'Tablica IO'!AW267*1)</f>
        <v>1.0399644143941342E-3</v>
      </c>
      <c r="AX33" s="222" cm="1">
        <f t="array" aca="1" ref="AX33" ca="1">'Tablica IO'!AX189*INDEX(Model!$C$93:$CA$93,Model!$A33) + IF(wplyw_cen_import_wlaczony,'Tablica IO'!AX267*INDEX(Model!$C$2:$CA$2,Model!$A33),'Tablica IO'!AX267*1)</f>
        <v>2.4831619280934656E-4</v>
      </c>
      <c r="AY33" s="222" cm="1">
        <f t="array" aca="1" ref="AY33" ca="1">'Tablica IO'!AY189*INDEX(Model!$C$93:$CA$93,Model!$A33) + IF(wplyw_cen_import_wlaczony,'Tablica IO'!AY267*INDEX(Model!$C$2:$CA$2,Model!$A33),'Tablica IO'!AY267*1)</f>
        <v>3.6804409742535098E-4</v>
      </c>
      <c r="AZ33" s="222" cm="1">
        <f t="array" aca="1" ref="AZ33" ca="1">'Tablica IO'!AZ189*INDEX(Model!$C$93:$CA$93,Model!$A33) + IF(wplyw_cen_import_wlaczony,'Tablica IO'!AZ267*INDEX(Model!$C$2:$CA$2,Model!$A33),'Tablica IO'!AZ267*1)</f>
        <v>0</v>
      </c>
      <c r="BA33" s="222" cm="1">
        <f t="array" aca="1" ref="BA33" ca="1">'Tablica IO'!BA189*INDEX(Model!$C$93:$CA$93,Model!$A33) + IF(wplyw_cen_import_wlaczony,'Tablica IO'!BA267*INDEX(Model!$C$2:$CA$2,Model!$A33),'Tablica IO'!BA267*1)</f>
        <v>3.0980871546805007E-5</v>
      </c>
      <c r="BB33" s="222" cm="1">
        <f t="array" aca="1" ref="BB33" ca="1">'Tablica IO'!BB189*INDEX(Model!$C$93:$CA$93,Model!$A33) + IF(wplyw_cen_import_wlaczony,'Tablica IO'!BB267*INDEX(Model!$C$2:$CA$2,Model!$A33),'Tablica IO'!BB267*1)</f>
        <v>6.0985377615431439E-3</v>
      </c>
      <c r="BC33" s="222" cm="1">
        <f t="array" aca="1" ref="BC33" ca="1">'Tablica IO'!BC189*INDEX(Model!$C$93:$CA$93,Model!$A33) + IF(wplyw_cen_import_wlaczony,'Tablica IO'!BC267*INDEX(Model!$C$2:$CA$2,Model!$A33),'Tablica IO'!BC267*1)</f>
        <v>2.6563120384884407E-5</v>
      </c>
      <c r="BD33" s="222" cm="1">
        <f t="array" aca="1" ref="BD33" ca="1">'Tablica IO'!BD189*INDEX(Model!$C$93:$CA$93,Model!$A33) + IF(wplyw_cen_import_wlaczony,'Tablica IO'!BD267*INDEX(Model!$C$2:$CA$2,Model!$A33),'Tablica IO'!BD267*1)</f>
        <v>2.5064699610130499E-4</v>
      </c>
      <c r="BE33" s="222" cm="1">
        <f t="array" aca="1" ref="BE33" ca="1">'Tablica IO'!BE189*INDEX(Model!$C$93:$CA$93,Model!$A33) + IF(wplyw_cen_import_wlaczony,'Tablica IO'!BE267*INDEX(Model!$C$2:$CA$2,Model!$A33),'Tablica IO'!BE267*1)</f>
        <v>1.3431990127192407E-2</v>
      </c>
      <c r="BF33" s="222" cm="1">
        <f t="array" aca="1" ref="BF33" ca="1">'Tablica IO'!BF189*INDEX(Model!$C$93:$CA$93,Model!$A33) + IF(wplyw_cen_import_wlaczony,'Tablica IO'!BF267*INDEX(Model!$C$2:$CA$2,Model!$A33),'Tablica IO'!BF267*1)</f>
        <v>3.4341671883630059E-3</v>
      </c>
      <c r="BG33" s="222" cm="1">
        <f t="array" aca="1" ref="BG33" ca="1">'Tablica IO'!BG189*INDEX(Model!$C$93:$CA$93,Model!$A33) + IF(wplyw_cen_import_wlaczony,'Tablica IO'!BG267*INDEX(Model!$C$2:$CA$2,Model!$A33),'Tablica IO'!BG267*1)</f>
        <v>4.3960807721852365E-4</v>
      </c>
      <c r="BH33" s="222" cm="1">
        <f t="array" aca="1" ref="BH33" ca="1">'Tablica IO'!BH189*INDEX(Model!$C$93:$CA$93,Model!$A33) + IF(wplyw_cen_import_wlaczony,'Tablica IO'!BH267*INDEX(Model!$C$2:$CA$2,Model!$A33),'Tablica IO'!BH267*1)</f>
        <v>9.614336579681017E-4</v>
      </c>
      <c r="BI33" s="222" cm="1">
        <f t="array" aca="1" ref="BI33" ca="1">'Tablica IO'!BI189*INDEX(Model!$C$93:$CA$93,Model!$A33) + IF(wplyw_cen_import_wlaczony,'Tablica IO'!BI267*INDEX(Model!$C$2:$CA$2,Model!$A33),'Tablica IO'!BI267*1)</f>
        <v>0</v>
      </c>
      <c r="BJ33" s="222" cm="1">
        <f t="array" aca="1" ref="BJ33" ca="1">'Tablica IO'!BJ189*INDEX(Model!$C$93:$CA$93,Model!$A33) + IF(wplyw_cen_import_wlaczony,'Tablica IO'!BJ267*INDEX(Model!$C$2:$CA$2,Model!$A33),'Tablica IO'!BJ267*1)</f>
        <v>6.1825439690435446E-3</v>
      </c>
      <c r="BK33" s="222" cm="1">
        <f t="array" aca="1" ref="BK33" ca="1">'Tablica IO'!BK189*INDEX(Model!$C$93:$CA$93,Model!$A33) + IF(wplyw_cen_import_wlaczony,'Tablica IO'!BK267*INDEX(Model!$C$2:$CA$2,Model!$A33),'Tablica IO'!BK267*1)</f>
        <v>5.0606396304048596E-4</v>
      </c>
      <c r="BL33" s="222" cm="1">
        <f t="array" aca="1" ref="BL33" ca="1">'Tablica IO'!BL189*INDEX(Model!$C$93:$CA$93,Model!$A33) + IF(wplyw_cen_import_wlaczony,'Tablica IO'!BL267*INDEX(Model!$C$2:$CA$2,Model!$A33),'Tablica IO'!BL267*1)</f>
        <v>2.4943796835511733E-5</v>
      </c>
      <c r="BM33" s="222" cm="1">
        <f t="array" aca="1" ref="BM33" ca="1">'Tablica IO'!BM189*INDEX(Model!$C$93:$CA$93,Model!$A33) + IF(wplyw_cen_import_wlaczony,'Tablica IO'!BM267*INDEX(Model!$C$2:$CA$2,Model!$A33),'Tablica IO'!BM267*1)</f>
        <v>6.9303937970720047E-4</v>
      </c>
      <c r="BN33" s="222" cm="1">
        <f t="array" aca="1" ref="BN33" ca="1">'Tablica IO'!BN189*INDEX(Model!$C$93:$CA$93,Model!$A33) + IF(wplyw_cen_import_wlaczony,'Tablica IO'!BN267*INDEX(Model!$C$2:$CA$2,Model!$A33),'Tablica IO'!BN267*1)</f>
        <v>3.5014633423369112E-3</v>
      </c>
      <c r="BO33" s="222" cm="1">
        <f t="array" aca="1" ref="BO33" ca="1">'Tablica IO'!BO189*INDEX(Model!$C$93:$CA$93,Model!$A33) + IF(wplyw_cen_import_wlaczony,'Tablica IO'!BO267*INDEX(Model!$C$2:$CA$2,Model!$A33),'Tablica IO'!BO267*1)</f>
        <v>2.7221083980499795E-4</v>
      </c>
      <c r="BP33" s="222" cm="1">
        <f t="array" aca="1" ref="BP33" ca="1">'Tablica IO'!BP189*INDEX(Model!$C$93:$CA$93,Model!$A33) + IF(wplyw_cen_import_wlaczony,'Tablica IO'!BP267*INDEX(Model!$C$2:$CA$2,Model!$A33),'Tablica IO'!BP267*1)</f>
        <v>8.6947496129354124E-3</v>
      </c>
      <c r="BQ33" s="222" cm="1">
        <f t="array" aca="1" ref="BQ33" ca="1">'Tablica IO'!BQ189*INDEX(Model!$C$93:$CA$93,Model!$A33) + IF(wplyw_cen_import_wlaczony,'Tablica IO'!BQ267*INDEX(Model!$C$2:$CA$2,Model!$A33),'Tablica IO'!BQ267*1)</f>
        <v>5.0463470355765951E-4</v>
      </c>
      <c r="BR33" s="222" cm="1">
        <f t="array" aca="1" ref="BR33" ca="1">'Tablica IO'!BR189*INDEX(Model!$C$93:$CA$93,Model!$A33) + IF(wplyw_cen_import_wlaczony,'Tablica IO'!BR267*INDEX(Model!$C$2:$CA$2,Model!$A33),'Tablica IO'!BR267*1)</f>
        <v>5.9065539314033652E-4</v>
      </c>
      <c r="BS33" s="222" cm="1">
        <f t="array" aca="1" ref="BS33" ca="1">'Tablica IO'!BS189*INDEX(Model!$C$93:$CA$93,Model!$A33) + IF(wplyw_cen_import_wlaczony,'Tablica IO'!BS267*INDEX(Model!$C$2:$CA$2,Model!$A33),'Tablica IO'!BS267*1)</f>
        <v>1.0942568405793183E-4</v>
      </c>
      <c r="BT33" s="222" cm="1">
        <f t="array" aca="1" ref="BT33" ca="1">'Tablica IO'!BT189*INDEX(Model!$C$93:$CA$93,Model!$A33) + IF(wplyw_cen_import_wlaczony,'Tablica IO'!BT267*INDEX(Model!$C$2:$CA$2,Model!$A33),'Tablica IO'!BT267*1)</f>
        <v>4.4575302121889601E-4</v>
      </c>
      <c r="BU33" s="222" cm="1">
        <f t="array" aca="1" ref="BU33" ca="1">'Tablica IO'!BU189*INDEX(Model!$C$93:$CA$93,Model!$A33) + IF(wplyw_cen_import_wlaczony,'Tablica IO'!BU267*INDEX(Model!$C$2:$CA$2,Model!$A33),'Tablica IO'!BU267*1)</f>
        <v>7.3015529444607962E-4</v>
      </c>
      <c r="BV33" s="222" cm="1">
        <f t="array" aca="1" ref="BV33" ca="1">'Tablica IO'!BV189*INDEX(Model!$C$93:$CA$93,Model!$A33) + IF(wplyw_cen_import_wlaczony,'Tablica IO'!BV267*INDEX(Model!$C$2:$CA$2,Model!$A33),'Tablica IO'!BV267*1)</f>
        <v>7.432428998340231E-5</v>
      </c>
      <c r="BW33" s="222" cm="1">
        <f t="array" aca="1" ref="BW33" ca="1">'Tablica IO'!BW189*INDEX(Model!$C$93:$CA$93,Model!$A33) + IF(wplyw_cen_import_wlaczony,'Tablica IO'!BW267*INDEX(Model!$C$2:$CA$2,Model!$A33),'Tablica IO'!BW267*1)</f>
        <v>8.2592320038025362E-4</v>
      </c>
      <c r="BX33" s="222" cm="1">
        <f t="array" aca="1" ref="BX33" ca="1">'Tablica IO'!BX189*INDEX(Model!$C$93:$CA$93,Model!$A33) + IF(wplyw_cen_import_wlaczony,'Tablica IO'!BX267*INDEX(Model!$C$2:$CA$2,Model!$A33),'Tablica IO'!BX267*1)</f>
        <v>1.7372654089925083E-2</v>
      </c>
      <c r="BY33" s="222" cm="1">
        <f t="array" aca="1" ref="BY33" ca="1">'Tablica IO'!BY189*INDEX(Model!$C$93:$CA$93,Model!$A33) + IF(wplyw_cen_import_wlaczony,'Tablica IO'!BY267*INDEX(Model!$C$2:$CA$2,Model!$A33),'Tablica IO'!BY267*1)</f>
        <v>8.690962811609614E-6</v>
      </c>
      <c r="BZ33" s="222" cm="1">
        <f t="array" aca="1" ref="BZ33" ca="1">'Tablica IO'!BZ189*INDEX(Model!$C$93:$CA$93,Model!$A33) + IF(wplyw_cen_import_wlaczony,'Tablica IO'!BZ267*INDEX(Model!$C$2:$CA$2,Model!$A33),'Tablica IO'!BZ267*1)</f>
        <v>4.8051219987771503E-3</v>
      </c>
      <c r="CA33" s="222" cm="1">
        <f t="array" aca="1" ref="CA33" ca="1">'Tablica IO'!CA189*INDEX(Model!$C$93:$CA$93,Model!$A33) + IF(wplyw_cen_import_wlaczony,'Tablica IO'!CA267*INDEX(Model!$C$2:$CA$2,Model!$A33),'Tablica IO'!CA267*1)</f>
        <v>0</v>
      </c>
      <c r="CB33" s="247">
        <f ca="1">'Tablica IO'!CD189*INDEX(Model!$C$93:$CA$93,Model!$A33)+'Tablica IO'!CD267*INDEX(Model!$C$2:$CA$2,Model!$A33)</f>
        <v>2.358415737166962E-3</v>
      </c>
      <c r="CC33" s="188">
        <f ca="1">'Tablica IO'!CE189*INDEX(Model!$C$93:$CA$93,Model!$A33)+'Tablica IO'!CE267*INDEX(Model!$C$2:$CA$2,Model!$A33)</f>
        <v>0</v>
      </c>
      <c r="CD33" s="188">
        <f ca="1">'Tablica IO'!CF189*INDEX(Model!$C$93:$CA$93,Model!$A33)+'Tablica IO'!CF267*INDEX(Model!$C$2:$CA$2,Model!$A33)</f>
        <v>5.1988727499188793E-2</v>
      </c>
      <c r="CE33" s="189">
        <f ca="1">'Tablica IO'!CG189*INDEX(Model!$C$93:$CA$93,Model!$A33)+'Tablica IO'!CG267*INDEX(Model!$C$2:$CA$2,Model!$A33)</f>
        <v>3.5814808728122552E-2</v>
      </c>
    </row>
    <row r="34" spans="1:83" x14ac:dyDescent="0.25">
      <c r="A34" s="164">
        <v>22</v>
      </c>
      <c r="B34" s="172" t="s">
        <v>21</v>
      </c>
      <c r="C34" s="221" cm="1">
        <f t="array" aca="1" ref="C34" ca="1">'Tablica IO'!C190*INDEX(Model!$C$93:$CA$93,Model!$A34) + IF(wplyw_cen_import_wlaczony,'Tablica IO'!C268*INDEX(Model!$C$2:$CA$2,Model!$A34),'Tablica IO'!C268*1)</f>
        <v>8.266330557657601E-5</v>
      </c>
      <c r="D34" s="222" cm="1">
        <f t="array" aca="1" ref="D34" ca="1">'Tablica IO'!D190*INDEX(Model!$C$93:$CA$93,Model!$A34) + IF(wplyw_cen_import_wlaczony,'Tablica IO'!D268*INDEX(Model!$C$2:$CA$2,Model!$A34),'Tablica IO'!D268*1)</f>
        <v>1.2780825176938904E-3</v>
      </c>
      <c r="E34" s="222" cm="1">
        <f t="array" aca="1" ref="E34" ca="1">'Tablica IO'!E190*INDEX(Model!$C$93:$CA$93,Model!$A34) + IF(wplyw_cen_import_wlaczony,'Tablica IO'!E268*INDEX(Model!$C$2:$CA$2,Model!$A34),'Tablica IO'!E268*1)</f>
        <v>1.1358949822906267E-5</v>
      </c>
      <c r="F34" s="222" cm="1">
        <f t="array" aca="1" ref="F34" ca="1">'Tablica IO'!F190*INDEX(Model!$C$93:$CA$93,Model!$A34) + IF(wplyw_cen_import_wlaczony,'Tablica IO'!F268*INDEX(Model!$C$2:$CA$2,Model!$A34),'Tablica IO'!F268*1)</f>
        <v>6.8404334529493594E-4</v>
      </c>
      <c r="G34" s="222" cm="1">
        <f t="array" aca="1" ref="G34" ca="1">'Tablica IO'!G190*INDEX(Model!$C$93:$CA$93,Model!$A34) + IF(wplyw_cen_import_wlaczony,'Tablica IO'!G268*INDEX(Model!$C$2:$CA$2,Model!$A34),'Tablica IO'!G268*1)</f>
        <v>7.1538320915891717E-4</v>
      </c>
      <c r="H34" s="222" cm="1">
        <f t="array" aca="1" ref="H34" ca="1">'Tablica IO'!H190*INDEX(Model!$C$93:$CA$93,Model!$A34) + IF(wplyw_cen_import_wlaczony,'Tablica IO'!H268*INDEX(Model!$C$2:$CA$2,Model!$A34),'Tablica IO'!H268*1)</f>
        <v>1.7556699293412489E-4</v>
      </c>
      <c r="I34" s="222" cm="1">
        <f t="array" aca="1" ref="I34" ca="1">'Tablica IO'!I190*INDEX(Model!$C$93:$CA$93,Model!$A34) + IF(wplyw_cen_import_wlaczony,'Tablica IO'!I268*INDEX(Model!$C$2:$CA$2,Model!$A34),'Tablica IO'!I268*1)</f>
        <v>1.8848420974817843E-4</v>
      </c>
      <c r="J34" s="222" cm="1">
        <f t="array" aca="1" ref="J34" ca="1">'Tablica IO'!J190*INDEX(Model!$C$93:$CA$93,Model!$A34) + IF(wplyw_cen_import_wlaczony,'Tablica IO'!J268*INDEX(Model!$C$2:$CA$2,Model!$A34),'Tablica IO'!J268*1)</f>
        <v>4.3022518623281488E-4</v>
      </c>
      <c r="K34" s="222" cm="1">
        <f t="array" aca="1" ref="K34" ca="1">'Tablica IO'!K190*INDEX(Model!$C$93:$CA$93,Model!$A34) + IF(wplyw_cen_import_wlaczony,'Tablica IO'!K268*INDEX(Model!$C$2:$CA$2,Model!$A34),'Tablica IO'!K268*1)</f>
        <v>4.3106741697788444E-4</v>
      </c>
      <c r="L34" s="222" cm="1">
        <f t="array" aca="1" ref="L34" ca="1">'Tablica IO'!L190*INDEX(Model!$C$93:$CA$93,Model!$A34) + IF(wplyw_cen_import_wlaczony,'Tablica IO'!L268*INDEX(Model!$C$2:$CA$2,Model!$A34),'Tablica IO'!L268*1)</f>
        <v>3.7189709371615235E-4</v>
      </c>
      <c r="M34" s="222" cm="1">
        <f t="array" aca="1" ref="M34" ca="1">'Tablica IO'!M190*INDEX(Model!$C$93:$CA$93,Model!$A34) + IF(wplyw_cen_import_wlaczony,'Tablica IO'!M268*INDEX(Model!$C$2:$CA$2,Model!$A34),'Tablica IO'!M268*1)</f>
        <v>3.8399531998893551E-4</v>
      </c>
      <c r="N34" s="222" cm="1">
        <f t="array" aca="1" ref="N34" ca="1">'Tablica IO'!N190*INDEX(Model!$C$93:$CA$93,Model!$A34) + IF(wplyw_cen_import_wlaczony,'Tablica IO'!N268*INDEX(Model!$C$2:$CA$2,Model!$A34),'Tablica IO'!N268*1)</f>
        <v>5.5039525892309669E-4</v>
      </c>
      <c r="O34" s="222" cm="1">
        <f t="array" aca="1" ref="O34" ca="1">'Tablica IO'!O190*INDEX(Model!$C$93:$CA$93,Model!$A34) + IF(wplyw_cen_import_wlaczony,'Tablica IO'!O268*INDEX(Model!$C$2:$CA$2,Model!$A34),'Tablica IO'!O268*1)</f>
        <v>4.7923064045744091E-4</v>
      </c>
      <c r="P34" s="222" cm="1">
        <f t="array" aca="1" ref="P34" ca="1">'Tablica IO'!P190*INDEX(Model!$C$93:$CA$93,Model!$A34) + IF(wplyw_cen_import_wlaczony,'Tablica IO'!P268*INDEX(Model!$C$2:$CA$2,Model!$A34),'Tablica IO'!P268*1)</f>
        <v>5.1293633653628967E-3</v>
      </c>
      <c r="Q34" s="222" cm="1">
        <f t="array" aca="1" ref="Q34" ca="1">'Tablica IO'!Q190*INDEX(Model!$C$93:$CA$93,Model!$A34) + IF(wplyw_cen_import_wlaczony,'Tablica IO'!Q268*INDEX(Model!$C$2:$CA$2,Model!$A34),'Tablica IO'!Q268*1)</f>
        <v>5.2884578938042432E-4</v>
      </c>
      <c r="R34" s="222" cm="1">
        <f t="array" aca="1" ref="R34" ca="1">'Tablica IO'!R190*INDEX(Model!$C$93:$CA$93,Model!$A34) + IF(wplyw_cen_import_wlaczony,'Tablica IO'!R268*INDEX(Model!$C$2:$CA$2,Model!$A34),'Tablica IO'!R268*1)</f>
        <v>5.7885103461351466E-4</v>
      </c>
      <c r="S34" s="222" cm="1">
        <f t="array" aca="1" ref="S34" ca="1">'Tablica IO'!S190*INDEX(Model!$C$93:$CA$93,Model!$A34) + IF(wplyw_cen_import_wlaczony,'Tablica IO'!S268*INDEX(Model!$C$2:$CA$2,Model!$A34),'Tablica IO'!S268*1)</f>
        <v>9.2250524302977101E-4</v>
      </c>
      <c r="T34" s="222" cm="1">
        <f t="array" aca="1" ref="T34" ca="1">'Tablica IO'!T190*INDEX(Model!$C$93:$CA$93,Model!$A34) + IF(wplyw_cen_import_wlaczony,'Tablica IO'!T268*INDEX(Model!$C$2:$CA$2,Model!$A34),'Tablica IO'!T268*1)</f>
        <v>9.4544395731895243E-4</v>
      </c>
      <c r="U34" s="222" cm="1">
        <f t="array" aca="1" ref="U34" ca="1">'Tablica IO'!U190*INDEX(Model!$C$93:$CA$93,Model!$A34) + IF(wplyw_cen_import_wlaczony,'Tablica IO'!U268*INDEX(Model!$C$2:$CA$2,Model!$A34),'Tablica IO'!U268*1)</f>
        <v>7.3148535741522711E-4</v>
      </c>
      <c r="V34" s="222" cm="1">
        <f t="array" aca="1" ref="V34" ca="1">'Tablica IO'!V190*INDEX(Model!$C$93:$CA$93,Model!$A34) + IF(wplyw_cen_import_wlaczony,'Tablica IO'!V268*INDEX(Model!$C$2:$CA$2,Model!$A34),'Tablica IO'!V268*1)</f>
        <v>5.5181128508924456E-4</v>
      </c>
      <c r="W34" s="222" cm="1">
        <f t="array" aca="1" ref="W34" ca="1">'Tablica IO'!W190*INDEX(Model!$C$93:$CA$93,Model!$A34) + IF(wplyw_cen_import_wlaczony,'Tablica IO'!W268*INDEX(Model!$C$2:$CA$2,Model!$A34),'Tablica IO'!W268*1)</f>
        <v>3.0586253417188812E-3</v>
      </c>
      <c r="X34" s="222" cm="1">
        <f t="array" aca="1" ref="X34" ca="1">'Tablica IO'!X190*INDEX(Model!$C$93:$CA$93,Model!$A34) + IF(wplyw_cen_import_wlaczony,'Tablica IO'!X268*INDEX(Model!$C$2:$CA$2,Model!$A34),'Tablica IO'!X268*1)</f>
        <v>0.42222842839534491</v>
      </c>
      <c r="Y34" s="222" cm="1">
        <f t="array" aca="1" ref="Y34" ca="1">'Tablica IO'!Y190*INDEX(Model!$C$93:$CA$93,Model!$A34) + IF(wplyw_cen_import_wlaczony,'Tablica IO'!Y268*INDEX(Model!$C$2:$CA$2,Model!$A34),'Tablica IO'!Y268*1)</f>
        <v>2.8131983715425878E-2</v>
      </c>
      <c r="Z34" s="222" cm="1">
        <f t="array" aca="1" ref="Z34" ca="1">'Tablica IO'!Z190*INDEX(Model!$C$93:$CA$93,Model!$A34) + IF(wplyw_cen_import_wlaczony,'Tablica IO'!Z268*INDEX(Model!$C$2:$CA$2,Model!$A34),'Tablica IO'!Z268*1)</f>
        <v>1.0214845484557842E-2</v>
      </c>
      <c r="AA34" s="222" cm="1">
        <f t="array" aca="1" ref="AA34" ca="1">'Tablica IO'!AA190*INDEX(Model!$C$93:$CA$93,Model!$A34) + IF(wplyw_cen_import_wlaczony,'Tablica IO'!AA268*INDEX(Model!$C$2:$CA$2,Model!$A34),'Tablica IO'!AA268*1)</f>
        <v>7.3445158668341091E-3</v>
      </c>
      <c r="AB34" s="222" cm="1">
        <f t="array" aca="1" ref="AB34" ca="1">'Tablica IO'!AB190*INDEX(Model!$C$93:$CA$93,Model!$A34) + IF(wplyw_cen_import_wlaczony,'Tablica IO'!AB268*INDEX(Model!$C$2:$CA$2,Model!$A34),'Tablica IO'!AB268*1)</f>
        <v>2.8292202604509186E-3</v>
      </c>
      <c r="AC34" s="222" cm="1">
        <f t="array" aca="1" ref="AC34" ca="1">'Tablica IO'!AC190*INDEX(Model!$C$93:$CA$93,Model!$A34) + IF(wplyw_cen_import_wlaczony,'Tablica IO'!AC268*INDEX(Model!$C$2:$CA$2,Model!$A34),'Tablica IO'!AC268*1)</f>
        <v>1.0942902878455214E-3</v>
      </c>
      <c r="AD34" s="222" cm="1">
        <f t="array" aca="1" ref="AD34" ca="1">'Tablica IO'!AD190*INDEX(Model!$C$93:$CA$93,Model!$A34) + IF(wplyw_cen_import_wlaczony,'Tablica IO'!AD268*INDEX(Model!$C$2:$CA$2,Model!$A34),'Tablica IO'!AD268*1)</f>
        <v>1.7638443198764874E-3</v>
      </c>
      <c r="AE34" s="222" cm="1">
        <f t="array" aca="1" ref="AE34" ca="1">'Tablica IO'!AE190*INDEX(Model!$C$93:$CA$93,Model!$A34) + IF(wplyw_cen_import_wlaczony,'Tablica IO'!AE268*INDEX(Model!$C$2:$CA$2,Model!$A34),'Tablica IO'!AE268*1)</f>
        <v>1.7928319517703274E-2</v>
      </c>
      <c r="AF34" s="222" cm="1">
        <f t="array" aca="1" ref="AF34" ca="1">'Tablica IO'!AF190*INDEX(Model!$C$93:$CA$93,Model!$A34) + IF(wplyw_cen_import_wlaczony,'Tablica IO'!AF268*INDEX(Model!$C$2:$CA$2,Model!$A34),'Tablica IO'!AF268*1)</f>
        <v>5.1244315733471862E-3</v>
      </c>
      <c r="AG34" s="222" cm="1">
        <f t="array" aca="1" ref="AG34" ca="1">'Tablica IO'!AG190*INDEX(Model!$C$93:$CA$93,Model!$A34) + IF(wplyw_cen_import_wlaczony,'Tablica IO'!AG268*INDEX(Model!$C$2:$CA$2,Model!$A34),'Tablica IO'!AG268*1)</f>
        <v>1.3747897246262142E-3</v>
      </c>
      <c r="AH34" s="222" cm="1">
        <f t="array" aca="1" ref="AH34" ca="1">'Tablica IO'!AH190*INDEX(Model!$C$93:$CA$93,Model!$A34) + IF(wplyw_cen_import_wlaczony,'Tablica IO'!AH268*INDEX(Model!$C$2:$CA$2,Model!$A34),'Tablica IO'!AH268*1)</f>
        <v>7.7531519311548178E-4</v>
      </c>
      <c r="AI34" s="222" cm="1">
        <f t="array" aca="1" ref="AI34" ca="1">'Tablica IO'!AI190*INDEX(Model!$C$93:$CA$93,Model!$A34) + IF(wplyw_cen_import_wlaczony,'Tablica IO'!AI268*INDEX(Model!$C$2:$CA$2,Model!$A34),'Tablica IO'!AI268*1)</f>
        <v>8.0177279253287686E-4</v>
      </c>
      <c r="AJ34" s="222" cm="1">
        <f t="array" aca="1" ref="AJ34" ca="1">'Tablica IO'!AJ190*INDEX(Model!$C$93:$CA$93,Model!$A34) + IF(wplyw_cen_import_wlaczony,'Tablica IO'!AJ268*INDEX(Model!$C$2:$CA$2,Model!$A34),'Tablica IO'!AJ268*1)</f>
        <v>2.6665980844422206E-3</v>
      </c>
      <c r="AK34" s="222" cm="1">
        <f t="array" aca="1" ref="AK34" ca="1">'Tablica IO'!AK190*INDEX(Model!$C$93:$CA$93,Model!$A34) + IF(wplyw_cen_import_wlaczony,'Tablica IO'!AK268*INDEX(Model!$C$2:$CA$2,Model!$A34),'Tablica IO'!AK268*1)</f>
        <v>1.7160798598397041E-3</v>
      </c>
      <c r="AL34" s="222" cm="1">
        <f t="array" aca="1" ref="AL34" ca="1">'Tablica IO'!AL190*INDEX(Model!$C$93:$CA$93,Model!$A34) + IF(wplyw_cen_import_wlaczony,'Tablica IO'!AL268*INDEX(Model!$C$2:$CA$2,Model!$A34),'Tablica IO'!AL268*1)</f>
        <v>2.3660371032376763E-3</v>
      </c>
      <c r="AM34" s="222" cm="1">
        <f t="array" aca="1" ref="AM34" ca="1">'Tablica IO'!AM190*INDEX(Model!$C$93:$CA$93,Model!$A34) + IF(wplyw_cen_import_wlaczony,'Tablica IO'!AM268*INDEX(Model!$C$2:$CA$2,Model!$A34),'Tablica IO'!AM268*1)</f>
        <v>1.5662527652410977E-3</v>
      </c>
      <c r="AN34" s="222" cm="1">
        <f t="array" aca="1" ref="AN34" ca="1">'Tablica IO'!AN190*INDEX(Model!$C$93:$CA$93,Model!$A34) + IF(wplyw_cen_import_wlaczony,'Tablica IO'!AN268*INDEX(Model!$C$2:$CA$2,Model!$A34),'Tablica IO'!AN268*1)</f>
        <v>1.2336420196016923E-3</v>
      </c>
      <c r="AO34" s="222" cm="1">
        <f t="array" aca="1" ref="AO34" ca="1">'Tablica IO'!AO190*INDEX(Model!$C$93:$CA$93,Model!$A34) + IF(wplyw_cen_import_wlaczony,'Tablica IO'!AO268*INDEX(Model!$C$2:$CA$2,Model!$A34),'Tablica IO'!AO268*1)</f>
        <v>3.0100467298091044E-3</v>
      </c>
      <c r="AP34" s="222" cm="1">
        <f t="array" aca="1" ref="AP34" ca="1">'Tablica IO'!AP190*INDEX(Model!$C$93:$CA$93,Model!$A34) + IF(wplyw_cen_import_wlaczony,'Tablica IO'!AP268*INDEX(Model!$C$2:$CA$2,Model!$A34),'Tablica IO'!AP268*1)</f>
        <v>9.1767329888768872E-4</v>
      </c>
      <c r="AQ34" s="222" cm="1">
        <f t="array" aca="1" ref="AQ34" ca="1">'Tablica IO'!AQ190*INDEX(Model!$C$93:$CA$93,Model!$A34) + IF(wplyw_cen_import_wlaczony,'Tablica IO'!AQ268*INDEX(Model!$C$2:$CA$2,Model!$A34),'Tablica IO'!AQ268*1)</f>
        <v>4.7945860808551487E-4</v>
      </c>
      <c r="AR34" s="222" cm="1">
        <f t="array" aca="1" ref="AR34" ca="1">'Tablica IO'!AR190*INDEX(Model!$C$93:$CA$93,Model!$A34) + IF(wplyw_cen_import_wlaczony,'Tablica IO'!AR268*INDEX(Model!$C$2:$CA$2,Model!$A34),'Tablica IO'!AR268*1)</f>
        <v>3.3000524190517262E-4</v>
      </c>
      <c r="AS34" s="222" cm="1">
        <f t="array" aca="1" ref="AS34" ca="1">'Tablica IO'!AS190*INDEX(Model!$C$93:$CA$93,Model!$A34) + IF(wplyw_cen_import_wlaczony,'Tablica IO'!AS268*INDEX(Model!$C$2:$CA$2,Model!$A34),'Tablica IO'!AS268*1)</f>
        <v>4.0230252363772048E-4</v>
      </c>
      <c r="AT34" s="222" cm="1">
        <f t="array" aca="1" ref="AT34" ca="1">'Tablica IO'!AT190*INDEX(Model!$C$93:$CA$93,Model!$A34) + IF(wplyw_cen_import_wlaczony,'Tablica IO'!AT268*INDEX(Model!$C$2:$CA$2,Model!$A34),'Tablica IO'!AT268*1)</f>
        <v>5.7249491975597065E-3</v>
      </c>
      <c r="AU34" s="222" cm="1">
        <f t="array" aca="1" ref="AU34" ca="1">'Tablica IO'!AU190*INDEX(Model!$C$93:$CA$93,Model!$A34) + IF(wplyw_cen_import_wlaczony,'Tablica IO'!AU268*INDEX(Model!$C$2:$CA$2,Model!$A34),'Tablica IO'!AU268*1)</f>
        <v>2.0174336341599788E-3</v>
      </c>
      <c r="AV34" s="222" cm="1">
        <f t="array" aca="1" ref="AV34" ca="1">'Tablica IO'!AV190*INDEX(Model!$C$93:$CA$93,Model!$A34) + IF(wplyw_cen_import_wlaczony,'Tablica IO'!AV268*INDEX(Model!$C$2:$CA$2,Model!$A34),'Tablica IO'!AV268*1)</f>
        <v>9.4892061085727522E-2</v>
      </c>
      <c r="AW34" s="222" cm="1">
        <f t="array" aca="1" ref="AW34" ca="1">'Tablica IO'!AW190*INDEX(Model!$C$93:$CA$93,Model!$A34) + IF(wplyw_cen_import_wlaczony,'Tablica IO'!AW268*INDEX(Model!$C$2:$CA$2,Model!$A34),'Tablica IO'!AW268*1)</f>
        <v>2.9407391021357549E-2</v>
      </c>
      <c r="AX34" s="222" cm="1">
        <f t="array" aca="1" ref="AX34" ca="1">'Tablica IO'!AX190*INDEX(Model!$C$93:$CA$93,Model!$A34) + IF(wplyw_cen_import_wlaczony,'Tablica IO'!AX268*INDEX(Model!$C$2:$CA$2,Model!$A34),'Tablica IO'!AX268*1)</f>
        <v>1.1238614430171906E-2</v>
      </c>
      <c r="AY34" s="222" cm="1">
        <f t="array" aca="1" ref="AY34" ca="1">'Tablica IO'!AY190*INDEX(Model!$C$93:$CA$93,Model!$A34) + IF(wplyw_cen_import_wlaczony,'Tablica IO'!AY268*INDEX(Model!$C$2:$CA$2,Model!$A34),'Tablica IO'!AY268*1)</f>
        <v>9.031523903451586E-4</v>
      </c>
      <c r="AZ34" s="222" cm="1">
        <f t="array" aca="1" ref="AZ34" ca="1">'Tablica IO'!AZ190*INDEX(Model!$C$93:$CA$93,Model!$A34) + IF(wplyw_cen_import_wlaczony,'Tablica IO'!AZ268*INDEX(Model!$C$2:$CA$2,Model!$A34),'Tablica IO'!AZ268*1)</f>
        <v>5.2181869396736849E-3</v>
      </c>
      <c r="BA34" s="222" cm="1">
        <f t="array" aca="1" ref="BA34" ca="1">'Tablica IO'!BA190*INDEX(Model!$C$93:$CA$93,Model!$A34) + IF(wplyw_cen_import_wlaczony,'Tablica IO'!BA268*INDEX(Model!$C$2:$CA$2,Model!$A34),'Tablica IO'!BA268*1)</f>
        <v>1.1856294068563367E-3</v>
      </c>
      <c r="BB34" s="222" cm="1">
        <f t="array" aca="1" ref="BB34" ca="1">'Tablica IO'!BB190*INDEX(Model!$C$93:$CA$93,Model!$A34) + IF(wplyw_cen_import_wlaczony,'Tablica IO'!BB268*INDEX(Model!$C$2:$CA$2,Model!$A34),'Tablica IO'!BB268*1)</f>
        <v>5.2152522921599103E-4</v>
      </c>
      <c r="BC34" s="222" cm="1">
        <f t="array" aca="1" ref="BC34" ca="1">'Tablica IO'!BC190*INDEX(Model!$C$93:$CA$93,Model!$A34) + IF(wplyw_cen_import_wlaczony,'Tablica IO'!BC268*INDEX(Model!$C$2:$CA$2,Model!$A34),'Tablica IO'!BC268*1)</f>
        <v>2.683077442139034E-3</v>
      </c>
      <c r="BD34" s="222" cm="1">
        <f t="array" aca="1" ref="BD34" ca="1">'Tablica IO'!BD190*INDEX(Model!$C$93:$CA$93,Model!$A34) + IF(wplyw_cen_import_wlaczony,'Tablica IO'!BD268*INDEX(Model!$C$2:$CA$2,Model!$A34),'Tablica IO'!BD268*1)</f>
        <v>1.5700626520991703E-3</v>
      </c>
      <c r="BE34" s="222" cm="1">
        <f t="array" aca="1" ref="BE34" ca="1">'Tablica IO'!BE190*INDEX(Model!$C$93:$CA$93,Model!$A34) + IF(wplyw_cen_import_wlaczony,'Tablica IO'!BE268*INDEX(Model!$C$2:$CA$2,Model!$A34),'Tablica IO'!BE268*1)</f>
        <v>6.9881292460745184E-3</v>
      </c>
      <c r="BF34" s="222" cm="1">
        <f t="array" aca="1" ref="BF34" ca="1">'Tablica IO'!BF190*INDEX(Model!$C$93:$CA$93,Model!$A34) + IF(wplyw_cen_import_wlaczony,'Tablica IO'!BF268*INDEX(Model!$C$2:$CA$2,Model!$A34),'Tablica IO'!BF268*1)</f>
        <v>1.1074075511894784E-2</v>
      </c>
      <c r="BG34" s="222" cm="1">
        <f t="array" aca="1" ref="BG34" ca="1">'Tablica IO'!BG190*INDEX(Model!$C$93:$CA$93,Model!$A34) + IF(wplyw_cen_import_wlaczony,'Tablica IO'!BG268*INDEX(Model!$C$2:$CA$2,Model!$A34),'Tablica IO'!BG268*1)</f>
        <v>1.0454910224571396E-3</v>
      </c>
      <c r="BH34" s="222" cm="1">
        <f t="array" aca="1" ref="BH34" ca="1">'Tablica IO'!BH190*INDEX(Model!$C$93:$CA$93,Model!$A34) + IF(wplyw_cen_import_wlaczony,'Tablica IO'!BH268*INDEX(Model!$C$2:$CA$2,Model!$A34),'Tablica IO'!BH268*1)</f>
        <v>3.2206103147138956E-3</v>
      </c>
      <c r="BI34" s="222" cm="1">
        <f t="array" aca="1" ref="BI34" ca="1">'Tablica IO'!BI190*INDEX(Model!$C$93:$CA$93,Model!$A34) + IF(wplyw_cen_import_wlaczony,'Tablica IO'!BI268*INDEX(Model!$C$2:$CA$2,Model!$A34),'Tablica IO'!BI268*1)</f>
        <v>0</v>
      </c>
      <c r="BJ34" s="222" cm="1">
        <f t="array" aca="1" ref="BJ34" ca="1">'Tablica IO'!BJ190*INDEX(Model!$C$93:$CA$93,Model!$A34) + IF(wplyw_cen_import_wlaczony,'Tablica IO'!BJ268*INDEX(Model!$C$2:$CA$2,Model!$A34),'Tablica IO'!BJ268*1)</f>
        <v>1.7130118523430286E-3</v>
      </c>
      <c r="BK34" s="222" cm="1">
        <f t="array" aca="1" ref="BK34" ca="1">'Tablica IO'!BK190*INDEX(Model!$C$93:$CA$93,Model!$A34) + IF(wplyw_cen_import_wlaczony,'Tablica IO'!BK268*INDEX(Model!$C$2:$CA$2,Model!$A34),'Tablica IO'!BK268*1)</f>
        <v>7.724767218837544E-4</v>
      </c>
      <c r="BL34" s="222" cm="1">
        <f t="array" aca="1" ref="BL34" ca="1">'Tablica IO'!BL190*INDEX(Model!$C$93:$CA$93,Model!$A34) + IF(wplyw_cen_import_wlaczony,'Tablica IO'!BL268*INDEX(Model!$C$2:$CA$2,Model!$A34),'Tablica IO'!BL268*1)</f>
        <v>2.8480225954492777E-4</v>
      </c>
      <c r="BM34" s="222" cm="1">
        <f t="array" aca="1" ref="BM34" ca="1">'Tablica IO'!BM190*INDEX(Model!$C$93:$CA$93,Model!$A34) + IF(wplyw_cen_import_wlaczony,'Tablica IO'!BM268*INDEX(Model!$C$2:$CA$2,Model!$A34),'Tablica IO'!BM268*1)</f>
        <v>1.7700413049772247E-2</v>
      </c>
      <c r="BN34" s="222" cm="1">
        <f t="array" aca="1" ref="BN34" ca="1">'Tablica IO'!BN190*INDEX(Model!$C$93:$CA$93,Model!$A34) + IF(wplyw_cen_import_wlaczony,'Tablica IO'!BN268*INDEX(Model!$C$2:$CA$2,Model!$A34),'Tablica IO'!BN268*1)</f>
        <v>3.1416139294871087E-4</v>
      </c>
      <c r="BO34" s="222" cm="1">
        <f t="array" aca="1" ref="BO34" ca="1">'Tablica IO'!BO190*INDEX(Model!$C$93:$CA$93,Model!$A34) + IF(wplyw_cen_import_wlaczony,'Tablica IO'!BO268*INDEX(Model!$C$2:$CA$2,Model!$A34),'Tablica IO'!BO268*1)</f>
        <v>2.785386337401271E-4</v>
      </c>
      <c r="BP34" s="222" cm="1">
        <f t="array" aca="1" ref="BP34" ca="1">'Tablica IO'!BP190*INDEX(Model!$C$93:$CA$93,Model!$A34) + IF(wplyw_cen_import_wlaczony,'Tablica IO'!BP268*INDEX(Model!$C$2:$CA$2,Model!$A34),'Tablica IO'!BP268*1)</f>
        <v>3.4361911440808162E-3</v>
      </c>
      <c r="BQ34" s="222" cm="1">
        <f t="array" aca="1" ref="BQ34" ca="1">'Tablica IO'!BQ190*INDEX(Model!$C$93:$CA$93,Model!$A34) + IF(wplyw_cen_import_wlaczony,'Tablica IO'!BQ268*INDEX(Model!$C$2:$CA$2,Model!$A34),'Tablica IO'!BQ268*1)</f>
        <v>1.8246983027722407E-3</v>
      </c>
      <c r="BR34" s="222" cm="1">
        <f t="array" aca="1" ref="BR34" ca="1">'Tablica IO'!BR190*INDEX(Model!$C$93:$CA$93,Model!$A34) + IF(wplyw_cen_import_wlaczony,'Tablica IO'!BR268*INDEX(Model!$C$2:$CA$2,Model!$A34),'Tablica IO'!BR268*1)</f>
        <v>5.3268763324983929E-3</v>
      </c>
      <c r="BS34" s="222" cm="1">
        <f t="array" aca="1" ref="BS34" ca="1">'Tablica IO'!BS190*INDEX(Model!$C$93:$CA$93,Model!$A34) + IF(wplyw_cen_import_wlaczony,'Tablica IO'!BS268*INDEX(Model!$C$2:$CA$2,Model!$A34),'Tablica IO'!BS268*1)</f>
        <v>1.7462057075259078E-4</v>
      </c>
      <c r="BT34" s="222" cm="1">
        <f t="array" aca="1" ref="BT34" ca="1">'Tablica IO'!BT190*INDEX(Model!$C$93:$CA$93,Model!$A34) + IF(wplyw_cen_import_wlaczony,'Tablica IO'!BT268*INDEX(Model!$C$2:$CA$2,Model!$A34),'Tablica IO'!BT268*1)</f>
        <v>4.5471635767605715E-3</v>
      </c>
      <c r="BU34" s="222" cm="1">
        <f t="array" aca="1" ref="BU34" ca="1">'Tablica IO'!BU190*INDEX(Model!$C$93:$CA$93,Model!$A34) + IF(wplyw_cen_import_wlaczony,'Tablica IO'!BU268*INDEX(Model!$C$2:$CA$2,Model!$A34),'Tablica IO'!BU268*1)</f>
        <v>1.0317747841420194E-3</v>
      </c>
      <c r="BV34" s="222" cm="1">
        <f t="array" aca="1" ref="BV34" ca="1">'Tablica IO'!BV190*INDEX(Model!$C$93:$CA$93,Model!$A34) + IF(wplyw_cen_import_wlaczony,'Tablica IO'!BV268*INDEX(Model!$C$2:$CA$2,Model!$A34),'Tablica IO'!BV268*1)</f>
        <v>5.6914251800731595E-3</v>
      </c>
      <c r="BW34" s="222" cm="1">
        <f t="array" aca="1" ref="BW34" ca="1">'Tablica IO'!BW190*INDEX(Model!$C$93:$CA$93,Model!$A34) + IF(wplyw_cen_import_wlaczony,'Tablica IO'!BW268*INDEX(Model!$C$2:$CA$2,Model!$A34),'Tablica IO'!BW268*1)</f>
        <v>1.2483200205207589E-3</v>
      </c>
      <c r="BX34" s="222" cm="1">
        <f t="array" aca="1" ref="BX34" ca="1">'Tablica IO'!BX190*INDEX(Model!$C$93:$CA$93,Model!$A34) + IF(wplyw_cen_import_wlaczony,'Tablica IO'!BX268*INDEX(Model!$C$2:$CA$2,Model!$A34),'Tablica IO'!BX268*1)</f>
        <v>1.7310551240231748E-2</v>
      </c>
      <c r="BY34" s="222" cm="1">
        <f t="array" aca="1" ref="BY34" ca="1">'Tablica IO'!BY190*INDEX(Model!$C$93:$CA$93,Model!$A34) + IF(wplyw_cen_import_wlaczony,'Tablica IO'!BY268*INDEX(Model!$C$2:$CA$2,Model!$A34),'Tablica IO'!BY268*1)</f>
        <v>3.9982885283885758E-2</v>
      </c>
      <c r="BZ34" s="222" cm="1">
        <f t="array" aca="1" ref="BZ34" ca="1">'Tablica IO'!BZ190*INDEX(Model!$C$93:$CA$93,Model!$A34) + IF(wplyw_cen_import_wlaczony,'Tablica IO'!BZ268*INDEX(Model!$C$2:$CA$2,Model!$A34),'Tablica IO'!BZ268*1)</f>
        <v>1.2232001514342738E-3</v>
      </c>
      <c r="CA34" s="222" cm="1">
        <f t="array" aca="1" ref="CA34" ca="1">'Tablica IO'!CA190*INDEX(Model!$C$93:$CA$93,Model!$A34) + IF(wplyw_cen_import_wlaczony,'Tablica IO'!CA268*INDEX(Model!$C$2:$CA$2,Model!$A34),'Tablica IO'!CA268*1)</f>
        <v>0</v>
      </c>
      <c r="CB34" s="247">
        <f ca="1">'Tablica IO'!CD190*INDEX(Model!$C$93:$CA$93,Model!$A34)+'Tablica IO'!CD268*INDEX(Model!$C$2:$CA$2,Model!$A34)</f>
        <v>1.6114595933396068E-2</v>
      </c>
      <c r="CC34" s="188">
        <f ca="1">'Tablica IO'!CE190*INDEX(Model!$C$93:$CA$93,Model!$A34)+'Tablica IO'!CE268*INDEX(Model!$C$2:$CA$2,Model!$A34)</f>
        <v>6.5392964254250513E-4</v>
      </c>
      <c r="CD34" s="188">
        <f ca="1">'Tablica IO'!CF190*INDEX(Model!$C$93:$CA$93,Model!$A34)+'Tablica IO'!CF268*INDEX(Model!$C$2:$CA$2,Model!$A34)</f>
        <v>4.8288154212907206E-2</v>
      </c>
      <c r="CE34" s="189">
        <f ca="1">'Tablica IO'!CG190*INDEX(Model!$C$93:$CA$93,Model!$A34)+'Tablica IO'!CG268*INDEX(Model!$C$2:$CA$2,Model!$A34)</f>
        <v>6.5126521992994568E-2</v>
      </c>
    </row>
    <row r="35" spans="1:83" x14ac:dyDescent="0.25">
      <c r="A35" s="164">
        <v>23</v>
      </c>
      <c r="B35" s="172" t="s">
        <v>22</v>
      </c>
      <c r="C35" s="221" cm="1">
        <f t="array" aca="1" ref="C35" ca="1">'Tablica IO'!C191*INDEX(Model!$C$93:$CA$93,Model!$A35) + IF(wplyw_cen_import_wlaczony,'Tablica IO'!C269*INDEX(Model!$C$2:$CA$2,Model!$A35),'Tablica IO'!C269*1)</f>
        <v>1.6739845505024066E-3</v>
      </c>
      <c r="D35" s="222" cm="1">
        <f t="array" aca="1" ref="D35" ca="1">'Tablica IO'!D191*INDEX(Model!$C$93:$CA$93,Model!$A35) + IF(wplyw_cen_import_wlaczony,'Tablica IO'!D269*INDEX(Model!$C$2:$CA$2,Model!$A35),'Tablica IO'!D269*1)</f>
        <v>3.6966313338602765E-4</v>
      </c>
      <c r="E35" s="222" cm="1">
        <f t="array" aca="1" ref="E35" ca="1">'Tablica IO'!E191*INDEX(Model!$C$93:$CA$93,Model!$A35) + IF(wplyw_cen_import_wlaczony,'Tablica IO'!E269*INDEX(Model!$C$2:$CA$2,Model!$A35),'Tablica IO'!E269*1)</f>
        <v>3.0014313891980936E-3</v>
      </c>
      <c r="F35" s="222" cm="1">
        <f t="array" aca="1" ref="F35" ca="1">'Tablica IO'!F191*INDEX(Model!$C$93:$CA$93,Model!$A35) + IF(wplyw_cen_import_wlaczony,'Tablica IO'!F269*INDEX(Model!$C$2:$CA$2,Model!$A35),'Tablica IO'!F269*1)</f>
        <v>7.2353603442513658E-3</v>
      </c>
      <c r="G35" s="222" cm="1">
        <f t="array" aca="1" ref="G35" ca="1">'Tablica IO'!G191*INDEX(Model!$C$93:$CA$93,Model!$A35) + IF(wplyw_cen_import_wlaczony,'Tablica IO'!G269*INDEX(Model!$C$2:$CA$2,Model!$A35),'Tablica IO'!G269*1)</f>
        <v>2.0611407571427061E-3</v>
      </c>
      <c r="H35" s="222" cm="1">
        <f t="array" aca="1" ref="H35" ca="1">'Tablica IO'!H191*INDEX(Model!$C$93:$CA$93,Model!$A35) + IF(wplyw_cen_import_wlaczony,'Tablica IO'!H269*INDEX(Model!$C$2:$CA$2,Model!$A35),'Tablica IO'!H269*1)</f>
        <v>3.735246009014604E-4</v>
      </c>
      <c r="I35" s="222" cm="1">
        <f t="array" aca="1" ref="I35" ca="1">'Tablica IO'!I191*INDEX(Model!$C$93:$CA$93,Model!$A35) + IF(wplyw_cen_import_wlaczony,'Tablica IO'!I269*INDEX(Model!$C$2:$CA$2,Model!$A35),'Tablica IO'!I269*1)</f>
        <v>6.4371620282372213E-4</v>
      </c>
      <c r="J35" s="222" cm="1">
        <f t="array" aca="1" ref="J35" ca="1">'Tablica IO'!J191*INDEX(Model!$C$93:$CA$93,Model!$A35) + IF(wplyw_cen_import_wlaczony,'Tablica IO'!J269*INDEX(Model!$C$2:$CA$2,Model!$A35),'Tablica IO'!J269*1)</f>
        <v>7.1613064512063924E-4</v>
      </c>
      <c r="K35" s="222" cm="1">
        <f t="array" aca="1" ref="K35" ca="1">'Tablica IO'!K191*INDEX(Model!$C$93:$CA$93,Model!$A35) + IF(wplyw_cen_import_wlaczony,'Tablica IO'!K269*INDEX(Model!$C$2:$CA$2,Model!$A35),'Tablica IO'!K269*1)</f>
        <v>1.2570995489264306E-3</v>
      </c>
      <c r="L35" s="222" cm="1">
        <f t="array" aca="1" ref="L35" ca="1">'Tablica IO'!L191*INDEX(Model!$C$93:$CA$93,Model!$A35) + IF(wplyw_cen_import_wlaczony,'Tablica IO'!L269*INDEX(Model!$C$2:$CA$2,Model!$A35),'Tablica IO'!L269*1)</f>
        <v>9.4698301876273375E-4</v>
      </c>
      <c r="M35" s="222" cm="1">
        <f t="array" aca="1" ref="M35" ca="1">'Tablica IO'!M191*INDEX(Model!$C$93:$CA$93,Model!$A35) + IF(wplyw_cen_import_wlaczony,'Tablica IO'!M269*INDEX(Model!$C$2:$CA$2,Model!$A35),'Tablica IO'!M269*1)</f>
        <v>1.1720586323662181E-3</v>
      </c>
      <c r="N35" s="222" cm="1">
        <f t="array" aca="1" ref="N35" ca="1">'Tablica IO'!N191*INDEX(Model!$C$93:$CA$93,Model!$A35) + IF(wplyw_cen_import_wlaczony,'Tablica IO'!N269*INDEX(Model!$C$2:$CA$2,Model!$A35),'Tablica IO'!N269*1)</f>
        <v>1.1864852297313578E-3</v>
      </c>
      <c r="O35" s="222" cm="1">
        <f t="array" aca="1" ref="O35" ca="1">'Tablica IO'!O191*INDEX(Model!$C$93:$CA$93,Model!$A35) + IF(wplyw_cen_import_wlaczony,'Tablica IO'!O269*INDEX(Model!$C$2:$CA$2,Model!$A35),'Tablica IO'!O269*1)</f>
        <v>1.0145898774835001E-3</v>
      </c>
      <c r="P35" s="222" cm="1">
        <f t="array" aca="1" ref="P35" ca="1">'Tablica IO'!P191*INDEX(Model!$C$93:$CA$93,Model!$A35) + IF(wplyw_cen_import_wlaczony,'Tablica IO'!P269*INDEX(Model!$C$2:$CA$2,Model!$A35),'Tablica IO'!P269*1)</f>
        <v>5.9514413760178146E-4</v>
      </c>
      <c r="Q35" s="222" cm="1">
        <f t="array" aca="1" ref="Q35" ca="1">'Tablica IO'!Q191*INDEX(Model!$C$93:$CA$93,Model!$A35) + IF(wplyw_cen_import_wlaczony,'Tablica IO'!Q269*INDEX(Model!$C$2:$CA$2,Model!$A35),'Tablica IO'!Q269*1)</f>
        <v>1.3559917817476054E-3</v>
      </c>
      <c r="R35" s="222" cm="1">
        <f t="array" aca="1" ref="R35" ca="1">'Tablica IO'!R191*INDEX(Model!$C$93:$CA$93,Model!$A35) + IF(wplyw_cen_import_wlaczony,'Tablica IO'!R269*INDEX(Model!$C$2:$CA$2,Model!$A35),'Tablica IO'!R269*1)</f>
        <v>9.030074192226188E-4</v>
      </c>
      <c r="S35" s="222" cm="1">
        <f t="array" aca="1" ref="S35" ca="1">'Tablica IO'!S191*INDEX(Model!$C$93:$CA$93,Model!$A35) + IF(wplyw_cen_import_wlaczony,'Tablica IO'!S269*INDEX(Model!$C$2:$CA$2,Model!$A35),'Tablica IO'!S269*1)</f>
        <v>7.9194684418721262E-4</v>
      </c>
      <c r="T35" s="222" cm="1">
        <f t="array" aca="1" ref="T35" ca="1">'Tablica IO'!T191*INDEX(Model!$C$93:$CA$93,Model!$A35) + IF(wplyw_cen_import_wlaczony,'Tablica IO'!T269*INDEX(Model!$C$2:$CA$2,Model!$A35),'Tablica IO'!T269*1)</f>
        <v>2.581386672195931E-3</v>
      </c>
      <c r="U35" s="222" cm="1">
        <f t="array" aca="1" ref="U35" ca="1">'Tablica IO'!U191*INDEX(Model!$C$93:$CA$93,Model!$A35) + IF(wplyw_cen_import_wlaczony,'Tablica IO'!U269*INDEX(Model!$C$2:$CA$2,Model!$A35),'Tablica IO'!U269*1)</f>
        <v>3.8980461886617551E-3</v>
      </c>
      <c r="V35" s="222" cm="1">
        <f t="array" aca="1" ref="V35" ca="1">'Tablica IO'!V191*INDEX(Model!$C$93:$CA$93,Model!$A35) + IF(wplyw_cen_import_wlaczony,'Tablica IO'!V269*INDEX(Model!$C$2:$CA$2,Model!$A35),'Tablica IO'!V269*1)</f>
        <v>1.3314297825052453E-2</v>
      </c>
      <c r="W35" s="222" cm="1">
        <f t="array" aca="1" ref="W35" ca="1">'Tablica IO'!W191*INDEX(Model!$C$93:$CA$93,Model!$A35) + IF(wplyw_cen_import_wlaczony,'Tablica IO'!W269*INDEX(Model!$C$2:$CA$2,Model!$A35),'Tablica IO'!W269*1)</f>
        <v>3.9502262666679709E-3</v>
      </c>
      <c r="X35" s="222" cm="1">
        <f t="array" aca="1" ref="X35" ca="1">'Tablica IO'!X191*INDEX(Model!$C$93:$CA$93,Model!$A35) + IF(wplyw_cen_import_wlaczony,'Tablica IO'!X269*INDEX(Model!$C$2:$CA$2,Model!$A35),'Tablica IO'!X269*1)</f>
        <v>0.10944061684139331</v>
      </c>
      <c r="Y35" s="222" cm="1">
        <f t="array" aca="1" ref="Y35" ca="1">'Tablica IO'!Y191*INDEX(Model!$C$93:$CA$93,Model!$A35) + IF(wplyw_cen_import_wlaczony,'Tablica IO'!Y269*INDEX(Model!$C$2:$CA$2,Model!$A35),'Tablica IO'!Y269*1)</f>
        <v>0.17432685566576056</v>
      </c>
      <c r="Z35" s="222" cm="1">
        <f t="array" aca="1" ref="Z35" ca="1">'Tablica IO'!Z191*INDEX(Model!$C$93:$CA$93,Model!$A35) + IF(wplyw_cen_import_wlaczony,'Tablica IO'!Z269*INDEX(Model!$C$2:$CA$2,Model!$A35),'Tablica IO'!Z269*1)</f>
        <v>4.923625303163788E-2</v>
      </c>
      <c r="AA35" s="222" cm="1">
        <f t="array" aca="1" ref="AA35" ca="1">'Tablica IO'!AA191*INDEX(Model!$C$93:$CA$93,Model!$A35) + IF(wplyw_cen_import_wlaczony,'Tablica IO'!AA269*INDEX(Model!$C$2:$CA$2,Model!$A35),'Tablica IO'!AA269*1)</f>
        <v>1.907048124129293E-2</v>
      </c>
      <c r="AB35" s="222" cm="1">
        <f t="array" aca="1" ref="AB35" ca="1">'Tablica IO'!AB191*INDEX(Model!$C$93:$CA$93,Model!$A35) + IF(wplyw_cen_import_wlaczony,'Tablica IO'!AB269*INDEX(Model!$C$2:$CA$2,Model!$A35),'Tablica IO'!AB269*1)</f>
        <v>1.3484598220951324E-2</v>
      </c>
      <c r="AC35" s="222" cm="1">
        <f t="array" aca="1" ref="AC35" ca="1">'Tablica IO'!AC191*INDEX(Model!$C$93:$CA$93,Model!$A35) + IF(wplyw_cen_import_wlaczony,'Tablica IO'!AC269*INDEX(Model!$C$2:$CA$2,Model!$A35),'Tablica IO'!AC269*1)</f>
        <v>1.7912905437338809E-3</v>
      </c>
      <c r="AD35" s="222" cm="1">
        <f t="array" aca="1" ref="AD35" ca="1">'Tablica IO'!AD191*INDEX(Model!$C$93:$CA$93,Model!$A35) + IF(wplyw_cen_import_wlaczony,'Tablica IO'!AD269*INDEX(Model!$C$2:$CA$2,Model!$A35),'Tablica IO'!AD269*1)</f>
        <v>4.3532508438788012E-4</v>
      </c>
      <c r="AE35" s="222" cm="1">
        <f t="array" aca="1" ref="AE35" ca="1">'Tablica IO'!AE191*INDEX(Model!$C$93:$CA$93,Model!$A35) + IF(wplyw_cen_import_wlaczony,'Tablica IO'!AE269*INDEX(Model!$C$2:$CA$2,Model!$A35),'Tablica IO'!AE269*1)</f>
        <v>2.0696513737391561E-2</v>
      </c>
      <c r="AF35" s="222" cm="1">
        <f t="array" aca="1" ref="AF35" ca="1">'Tablica IO'!AF191*INDEX(Model!$C$93:$CA$93,Model!$A35) + IF(wplyw_cen_import_wlaczony,'Tablica IO'!AF269*INDEX(Model!$C$2:$CA$2,Model!$A35),'Tablica IO'!AF269*1)</f>
        <v>1.5950986554668277E-2</v>
      </c>
      <c r="AG35" s="222" cm="1">
        <f t="array" aca="1" ref="AG35" ca="1">'Tablica IO'!AG191*INDEX(Model!$C$93:$CA$93,Model!$A35) + IF(wplyw_cen_import_wlaczony,'Tablica IO'!AG269*INDEX(Model!$C$2:$CA$2,Model!$A35),'Tablica IO'!AG269*1)</f>
        <v>2.2576148608424323E-3</v>
      </c>
      <c r="AH35" s="222" cm="1">
        <f t="array" aca="1" ref="AH35" ca="1">'Tablica IO'!AH191*INDEX(Model!$C$93:$CA$93,Model!$A35) + IF(wplyw_cen_import_wlaczony,'Tablica IO'!AH269*INDEX(Model!$C$2:$CA$2,Model!$A35),'Tablica IO'!AH269*1)</f>
        <v>4.1773608948672391E-3</v>
      </c>
      <c r="AI35" s="222" cm="1">
        <f t="array" aca="1" ref="AI35" ca="1">'Tablica IO'!AI191*INDEX(Model!$C$93:$CA$93,Model!$A35) + IF(wplyw_cen_import_wlaczony,'Tablica IO'!AI269*INDEX(Model!$C$2:$CA$2,Model!$A35),'Tablica IO'!AI269*1)</f>
        <v>9.4363639346557769E-4</v>
      </c>
      <c r="AJ35" s="222" cm="1">
        <f t="array" aca="1" ref="AJ35" ca="1">'Tablica IO'!AJ191*INDEX(Model!$C$93:$CA$93,Model!$A35) + IF(wplyw_cen_import_wlaczony,'Tablica IO'!AJ269*INDEX(Model!$C$2:$CA$2,Model!$A35),'Tablica IO'!AJ269*1)</f>
        <v>1.5040679776240812E-2</v>
      </c>
      <c r="AK35" s="222" cm="1">
        <f t="array" aca="1" ref="AK35" ca="1">'Tablica IO'!AK191*INDEX(Model!$C$93:$CA$93,Model!$A35) + IF(wplyw_cen_import_wlaczony,'Tablica IO'!AK269*INDEX(Model!$C$2:$CA$2,Model!$A35),'Tablica IO'!AK269*1)</f>
        <v>1.8878024189244781E-3</v>
      </c>
      <c r="AL35" s="222" cm="1">
        <f t="array" aca="1" ref="AL35" ca="1">'Tablica IO'!AL191*INDEX(Model!$C$93:$CA$93,Model!$A35) + IF(wplyw_cen_import_wlaczony,'Tablica IO'!AL269*INDEX(Model!$C$2:$CA$2,Model!$A35),'Tablica IO'!AL269*1)</f>
        <v>3.9664918880884872E-3</v>
      </c>
      <c r="AM35" s="222" cm="1">
        <f t="array" aca="1" ref="AM35" ca="1">'Tablica IO'!AM191*INDEX(Model!$C$93:$CA$93,Model!$A35) + IF(wplyw_cen_import_wlaczony,'Tablica IO'!AM269*INDEX(Model!$C$2:$CA$2,Model!$A35),'Tablica IO'!AM269*1)</f>
        <v>2.7701546176080363E-3</v>
      </c>
      <c r="AN35" s="222" cm="1">
        <f t="array" aca="1" ref="AN35" ca="1">'Tablica IO'!AN191*INDEX(Model!$C$93:$CA$93,Model!$A35) + IF(wplyw_cen_import_wlaczony,'Tablica IO'!AN269*INDEX(Model!$C$2:$CA$2,Model!$A35),'Tablica IO'!AN269*1)</f>
        <v>7.3311537084593736E-3</v>
      </c>
      <c r="AO35" s="222" cm="1">
        <f t="array" aca="1" ref="AO35" ca="1">'Tablica IO'!AO191*INDEX(Model!$C$93:$CA$93,Model!$A35) + IF(wplyw_cen_import_wlaczony,'Tablica IO'!AO269*INDEX(Model!$C$2:$CA$2,Model!$A35),'Tablica IO'!AO269*1)</f>
        <v>3.2027334549965857E-3</v>
      </c>
      <c r="AP35" s="222" cm="1">
        <f t="array" aca="1" ref="AP35" ca="1">'Tablica IO'!AP191*INDEX(Model!$C$93:$CA$93,Model!$A35) + IF(wplyw_cen_import_wlaczony,'Tablica IO'!AP269*INDEX(Model!$C$2:$CA$2,Model!$A35),'Tablica IO'!AP269*1)</f>
        <v>7.3189155840505237E-4</v>
      </c>
      <c r="AQ35" s="222" cm="1">
        <f t="array" aca="1" ref="AQ35" ca="1">'Tablica IO'!AQ191*INDEX(Model!$C$93:$CA$93,Model!$A35) + IF(wplyw_cen_import_wlaczony,'Tablica IO'!AQ269*INDEX(Model!$C$2:$CA$2,Model!$A35),'Tablica IO'!AQ269*1)</f>
        <v>1.8134890271519727E-3</v>
      </c>
      <c r="AR35" s="222" cm="1">
        <f t="array" aca="1" ref="AR35" ca="1">'Tablica IO'!AR191*INDEX(Model!$C$93:$CA$93,Model!$A35) + IF(wplyw_cen_import_wlaczony,'Tablica IO'!AR269*INDEX(Model!$C$2:$CA$2,Model!$A35),'Tablica IO'!AR269*1)</f>
        <v>6.0359399277508342E-4</v>
      </c>
      <c r="AS35" s="222" cm="1">
        <f t="array" aca="1" ref="AS35" ca="1">'Tablica IO'!AS191*INDEX(Model!$C$93:$CA$93,Model!$A35) + IF(wplyw_cen_import_wlaczony,'Tablica IO'!AS269*INDEX(Model!$C$2:$CA$2,Model!$A35),'Tablica IO'!AS269*1)</f>
        <v>3.4533593752888677E-4</v>
      </c>
      <c r="AT35" s="222" cm="1">
        <f t="array" aca="1" ref="AT35" ca="1">'Tablica IO'!AT191*INDEX(Model!$C$93:$CA$93,Model!$A35) + IF(wplyw_cen_import_wlaczony,'Tablica IO'!AT269*INDEX(Model!$C$2:$CA$2,Model!$A35),'Tablica IO'!AT269*1)</f>
        <v>1.9507398563402024E-5</v>
      </c>
      <c r="AU35" s="222" cm="1">
        <f t="array" aca="1" ref="AU35" ca="1">'Tablica IO'!AU191*INDEX(Model!$C$93:$CA$93,Model!$A35) + IF(wplyw_cen_import_wlaczony,'Tablica IO'!AU269*INDEX(Model!$C$2:$CA$2,Model!$A35),'Tablica IO'!AU269*1)</f>
        <v>1.0873693862711882E-4</v>
      </c>
      <c r="AV35" s="222" cm="1">
        <f t="array" aca="1" ref="AV35" ca="1">'Tablica IO'!AV191*INDEX(Model!$C$93:$CA$93,Model!$A35) + IF(wplyw_cen_import_wlaczony,'Tablica IO'!AV269*INDEX(Model!$C$2:$CA$2,Model!$A35),'Tablica IO'!AV269*1)</f>
        <v>7.4406228392986497E-3</v>
      </c>
      <c r="AW35" s="222" cm="1">
        <f t="array" aca="1" ref="AW35" ca="1">'Tablica IO'!AW191*INDEX(Model!$C$93:$CA$93,Model!$A35) + IF(wplyw_cen_import_wlaczony,'Tablica IO'!AW269*INDEX(Model!$C$2:$CA$2,Model!$A35),'Tablica IO'!AW269*1)</f>
        <v>3.2626773798542785E-3</v>
      </c>
      <c r="AX35" s="222" cm="1">
        <f t="array" aca="1" ref="AX35" ca="1">'Tablica IO'!AX191*INDEX(Model!$C$93:$CA$93,Model!$A35) + IF(wplyw_cen_import_wlaczony,'Tablica IO'!AX269*INDEX(Model!$C$2:$CA$2,Model!$A35),'Tablica IO'!AX269*1)</f>
        <v>1.730687580912136E-4</v>
      </c>
      <c r="AY35" s="222" cm="1">
        <f t="array" aca="1" ref="AY35" ca="1">'Tablica IO'!AY191*INDEX(Model!$C$93:$CA$93,Model!$A35) + IF(wplyw_cen_import_wlaczony,'Tablica IO'!AY269*INDEX(Model!$C$2:$CA$2,Model!$A35),'Tablica IO'!AY269*1)</f>
        <v>7.8485190517685397E-4</v>
      </c>
      <c r="AZ35" s="222" cm="1">
        <f t="array" aca="1" ref="AZ35" ca="1">'Tablica IO'!AZ191*INDEX(Model!$C$93:$CA$93,Model!$A35) + IF(wplyw_cen_import_wlaczony,'Tablica IO'!AZ269*INDEX(Model!$C$2:$CA$2,Model!$A35),'Tablica IO'!AZ269*1)</f>
        <v>8.285839568013772E-4</v>
      </c>
      <c r="BA35" s="222" cm="1">
        <f t="array" aca="1" ref="BA35" ca="1">'Tablica IO'!BA191*INDEX(Model!$C$93:$CA$93,Model!$A35) + IF(wplyw_cen_import_wlaczony,'Tablica IO'!BA269*INDEX(Model!$C$2:$CA$2,Model!$A35),'Tablica IO'!BA269*1)</f>
        <v>8.0964919681919615E-5</v>
      </c>
      <c r="BB35" s="222" cm="1">
        <f t="array" aca="1" ref="BB35" ca="1">'Tablica IO'!BB191*INDEX(Model!$C$93:$CA$93,Model!$A35) + IF(wplyw_cen_import_wlaczony,'Tablica IO'!BB269*INDEX(Model!$C$2:$CA$2,Model!$A35),'Tablica IO'!BB269*1)</f>
        <v>1.7104215619725485E-3</v>
      </c>
      <c r="BC35" s="222" cm="1">
        <f t="array" aca="1" ref="BC35" ca="1">'Tablica IO'!BC191*INDEX(Model!$C$93:$CA$93,Model!$A35) + IF(wplyw_cen_import_wlaczony,'Tablica IO'!BC269*INDEX(Model!$C$2:$CA$2,Model!$A35),'Tablica IO'!BC269*1)</f>
        <v>1.3983744043753686E-4</v>
      </c>
      <c r="BD35" s="222" cm="1">
        <f t="array" aca="1" ref="BD35" ca="1">'Tablica IO'!BD191*INDEX(Model!$C$93:$CA$93,Model!$A35) + IF(wplyw_cen_import_wlaczony,'Tablica IO'!BD269*INDEX(Model!$C$2:$CA$2,Model!$A35),'Tablica IO'!BD269*1)</f>
        <v>1.938387956168131E-3</v>
      </c>
      <c r="BE35" s="222" cm="1">
        <f t="array" aca="1" ref="BE35" ca="1">'Tablica IO'!BE191*INDEX(Model!$C$93:$CA$93,Model!$A35) + IF(wplyw_cen_import_wlaczony,'Tablica IO'!BE269*INDEX(Model!$C$2:$CA$2,Model!$A35),'Tablica IO'!BE269*1)</f>
        <v>3.9379135540262948E-3</v>
      </c>
      <c r="BF35" s="222" cm="1">
        <f t="array" aca="1" ref="BF35" ca="1">'Tablica IO'!BF191*INDEX(Model!$C$93:$CA$93,Model!$A35) + IF(wplyw_cen_import_wlaczony,'Tablica IO'!BF269*INDEX(Model!$C$2:$CA$2,Model!$A35),'Tablica IO'!BF269*1)</f>
        <v>6.5709077485159029E-3</v>
      </c>
      <c r="BG35" s="222" cm="1">
        <f t="array" aca="1" ref="BG35" ca="1">'Tablica IO'!BG191*INDEX(Model!$C$93:$CA$93,Model!$A35) + IF(wplyw_cen_import_wlaczony,'Tablica IO'!BG269*INDEX(Model!$C$2:$CA$2,Model!$A35),'Tablica IO'!BG269*1)</f>
        <v>1.5905485791189642E-4</v>
      </c>
      <c r="BH35" s="222" cm="1">
        <f t="array" aca="1" ref="BH35" ca="1">'Tablica IO'!BH191*INDEX(Model!$C$93:$CA$93,Model!$A35) + IF(wplyw_cen_import_wlaczony,'Tablica IO'!BH269*INDEX(Model!$C$2:$CA$2,Model!$A35),'Tablica IO'!BH269*1)</f>
        <v>2.5309452216407352E-4</v>
      </c>
      <c r="BI35" s="222" cm="1">
        <f t="array" aca="1" ref="BI35" ca="1">'Tablica IO'!BI191*INDEX(Model!$C$93:$CA$93,Model!$A35) + IF(wplyw_cen_import_wlaczony,'Tablica IO'!BI269*INDEX(Model!$C$2:$CA$2,Model!$A35),'Tablica IO'!BI269*1)</f>
        <v>1.2493113771410387E-5</v>
      </c>
      <c r="BJ35" s="222" cm="1">
        <f t="array" aca="1" ref="BJ35" ca="1">'Tablica IO'!BJ191*INDEX(Model!$C$93:$CA$93,Model!$A35) + IF(wplyw_cen_import_wlaczony,'Tablica IO'!BJ269*INDEX(Model!$C$2:$CA$2,Model!$A35),'Tablica IO'!BJ269*1)</f>
        <v>5.7396883971055739E-3</v>
      </c>
      <c r="BK35" s="222" cm="1">
        <f t="array" aca="1" ref="BK35" ca="1">'Tablica IO'!BK191*INDEX(Model!$C$93:$CA$93,Model!$A35) + IF(wplyw_cen_import_wlaczony,'Tablica IO'!BK269*INDEX(Model!$C$2:$CA$2,Model!$A35),'Tablica IO'!BK269*1)</f>
        <v>7.0864846620319848E-5</v>
      </c>
      <c r="BL35" s="222" cm="1">
        <f t="array" aca="1" ref="BL35" ca="1">'Tablica IO'!BL191*INDEX(Model!$C$93:$CA$93,Model!$A35) + IF(wplyw_cen_import_wlaczony,'Tablica IO'!BL269*INDEX(Model!$C$2:$CA$2,Model!$A35),'Tablica IO'!BL269*1)</f>
        <v>6.8353925224669422E-5</v>
      </c>
      <c r="BM35" s="222" cm="1">
        <f t="array" aca="1" ref="BM35" ca="1">'Tablica IO'!BM191*INDEX(Model!$C$93:$CA$93,Model!$A35) + IF(wplyw_cen_import_wlaczony,'Tablica IO'!BM269*INDEX(Model!$C$2:$CA$2,Model!$A35),'Tablica IO'!BM269*1)</f>
        <v>2.70749671742681E-3</v>
      </c>
      <c r="BN35" s="222" cm="1">
        <f t="array" aca="1" ref="BN35" ca="1">'Tablica IO'!BN191*INDEX(Model!$C$93:$CA$93,Model!$A35) + IF(wplyw_cen_import_wlaczony,'Tablica IO'!BN269*INDEX(Model!$C$2:$CA$2,Model!$A35),'Tablica IO'!BN269*1)</f>
        <v>3.8976765482211467E-4</v>
      </c>
      <c r="BO35" s="222" cm="1">
        <f t="array" aca="1" ref="BO35" ca="1">'Tablica IO'!BO191*INDEX(Model!$C$93:$CA$93,Model!$A35) + IF(wplyw_cen_import_wlaczony,'Tablica IO'!BO269*INDEX(Model!$C$2:$CA$2,Model!$A35),'Tablica IO'!BO269*1)</f>
        <v>5.1510603990715916E-4</v>
      </c>
      <c r="BP35" s="222" cm="1">
        <f t="array" aca="1" ref="BP35" ca="1">'Tablica IO'!BP191*INDEX(Model!$C$93:$CA$93,Model!$A35) + IF(wplyw_cen_import_wlaczony,'Tablica IO'!BP269*INDEX(Model!$C$2:$CA$2,Model!$A35),'Tablica IO'!BP269*1)</f>
        <v>3.8102421874508974E-3</v>
      </c>
      <c r="BQ35" s="222" cm="1">
        <f t="array" aca="1" ref="BQ35" ca="1">'Tablica IO'!BQ191*INDEX(Model!$C$93:$CA$93,Model!$A35) + IF(wplyw_cen_import_wlaczony,'Tablica IO'!BQ269*INDEX(Model!$C$2:$CA$2,Model!$A35),'Tablica IO'!BQ269*1)</f>
        <v>2.4840896017834509E-3</v>
      </c>
      <c r="BR35" s="222" cm="1">
        <f t="array" aca="1" ref="BR35" ca="1">'Tablica IO'!BR191*INDEX(Model!$C$93:$CA$93,Model!$A35) + IF(wplyw_cen_import_wlaczony,'Tablica IO'!BR269*INDEX(Model!$C$2:$CA$2,Model!$A35),'Tablica IO'!BR269*1)</f>
        <v>3.3367642654282752E-3</v>
      </c>
      <c r="BS35" s="222" cm="1">
        <f t="array" aca="1" ref="BS35" ca="1">'Tablica IO'!BS191*INDEX(Model!$C$93:$CA$93,Model!$A35) + IF(wplyw_cen_import_wlaczony,'Tablica IO'!BS269*INDEX(Model!$C$2:$CA$2,Model!$A35),'Tablica IO'!BS269*1)</f>
        <v>7.0121039421953361E-4</v>
      </c>
      <c r="BT35" s="222" cm="1">
        <f t="array" aca="1" ref="BT35" ca="1">'Tablica IO'!BT191*INDEX(Model!$C$93:$CA$93,Model!$A35) + IF(wplyw_cen_import_wlaczony,'Tablica IO'!BT269*INDEX(Model!$C$2:$CA$2,Model!$A35),'Tablica IO'!BT269*1)</f>
        <v>8.0816691979155144E-4</v>
      </c>
      <c r="BU35" s="222" cm="1">
        <f t="array" aca="1" ref="BU35" ca="1">'Tablica IO'!BU191*INDEX(Model!$C$93:$CA$93,Model!$A35) + IF(wplyw_cen_import_wlaczony,'Tablica IO'!BU269*INDEX(Model!$C$2:$CA$2,Model!$A35),'Tablica IO'!BU269*1)</f>
        <v>1.3530571624443184E-3</v>
      </c>
      <c r="BV35" s="222" cm="1">
        <f t="array" aca="1" ref="BV35" ca="1">'Tablica IO'!BV191*INDEX(Model!$C$93:$CA$93,Model!$A35) + IF(wplyw_cen_import_wlaczony,'Tablica IO'!BV269*INDEX(Model!$C$2:$CA$2,Model!$A35),'Tablica IO'!BV269*1)</f>
        <v>3.308775516249517E-4</v>
      </c>
      <c r="BW35" s="222" cm="1">
        <f t="array" aca="1" ref="BW35" ca="1">'Tablica IO'!BW191*INDEX(Model!$C$93:$CA$93,Model!$A35) + IF(wplyw_cen_import_wlaczony,'Tablica IO'!BW269*INDEX(Model!$C$2:$CA$2,Model!$A35),'Tablica IO'!BW269*1)</f>
        <v>1.3090872558635992E-3</v>
      </c>
      <c r="BX35" s="222" cm="1">
        <f t="array" aca="1" ref="BX35" ca="1">'Tablica IO'!BX191*INDEX(Model!$C$93:$CA$93,Model!$A35) + IF(wplyw_cen_import_wlaczony,'Tablica IO'!BX269*INDEX(Model!$C$2:$CA$2,Model!$A35),'Tablica IO'!BX269*1)</f>
        <v>9.008180715804396E-3</v>
      </c>
      <c r="BY35" s="222" cm="1">
        <f t="array" aca="1" ref="BY35" ca="1">'Tablica IO'!BY191*INDEX(Model!$C$93:$CA$93,Model!$A35) + IF(wplyw_cen_import_wlaczony,'Tablica IO'!BY269*INDEX(Model!$C$2:$CA$2,Model!$A35),'Tablica IO'!BY269*1)</f>
        <v>6.0091820821955577E-2</v>
      </c>
      <c r="BZ35" s="222" cm="1">
        <f t="array" aca="1" ref="BZ35" ca="1">'Tablica IO'!BZ191*INDEX(Model!$C$93:$CA$93,Model!$A35) + IF(wplyw_cen_import_wlaczony,'Tablica IO'!BZ269*INDEX(Model!$C$2:$CA$2,Model!$A35),'Tablica IO'!BZ269*1)</f>
        <v>2.9827148919396211E-3</v>
      </c>
      <c r="CA35" s="222" cm="1">
        <f t="array" aca="1" ref="CA35" ca="1">'Tablica IO'!CA191*INDEX(Model!$C$93:$CA$93,Model!$A35) + IF(wplyw_cen_import_wlaczony,'Tablica IO'!CA269*INDEX(Model!$C$2:$CA$2,Model!$A35),'Tablica IO'!CA269*1)</f>
        <v>0</v>
      </c>
      <c r="CB35" s="247">
        <f ca="1">'Tablica IO'!CD191*INDEX(Model!$C$93:$CA$93,Model!$A35)+'Tablica IO'!CD269*INDEX(Model!$C$2:$CA$2,Model!$A35)</f>
        <v>1.0756837075311245E-2</v>
      </c>
      <c r="CC35" s="188">
        <f ca="1">'Tablica IO'!CE191*INDEX(Model!$C$93:$CA$93,Model!$A35)+'Tablica IO'!CE269*INDEX(Model!$C$2:$CA$2,Model!$A35)</f>
        <v>5.3895031650204013E-4</v>
      </c>
      <c r="CD35" s="188">
        <f ca="1">'Tablica IO'!CF191*INDEX(Model!$C$93:$CA$93,Model!$A35)+'Tablica IO'!CF269*INDEX(Model!$C$2:$CA$2,Model!$A35)</f>
        <v>2.885577914781453E-2</v>
      </c>
      <c r="CE35" s="189">
        <f ca="1">'Tablica IO'!CG191*INDEX(Model!$C$93:$CA$93,Model!$A35)+'Tablica IO'!CG269*INDEX(Model!$C$2:$CA$2,Model!$A35)</f>
        <v>5.5408529234893387E-2</v>
      </c>
    </row>
    <row r="36" spans="1:83" x14ac:dyDescent="0.25">
      <c r="A36" s="164">
        <v>24</v>
      </c>
      <c r="B36" s="172" t="s">
        <v>23</v>
      </c>
      <c r="C36" s="221" cm="1">
        <f t="array" aca="1" ref="C36" ca="1">'Tablica IO'!C192*INDEX(Model!$C$93:$CA$93,Model!$A36) + IF(wplyw_cen_import_wlaczony,'Tablica IO'!C270*INDEX(Model!$C$2:$CA$2,Model!$A36),'Tablica IO'!C270*1)</f>
        <v>1.7036212803503412E-2</v>
      </c>
      <c r="D36" s="222" cm="1">
        <f t="array" aca="1" ref="D36" ca="1">'Tablica IO'!D192*INDEX(Model!$C$93:$CA$93,Model!$A36) + IF(wplyw_cen_import_wlaczony,'Tablica IO'!D270*INDEX(Model!$C$2:$CA$2,Model!$A36),'Tablica IO'!D270*1)</f>
        <v>2.3689283310853898E-3</v>
      </c>
      <c r="E36" s="222" cm="1">
        <f t="array" aca="1" ref="E36" ca="1">'Tablica IO'!E192*INDEX(Model!$C$93:$CA$93,Model!$A36) + IF(wplyw_cen_import_wlaczony,'Tablica IO'!E270*INDEX(Model!$C$2:$CA$2,Model!$A36),'Tablica IO'!E270*1)</f>
        <v>1.820907867839835E-3</v>
      </c>
      <c r="F36" s="222" cm="1">
        <f t="array" aca="1" ref="F36" ca="1">'Tablica IO'!F192*INDEX(Model!$C$93:$CA$93,Model!$A36) + IF(wplyw_cen_import_wlaczony,'Tablica IO'!F270*INDEX(Model!$C$2:$CA$2,Model!$A36),'Tablica IO'!F270*1)</f>
        <v>2.3509137987001921E-2</v>
      </c>
      <c r="G36" s="222" cm="1">
        <f t="array" aca="1" ref="G36" ca="1">'Tablica IO'!G192*INDEX(Model!$C$93:$CA$93,Model!$A36) + IF(wplyw_cen_import_wlaczony,'Tablica IO'!G270*INDEX(Model!$C$2:$CA$2,Model!$A36),'Tablica IO'!G270*1)</f>
        <v>1.8669320916898657E-2</v>
      </c>
      <c r="H36" s="222" cm="1">
        <f t="array" aca="1" ref="H36" ca="1">'Tablica IO'!H192*INDEX(Model!$C$93:$CA$93,Model!$A36) + IF(wplyw_cen_import_wlaczony,'Tablica IO'!H270*INDEX(Model!$C$2:$CA$2,Model!$A36),'Tablica IO'!H270*1)</f>
        <v>2.4982465779523335E-3</v>
      </c>
      <c r="I36" s="222" cm="1">
        <f t="array" aca="1" ref="I36" ca="1">'Tablica IO'!I192*INDEX(Model!$C$93:$CA$93,Model!$A36) + IF(wplyw_cen_import_wlaczony,'Tablica IO'!I270*INDEX(Model!$C$2:$CA$2,Model!$A36),'Tablica IO'!I270*1)</f>
        <v>7.8700270432300028E-3</v>
      </c>
      <c r="J36" s="222" cm="1">
        <f t="array" aca="1" ref="J36" ca="1">'Tablica IO'!J192*INDEX(Model!$C$93:$CA$93,Model!$A36) + IF(wplyw_cen_import_wlaczony,'Tablica IO'!J270*INDEX(Model!$C$2:$CA$2,Model!$A36),'Tablica IO'!J270*1)</f>
        <v>3.0584883879389729E-3</v>
      </c>
      <c r="K36" s="222" cm="1">
        <f t="array" aca="1" ref="K36" ca="1">'Tablica IO'!K192*INDEX(Model!$C$93:$CA$93,Model!$A36) + IF(wplyw_cen_import_wlaczony,'Tablica IO'!K270*INDEX(Model!$C$2:$CA$2,Model!$A36),'Tablica IO'!K270*1)</f>
        <v>2.3152531999252365E-2</v>
      </c>
      <c r="L36" s="222" cm="1">
        <f t="array" aca="1" ref="L36" ca="1">'Tablica IO'!L192*INDEX(Model!$C$93:$CA$93,Model!$A36) + IF(wplyw_cen_import_wlaczony,'Tablica IO'!L270*INDEX(Model!$C$2:$CA$2,Model!$A36),'Tablica IO'!L270*1)</f>
        <v>1.0072134556644588E-2</v>
      </c>
      <c r="M36" s="222" cm="1">
        <f t="array" aca="1" ref="M36" ca="1">'Tablica IO'!M192*INDEX(Model!$C$93:$CA$93,Model!$A36) + IF(wplyw_cen_import_wlaczony,'Tablica IO'!M270*INDEX(Model!$C$2:$CA$2,Model!$A36),'Tablica IO'!M270*1)</f>
        <v>4.0990672241545635E-3</v>
      </c>
      <c r="N36" s="222" cm="1">
        <f t="array" aca="1" ref="N36" ca="1">'Tablica IO'!N192*INDEX(Model!$C$93:$CA$93,Model!$A36) + IF(wplyw_cen_import_wlaczony,'Tablica IO'!N270*INDEX(Model!$C$2:$CA$2,Model!$A36),'Tablica IO'!N270*1)</f>
        <v>4.7221387361102117E-3</v>
      </c>
      <c r="O36" s="222" cm="1">
        <f t="array" aca="1" ref="O36" ca="1">'Tablica IO'!O192*INDEX(Model!$C$93:$CA$93,Model!$A36) + IF(wplyw_cen_import_wlaczony,'Tablica IO'!O270*INDEX(Model!$C$2:$CA$2,Model!$A36),'Tablica IO'!O270*1)</f>
        <v>1.1157950181143562E-2</v>
      </c>
      <c r="P36" s="222" cm="1">
        <f t="array" aca="1" ref="P36" ca="1">'Tablica IO'!P192*INDEX(Model!$C$93:$CA$93,Model!$A36) + IF(wplyw_cen_import_wlaczony,'Tablica IO'!P270*INDEX(Model!$C$2:$CA$2,Model!$A36),'Tablica IO'!P270*1)</f>
        <v>5.2522400805232981E-3</v>
      </c>
      <c r="Q36" s="222" cm="1">
        <f t="array" aca="1" ref="Q36" ca="1">'Tablica IO'!Q192*INDEX(Model!$C$93:$CA$93,Model!$A36) + IF(wplyw_cen_import_wlaczony,'Tablica IO'!Q270*INDEX(Model!$C$2:$CA$2,Model!$A36),'Tablica IO'!Q270*1)</f>
        <v>6.7099444079004927E-3</v>
      </c>
      <c r="R36" s="222" cm="1">
        <f t="array" aca="1" ref="R36" ca="1">'Tablica IO'!R192*INDEX(Model!$C$93:$CA$93,Model!$A36) + IF(wplyw_cen_import_wlaczony,'Tablica IO'!R270*INDEX(Model!$C$2:$CA$2,Model!$A36),'Tablica IO'!R270*1)</f>
        <v>5.6323743651844581E-3</v>
      </c>
      <c r="S36" s="222" cm="1">
        <f t="array" aca="1" ref="S36" ca="1">'Tablica IO'!S192*INDEX(Model!$C$93:$CA$93,Model!$A36) + IF(wplyw_cen_import_wlaczony,'Tablica IO'!S270*INDEX(Model!$C$2:$CA$2,Model!$A36),'Tablica IO'!S270*1)</f>
        <v>2.8949660088383026E-3</v>
      </c>
      <c r="T36" s="222" cm="1">
        <f t="array" aca="1" ref="T36" ca="1">'Tablica IO'!T192*INDEX(Model!$C$93:$CA$93,Model!$A36) + IF(wplyw_cen_import_wlaczony,'Tablica IO'!T270*INDEX(Model!$C$2:$CA$2,Model!$A36),'Tablica IO'!T270*1)</f>
        <v>1.869485434631582E-3</v>
      </c>
      <c r="U36" s="222" cm="1">
        <f t="array" aca="1" ref="U36" ca="1">'Tablica IO'!U192*INDEX(Model!$C$93:$CA$93,Model!$A36) + IF(wplyw_cen_import_wlaczony,'Tablica IO'!U270*INDEX(Model!$C$2:$CA$2,Model!$A36),'Tablica IO'!U270*1)</f>
        <v>3.4322953159154415E-3</v>
      </c>
      <c r="V36" s="222" cm="1">
        <f t="array" aca="1" ref="V36" ca="1">'Tablica IO'!V192*INDEX(Model!$C$93:$CA$93,Model!$A36) + IF(wplyw_cen_import_wlaczony,'Tablica IO'!V270*INDEX(Model!$C$2:$CA$2,Model!$A36),'Tablica IO'!V270*1)</f>
        <v>4.8433671753930468E-3</v>
      </c>
      <c r="W36" s="222" cm="1">
        <f t="array" aca="1" ref="W36" ca="1">'Tablica IO'!W192*INDEX(Model!$C$93:$CA$93,Model!$A36) + IF(wplyw_cen_import_wlaczony,'Tablica IO'!W270*INDEX(Model!$C$2:$CA$2,Model!$A36),'Tablica IO'!W270*1)</f>
        <v>1.4194122850242701E-2</v>
      </c>
      <c r="X36" s="222" cm="1">
        <f t="array" aca="1" ref="X36" ca="1">'Tablica IO'!X192*INDEX(Model!$C$93:$CA$93,Model!$A36) + IF(wplyw_cen_import_wlaczony,'Tablica IO'!X270*INDEX(Model!$C$2:$CA$2,Model!$A36),'Tablica IO'!X270*1)</f>
        <v>8.3757918617948686E-3</v>
      </c>
      <c r="Y36" s="222" cm="1">
        <f t="array" aca="1" ref="Y36" ca="1">'Tablica IO'!Y192*INDEX(Model!$C$93:$CA$93,Model!$A36) + IF(wplyw_cen_import_wlaczony,'Tablica IO'!Y270*INDEX(Model!$C$2:$CA$2,Model!$A36),'Tablica IO'!Y270*1)</f>
        <v>2.4781930966606656E-2</v>
      </c>
      <c r="Z36" s="222" cm="1">
        <f t="array" aca="1" ref="Z36" ca="1">'Tablica IO'!Z192*INDEX(Model!$C$93:$CA$93,Model!$A36) + IF(wplyw_cen_import_wlaczony,'Tablica IO'!Z270*INDEX(Model!$C$2:$CA$2,Model!$A36),'Tablica IO'!Z270*1)</f>
        <v>0.10713841137705124</v>
      </c>
      <c r="AA36" s="222" cm="1">
        <f t="array" aca="1" ref="AA36" ca="1">'Tablica IO'!AA192*INDEX(Model!$C$93:$CA$93,Model!$A36) + IF(wplyw_cen_import_wlaczony,'Tablica IO'!AA270*INDEX(Model!$C$2:$CA$2,Model!$A36),'Tablica IO'!AA270*1)</f>
        <v>4.2345845715873291E-2</v>
      </c>
      <c r="AB36" s="222" cm="1">
        <f t="array" aca="1" ref="AB36" ca="1">'Tablica IO'!AB192*INDEX(Model!$C$93:$CA$93,Model!$A36) + IF(wplyw_cen_import_wlaczony,'Tablica IO'!AB270*INDEX(Model!$C$2:$CA$2,Model!$A36),'Tablica IO'!AB270*1)</f>
        <v>4.5828263057698763E-2</v>
      </c>
      <c r="AC36" s="222" cm="1">
        <f t="array" aca="1" ref="AC36" ca="1">'Tablica IO'!AC192*INDEX(Model!$C$93:$CA$93,Model!$A36) + IF(wplyw_cen_import_wlaczony,'Tablica IO'!AC270*INDEX(Model!$C$2:$CA$2,Model!$A36),'Tablica IO'!AC270*1)</f>
        <v>3.2197116965821983E-3</v>
      </c>
      <c r="AD36" s="222" cm="1">
        <f t="array" aca="1" ref="AD36" ca="1">'Tablica IO'!AD192*INDEX(Model!$C$93:$CA$93,Model!$A36) + IF(wplyw_cen_import_wlaczony,'Tablica IO'!AD270*INDEX(Model!$C$2:$CA$2,Model!$A36),'Tablica IO'!AD270*1)</f>
        <v>1.7118570453419246E-2</v>
      </c>
      <c r="AE36" s="222" cm="1">
        <f t="array" aca="1" ref="AE36" ca="1">'Tablica IO'!AE192*INDEX(Model!$C$93:$CA$93,Model!$A36) + IF(wplyw_cen_import_wlaczony,'Tablica IO'!AE270*INDEX(Model!$C$2:$CA$2,Model!$A36),'Tablica IO'!AE270*1)</f>
        <v>0.10025484262638035</v>
      </c>
      <c r="AF36" s="222" cm="1">
        <f t="array" aca="1" ref="AF36" ca="1">'Tablica IO'!AF192*INDEX(Model!$C$93:$CA$93,Model!$A36) + IF(wplyw_cen_import_wlaczony,'Tablica IO'!AF270*INDEX(Model!$C$2:$CA$2,Model!$A36),'Tablica IO'!AF270*1)</f>
        <v>7.0659233276679726E-3</v>
      </c>
      <c r="AG36" s="222" cm="1">
        <f t="array" aca="1" ref="AG36" ca="1">'Tablica IO'!AG192*INDEX(Model!$C$93:$CA$93,Model!$A36) + IF(wplyw_cen_import_wlaczony,'Tablica IO'!AG270*INDEX(Model!$C$2:$CA$2,Model!$A36),'Tablica IO'!AG270*1)</f>
        <v>7.416209445132823E-3</v>
      </c>
      <c r="AH36" s="222" cm="1">
        <f t="array" aca="1" ref="AH36" ca="1">'Tablica IO'!AH192*INDEX(Model!$C$93:$CA$93,Model!$A36) + IF(wplyw_cen_import_wlaczony,'Tablica IO'!AH270*INDEX(Model!$C$2:$CA$2,Model!$A36),'Tablica IO'!AH270*1)</f>
        <v>6.7320401357822092E-3</v>
      </c>
      <c r="AI36" s="222" cm="1">
        <f t="array" aca="1" ref="AI36" ca="1">'Tablica IO'!AI192*INDEX(Model!$C$93:$CA$93,Model!$A36) + IF(wplyw_cen_import_wlaczony,'Tablica IO'!AI270*INDEX(Model!$C$2:$CA$2,Model!$A36),'Tablica IO'!AI270*1)</f>
        <v>1.0626979555568522E-2</v>
      </c>
      <c r="AJ36" s="222" cm="1">
        <f t="array" aca="1" ref="AJ36" ca="1">'Tablica IO'!AJ192*INDEX(Model!$C$93:$CA$93,Model!$A36) + IF(wplyw_cen_import_wlaczony,'Tablica IO'!AJ270*INDEX(Model!$C$2:$CA$2,Model!$A36),'Tablica IO'!AJ270*1)</f>
        <v>7.2448955965316838E-3</v>
      </c>
      <c r="AK36" s="222" cm="1">
        <f t="array" aca="1" ref="AK36" ca="1">'Tablica IO'!AK192*INDEX(Model!$C$93:$CA$93,Model!$A36) + IF(wplyw_cen_import_wlaczony,'Tablica IO'!AK270*INDEX(Model!$C$2:$CA$2,Model!$A36),'Tablica IO'!AK270*1)</f>
        <v>6.6807455712200557E-3</v>
      </c>
      <c r="AL36" s="222" cm="1">
        <f t="array" aca="1" ref="AL36" ca="1">'Tablica IO'!AL192*INDEX(Model!$C$93:$CA$93,Model!$A36) + IF(wplyw_cen_import_wlaczony,'Tablica IO'!AL270*INDEX(Model!$C$2:$CA$2,Model!$A36),'Tablica IO'!AL270*1)</f>
        <v>4.2770861531282005E-3</v>
      </c>
      <c r="AM36" s="222" cm="1">
        <f t="array" aca="1" ref="AM36" ca="1">'Tablica IO'!AM192*INDEX(Model!$C$93:$CA$93,Model!$A36) + IF(wplyw_cen_import_wlaczony,'Tablica IO'!AM270*INDEX(Model!$C$2:$CA$2,Model!$A36),'Tablica IO'!AM270*1)</f>
        <v>3.9479110436806287E-3</v>
      </c>
      <c r="AN36" s="222" cm="1">
        <f t="array" aca="1" ref="AN36" ca="1">'Tablica IO'!AN192*INDEX(Model!$C$93:$CA$93,Model!$A36) + IF(wplyw_cen_import_wlaczony,'Tablica IO'!AN270*INDEX(Model!$C$2:$CA$2,Model!$A36),'Tablica IO'!AN270*1)</f>
        <v>1.9679952075139628E-3</v>
      </c>
      <c r="AO36" s="222" cm="1">
        <f t="array" aca="1" ref="AO36" ca="1">'Tablica IO'!AO192*INDEX(Model!$C$93:$CA$93,Model!$A36) + IF(wplyw_cen_import_wlaczony,'Tablica IO'!AO270*INDEX(Model!$C$2:$CA$2,Model!$A36),'Tablica IO'!AO270*1)</f>
        <v>5.7551520433001414E-4</v>
      </c>
      <c r="AP36" s="222" cm="1">
        <f t="array" aca="1" ref="AP36" ca="1">'Tablica IO'!AP192*INDEX(Model!$C$93:$CA$93,Model!$A36) + IF(wplyw_cen_import_wlaczony,'Tablica IO'!AP270*INDEX(Model!$C$2:$CA$2,Model!$A36),'Tablica IO'!AP270*1)</f>
        <v>1.5258385240991003E-3</v>
      </c>
      <c r="AQ36" s="222" cm="1">
        <f t="array" aca="1" ref="AQ36" ca="1">'Tablica IO'!AQ192*INDEX(Model!$C$93:$CA$93,Model!$A36) + IF(wplyw_cen_import_wlaczony,'Tablica IO'!AQ270*INDEX(Model!$C$2:$CA$2,Model!$A36),'Tablica IO'!AQ270*1)</f>
        <v>1.1864586535057051E-3</v>
      </c>
      <c r="AR36" s="222" cm="1">
        <f t="array" aca="1" ref="AR36" ca="1">'Tablica IO'!AR192*INDEX(Model!$C$93:$CA$93,Model!$A36) + IF(wplyw_cen_import_wlaczony,'Tablica IO'!AR270*INDEX(Model!$C$2:$CA$2,Model!$A36),'Tablica IO'!AR270*1)</f>
        <v>2.54734088656661E-3</v>
      </c>
      <c r="AS36" s="222" cm="1">
        <f t="array" aca="1" ref="AS36" ca="1">'Tablica IO'!AS192*INDEX(Model!$C$93:$CA$93,Model!$A36) + IF(wplyw_cen_import_wlaczony,'Tablica IO'!AS270*INDEX(Model!$C$2:$CA$2,Model!$A36),'Tablica IO'!AS270*1)</f>
        <v>4.177145069162681E-3</v>
      </c>
      <c r="AT36" s="222" cm="1">
        <f t="array" aca="1" ref="AT36" ca="1">'Tablica IO'!AT192*INDEX(Model!$C$93:$CA$93,Model!$A36) + IF(wplyw_cen_import_wlaczony,'Tablica IO'!AT270*INDEX(Model!$C$2:$CA$2,Model!$A36),'Tablica IO'!AT270*1)</f>
        <v>5.277317523737576E-3</v>
      </c>
      <c r="AU36" s="222" cm="1">
        <f t="array" aca="1" ref="AU36" ca="1">'Tablica IO'!AU192*INDEX(Model!$C$93:$CA$93,Model!$A36) + IF(wplyw_cen_import_wlaczony,'Tablica IO'!AU270*INDEX(Model!$C$2:$CA$2,Model!$A36),'Tablica IO'!AU270*1)</f>
        <v>3.8985497800461883E-4</v>
      </c>
      <c r="AV36" s="222" cm="1">
        <f t="array" aca="1" ref="AV36" ca="1">'Tablica IO'!AV192*INDEX(Model!$C$93:$CA$93,Model!$A36) + IF(wplyw_cen_import_wlaczony,'Tablica IO'!AV270*INDEX(Model!$C$2:$CA$2,Model!$A36),'Tablica IO'!AV270*1)</f>
        <v>1.5590324542338898E-3</v>
      </c>
      <c r="AW36" s="222" cm="1">
        <f t="array" aca="1" ref="AW36" ca="1">'Tablica IO'!AW192*INDEX(Model!$C$93:$CA$93,Model!$A36) + IF(wplyw_cen_import_wlaczony,'Tablica IO'!AW270*INDEX(Model!$C$2:$CA$2,Model!$A36),'Tablica IO'!AW270*1)</f>
        <v>2.7923148961794073E-3</v>
      </c>
      <c r="AX36" s="222" cm="1">
        <f t="array" aca="1" ref="AX36" ca="1">'Tablica IO'!AX192*INDEX(Model!$C$93:$CA$93,Model!$A36) + IF(wplyw_cen_import_wlaczony,'Tablica IO'!AX270*INDEX(Model!$C$2:$CA$2,Model!$A36),'Tablica IO'!AX270*1)</f>
        <v>7.8505433824800229E-4</v>
      </c>
      <c r="AY36" s="222" cm="1">
        <f t="array" aca="1" ref="AY36" ca="1">'Tablica IO'!AY192*INDEX(Model!$C$93:$CA$93,Model!$A36) + IF(wplyw_cen_import_wlaczony,'Tablica IO'!AY270*INDEX(Model!$C$2:$CA$2,Model!$A36),'Tablica IO'!AY270*1)</f>
        <v>9.0152307739841927E-4</v>
      </c>
      <c r="AZ36" s="222" cm="1">
        <f t="array" aca="1" ref="AZ36" ca="1">'Tablica IO'!AZ192*INDEX(Model!$C$93:$CA$93,Model!$A36) + IF(wplyw_cen_import_wlaczony,'Tablica IO'!AZ270*INDEX(Model!$C$2:$CA$2,Model!$A36),'Tablica IO'!AZ270*1)</f>
        <v>3.5281412366771864E-3</v>
      </c>
      <c r="BA36" s="222" cm="1">
        <f t="array" aca="1" ref="BA36" ca="1">'Tablica IO'!BA192*INDEX(Model!$C$93:$CA$93,Model!$A36) + IF(wplyw_cen_import_wlaczony,'Tablica IO'!BA270*INDEX(Model!$C$2:$CA$2,Model!$A36),'Tablica IO'!BA270*1)</f>
        <v>1.8685180215530929E-5</v>
      </c>
      <c r="BB36" s="222" cm="1">
        <f t="array" aca="1" ref="BB36" ca="1">'Tablica IO'!BB192*INDEX(Model!$C$93:$CA$93,Model!$A36) + IF(wplyw_cen_import_wlaczony,'Tablica IO'!BB270*INDEX(Model!$C$2:$CA$2,Model!$A36),'Tablica IO'!BB270*1)</f>
        <v>2.1180948686347501E-3</v>
      </c>
      <c r="BC36" s="222" cm="1">
        <f t="array" aca="1" ref="BC36" ca="1">'Tablica IO'!BC192*INDEX(Model!$C$93:$CA$93,Model!$A36) + IF(wplyw_cen_import_wlaczony,'Tablica IO'!BC270*INDEX(Model!$C$2:$CA$2,Model!$A36),'Tablica IO'!BC270*1)</f>
        <v>3.4483084573379134E-4</v>
      </c>
      <c r="BD36" s="222" cm="1">
        <f t="array" aca="1" ref="BD36" ca="1">'Tablica IO'!BD192*INDEX(Model!$C$93:$CA$93,Model!$A36) + IF(wplyw_cen_import_wlaczony,'Tablica IO'!BD270*INDEX(Model!$C$2:$CA$2,Model!$A36),'Tablica IO'!BD270*1)</f>
        <v>2.1335500826028374E-3</v>
      </c>
      <c r="BE36" s="222" cm="1">
        <f t="array" aca="1" ref="BE36" ca="1">'Tablica IO'!BE192*INDEX(Model!$C$93:$CA$93,Model!$A36) + IF(wplyw_cen_import_wlaczony,'Tablica IO'!BE270*INDEX(Model!$C$2:$CA$2,Model!$A36),'Tablica IO'!BE270*1)</f>
        <v>2.9219136636454649E-3</v>
      </c>
      <c r="BF36" s="222" cm="1">
        <f t="array" aca="1" ref="BF36" ca="1">'Tablica IO'!BF192*INDEX(Model!$C$93:$CA$93,Model!$A36) + IF(wplyw_cen_import_wlaczony,'Tablica IO'!BF270*INDEX(Model!$C$2:$CA$2,Model!$A36),'Tablica IO'!BF270*1)</f>
        <v>1.0292928402319056E-2</v>
      </c>
      <c r="BG36" s="222" cm="1">
        <f t="array" aca="1" ref="BG36" ca="1">'Tablica IO'!BG192*INDEX(Model!$C$93:$CA$93,Model!$A36) + IF(wplyw_cen_import_wlaczony,'Tablica IO'!BG270*INDEX(Model!$C$2:$CA$2,Model!$A36),'Tablica IO'!BG270*1)</f>
        <v>3.4747376884341043E-4</v>
      </c>
      <c r="BH36" s="222" cm="1">
        <f t="array" aca="1" ref="BH36" ca="1">'Tablica IO'!BH192*INDEX(Model!$C$93:$CA$93,Model!$A36) + IF(wplyw_cen_import_wlaczony,'Tablica IO'!BH270*INDEX(Model!$C$2:$CA$2,Model!$A36),'Tablica IO'!BH270*1)</f>
        <v>5.2007279459999776E-3</v>
      </c>
      <c r="BI36" s="222" cm="1">
        <f t="array" aca="1" ref="BI36" ca="1">'Tablica IO'!BI192*INDEX(Model!$C$93:$CA$93,Model!$A36) + IF(wplyw_cen_import_wlaczony,'Tablica IO'!BI270*INDEX(Model!$C$2:$CA$2,Model!$A36),'Tablica IO'!BI270*1)</f>
        <v>9.3476636664095912E-5</v>
      </c>
      <c r="BJ36" s="222" cm="1">
        <f t="array" aca="1" ref="BJ36" ca="1">'Tablica IO'!BJ192*INDEX(Model!$C$93:$CA$93,Model!$A36) + IF(wplyw_cen_import_wlaczony,'Tablica IO'!BJ270*INDEX(Model!$C$2:$CA$2,Model!$A36),'Tablica IO'!BJ270*1)</f>
        <v>1.6663446187491399E-2</v>
      </c>
      <c r="BK36" s="222" cm="1">
        <f t="array" aca="1" ref="BK36" ca="1">'Tablica IO'!BK192*INDEX(Model!$C$93:$CA$93,Model!$A36) + IF(wplyw_cen_import_wlaczony,'Tablica IO'!BK270*INDEX(Model!$C$2:$CA$2,Model!$A36),'Tablica IO'!BK270*1)</f>
        <v>8.2254107240105996E-4</v>
      </c>
      <c r="BL36" s="222" cm="1">
        <f t="array" aca="1" ref="BL36" ca="1">'Tablica IO'!BL192*INDEX(Model!$C$93:$CA$93,Model!$A36) + IF(wplyw_cen_import_wlaczony,'Tablica IO'!BL270*INDEX(Model!$C$2:$CA$2,Model!$A36),'Tablica IO'!BL270*1)</f>
        <v>2.73720867559503E-4</v>
      </c>
      <c r="BM36" s="222" cm="1">
        <f t="array" aca="1" ref="BM36" ca="1">'Tablica IO'!BM192*INDEX(Model!$C$93:$CA$93,Model!$A36) + IF(wplyw_cen_import_wlaczony,'Tablica IO'!BM270*INDEX(Model!$C$2:$CA$2,Model!$A36),'Tablica IO'!BM270*1)</f>
        <v>2.4904797386260391E-3</v>
      </c>
      <c r="BN36" s="222" cm="1">
        <f t="array" aca="1" ref="BN36" ca="1">'Tablica IO'!BN192*INDEX(Model!$C$93:$CA$93,Model!$A36) + IF(wplyw_cen_import_wlaczony,'Tablica IO'!BN270*INDEX(Model!$C$2:$CA$2,Model!$A36),'Tablica IO'!BN270*1)</f>
        <v>5.4746171250893419E-3</v>
      </c>
      <c r="BO36" s="222" cm="1">
        <f t="array" aca="1" ref="BO36" ca="1">'Tablica IO'!BO192*INDEX(Model!$C$93:$CA$93,Model!$A36) + IF(wplyw_cen_import_wlaczony,'Tablica IO'!BO270*INDEX(Model!$C$2:$CA$2,Model!$A36),'Tablica IO'!BO270*1)</f>
        <v>1.1185118667812576E-3</v>
      </c>
      <c r="BP36" s="222" cm="1">
        <f t="array" aca="1" ref="BP36" ca="1">'Tablica IO'!BP192*INDEX(Model!$C$93:$CA$93,Model!$A36) + IF(wplyw_cen_import_wlaczony,'Tablica IO'!BP270*INDEX(Model!$C$2:$CA$2,Model!$A36),'Tablica IO'!BP270*1)</f>
        <v>8.8442834198452537E-4</v>
      </c>
      <c r="BQ36" s="222" cm="1">
        <f t="array" aca="1" ref="BQ36" ca="1">'Tablica IO'!BQ192*INDEX(Model!$C$93:$CA$93,Model!$A36) + IF(wplyw_cen_import_wlaczony,'Tablica IO'!BQ270*INDEX(Model!$C$2:$CA$2,Model!$A36),'Tablica IO'!BQ270*1)</f>
        <v>5.7001287738234088E-4</v>
      </c>
      <c r="BR36" s="222" cm="1">
        <f t="array" aca="1" ref="BR36" ca="1">'Tablica IO'!BR192*INDEX(Model!$C$93:$CA$93,Model!$A36) + IF(wplyw_cen_import_wlaczony,'Tablica IO'!BR270*INDEX(Model!$C$2:$CA$2,Model!$A36),'Tablica IO'!BR270*1)</f>
        <v>6.2479918464108323E-4</v>
      </c>
      <c r="BS36" s="222" cm="1">
        <f t="array" aca="1" ref="BS36" ca="1">'Tablica IO'!BS192*INDEX(Model!$C$93:$CA$93,Model!$A36) + IF(wplyw_cen_import_wlaczony,'Tablica IO'!BS270*INDEX(Model!$C$2:$CA$2,Model!$A36),'Tablica IO'!BS270*1)</f>
        <v>1.8103407683937194E-4</v>
      </c>
      <c r="BT36" s="222" cm="1">
        <f t="array" aca="1" ref="BT36" ca="1">'Tablica IO'!BT192*INDEX(Model!$C$93:$CA$93,Model!$A36) + IF(wplyw_cen_import_wlaczony,'Tablica IO'!BT270*INDEX(Model!$C$2:$CA$2,Model!$A36),'Tablica IO'!BT270*1)</f>
        <v>5.5471193102350454E-4</v>
      </c>
      <c r="BU36" s="222" cm="1">
        <f t="array" aca="1" ref="BU36" ca="1">'Tablica IO'!BU192*INDEX(Model!$C$93:$CA$93,Model!$A36) + IF(wplyw_cen_import_wlaczony,'Tablica IO'!BU270*INDEX(Model!$C$2:$CA$2,Model!$A36),'Tablica IO'!BU270*1)</f>
        <v>7.1616349395018015E-4</v>
      </c>
      <c r="BV36" s="222" cm="1">
        <f t="array" aca="1" ref="BV36" ca="1">'Tablica IO'!BV192*INDEX(Model!$C$93:$CA$93,Model!$A36) + IF(wplyw_cen_import_wlaczony,'Tablica IO'!BV270*INDEX(Model!$C$2:$CA$2,Model!$A36),'Tablica IO'!BV270*1)</f>
        <v>7.5119522482699876E-3</v>
      </c>
      <c r="BW36" s="222" cm="1">
        <f t="array" aca="1" ref="BW36" ca="1">'Tablica IO'!BW192*INDEX(Model!$C$93:$CA$93,Model!$A36) + IF(wplyw_cen_import_wlaczony,'Tablica IO'!BW270*INDEX(Model!$C$2:$CA$2,Model!$A36),'Tablica IO'!BW270*1)</f>
        <v>1.288040238811792E-3</v>
      </c>
      <c r="BX36" s="222" cm="1">
        <f t="array" aca="1" ref="BX36" ca="1">'Tablica IO'!BX192*INDEX(Model!$C$93:$CA$93,Model!$A36) + IF(wplyw_cen_import_wlaczony,'Tablica IO'!BX270*INDEX(Model!$C$2:$CA$2,Model!$A36),'Tablica IO'!BX270*1)</f>
        <v>4.861881498979358E-3</v>
      </c>
      <c r="BY36" s="222" cm="1">
        <f t="array" aca="1" ref="BY36" ca="1">'Tablica IO'!BY192*INDEX(Model!$C$93:$CA$93,Model!$A36) + IF(wplyw_cen_import_wlaczony,'Tablica IO'!BY270*INDEX(Model!$C$2:$CA$2,Model!$A36),'Tablica IO'!BY270*1)</f>
        <v>2.5031659709684359E-4</v>
      </c>
      <c r="BZ36" s="222" cm="1">
        <f t="array" aca="1" ref="BZ36" ca="1">'Tablica IO'!BZ192*INDEX(Model!$C$93:$CA$93,Model!$A36) + IF(wplyw_cen_import_wlaczony,'Tablica IO'!BZ270*INDEX(Model!$C$2:$CA$2,Model!$A36),'Tablica IO'!BZ270*1)</f>
        <v>1.418388388503376E-3</v>
      </c>
      <c r="CA36" s="222" cm="1">
        <f t="array" aca="1" ref="CA36" ca="1">'Tablica IO'!CA192*INDEX(Model!$C$93:$CA$93,Model!$A36) + IF(wplyw_cen_import_wlaczony,'Tablica IO'!CA270*INDEX(Model!$C$2:$CA$2,Model!$A36),'Tablica IO'!CA270*1)</f>
        <v>0</v>
      </c>
      <c r="CB36" s="247">
        <f ca="1">'Tablica IO'!CD192*INDEX(Model!$C$93:$CA$93,Model!$A36)+'Tablica IO'!CD270*INDEX(Model!$C$2:$CA$2,Model!$A36)</f>
        <v>1.7654906944539683E-3</v>
      </c>
      <c r="CC36" s="188">
        <f ca="1">'Tablica IO'!CE192*INDEX(Model!$C$93:$CA$93,Model!$A36)+'Tablica IO'!CE270*INDEX(Model!$C$2:$CA$2,Model!$A36)</f>
        <v>9.1054368050038091E-5</v>
      </c>
      <c r="CD36" s="188">
        <f ca="1">'Tablica IO'!CF192*INDEX(Model!$C$93:$CA$93,Model!$A36)+'Tablica IO'!CF270*INDEX(Model!$C$2:$CA$2,Model!$A36)</f>
        <v>0.11063147826420192</v>
      </c>
      <c r="CE36" s="189">
        <f ca="1">'Tablica IO'!CG192*INDEX(Model!$C$93:$CA$93,Model!$A36)+'Tablica IO'!CG270*INDEX(Model!$C$2:$CA$2,Model!$A36)</f>
        <v>5.191786645332358E-2</v>
      </c>
    </row>
    <row r="37" spans="1:83" x14ac:dyDescent="0.25">
      <c r="A37" s="164">
        <v>25</v>
      </c>
      <c r="B37" s="172" t="s">
        <v>24</v>
      </c>
      <c r="C37" s="221" cm="1">
        <f t="array" aca="1" ref="C37" ca="1">'Tablica IO'!C193*INDEX(Model!$C$93:$CA$93,Model!$A37) + IF(wplyw_cen_import_wlaczony,'Tablica IO'!C271*INDEX(Model!$C$2:$CA$2,Model!$A37),'Tablica IO'!C271*1)</f>
        <v>8.9273220337370571E-4</v>
      </c>
      <c r="D37" s="222" cm="1">
        <f t="array" aca="1" ref="D37" ca="1">'Tablica IO'!D193*INDEX(Model!$C$93:$CA$93,Model!$A37) + IF(wplyw_cen_import_wlaczony,'Tablica IO'!D271*INDEX(Model!$C$2:$CA$2,Model!$A37),'Tablica IO'!D271*1)</f>
        <v>1.1247304484976938E-2</v>
      </c>
      <c r="E37" s="222" cm="1">
        <f t="array" aca="1" ref="E37" ca="1">'Tablica IO'!E193*INDEX(Model!$C$93:$CA$93,Model!$A37) + IF(wplyw_cen_import_wlaczony,'Tablica IO'!E271*INDEX(Model!$C$2:$CA$2,Model!$A37),'Tablica IO'!E271*1)</f>
        <v>3.1037809034322851E-3</v>
      </c>
      <c r="F37" s="222" cm="1">
        <f t="array" aca="1" ref="F37" ca="1">'Tablica IO'!F193*INDEX(Model!$C$93:$CA$93,Model!$A37) + IF(wplyw_cen_import_wlaczony,'Tablica IO'!F271*INDEX(Model!$C$2:$CA$2,Model!$A37),'Tablica IO'!F271*1)</f>
        <v>4.9761611569055782E-4</v>
      </c>
      <c r="G37" s="222" cm="1">
        <f t="array" aca="1" ref="G37" ca="1">'Tablica IO'!G193*INDEX(Model!$C$93:$CA$93,Model!$A37) + IF(wplyw_cen_import_wlaczony,'Tablica IO'!G271*INDEX(Model!$C$2:$CA$2,Model!$A37),'Tablica IO'!G271*1)</f>
        <v>3.1686747031505224E-3</v>
      </c>
      <c r="H37" s="222" cm="1">
        <f t="array" aca="1" ref="H37" ca="1">'Tablica IO'!H193*INDEX(Model!$C$93:$CA$93,Model!$A37) + IF(wplyw_cen_import_wlaczony,'Tablica IO'!H271*INDEX(Model!$C$2:$CA$2,Model!$A37),'Tablica IO'!H271*1)</f>
        <v>1.5436994193134723E-3</v>
      </c>
      <c r="I37" s="222" cm="1">
        <f t="array" aca="1" ref="I37" ca="1">'Tablica IO'!I193*INDEX(Model!$C$93:$CA$93,Model!$A37) + IF(wplyw_cen_import_wlaczony,'Tablica IO'!I271*INDEX(Model!$C$2:$CA$2,Model!$A37),'Tablica IO'!I271*1)</f>
        <v>1.2175510505413414E-3</v>
      </c>
      <c r="J37" s="222" cm="1">
        <f t="array" aca="1" ref="J37" ca="1">'Tablica IO'!J193*INDEX(Model!$C$93:$CA$93,Model!$A37) + IF(wplyw_cen_import_wlaczony,'Tablica IO'!J271*INDEX(Model!$C$2:$CA$2,Model!$A37),'Tablica IO'!J271*1)</f>
        <v>3.1515821853254916E-4</v>
      </c>
      <c r="K37" s="222" cm="1">
        <f t="array" aca="1" ref="K37" ca="1">'Tablica IO'!K193*INDEX(Model!$C$93:$CA$93,Model!$A37) + IF(wplyw_cen_import_wlaczony,'Tablica IO'!K271*INDEX(Model!$C$2:$CA$2,Model!$A37),'Tablica IO'!K271*1)</f>
        <v>6.2754805878486827E-4</v>
      </c>
      <c r="L37" s="222" cm="1">
        <f t="array" aca="1" ref="L37" ca="1">'Tablica IO'!L193*INDEX(Model!$C$93:$CA$93,Model!$A37) + IF(wplyw_cen_import_wlaczony,'Tablica IO'!L271*INDEX(Model!$C$2:$CA$2,Model!$A37),'Tablica IO'!L271*1)</f>
        <v>8.5618825085816217E-4</v>
      </c>
      <c r="M37" s="222" cm="1">
        <f t="array" aca="1" ref="M37" ca="1">'Tablica IO'!M193*INDEX(Model!$C$93:$CA$93,Model!$A37) + IF(wplyw_cen_import_wlaczony,'Tablica IO'!M271*INDEX(Model!$C$2:$CA$2,Model!$A37),'Tablica IO'!M271*1)</f>
        <v>7.676789529886892E-4</v>
      </c>
      <c r="N37" s="222" cm="1">
        <f t="array" aca="1" ref="N37" ca="1">'Tablica IO'!N193*INDEX(Model!$C$93:$CA$93,Model!$A37) + IF(wplyw_cen_import_wlaczony,'Tablica IO'!N271*INDEX(Model!$C$2:$CA$2,Model!$A37),'Tablica IO'!N271*1)</f>
        <v>2.4447422372482668E-3</v>
      </c>
      <c r="O37" s="222" cm="1">
        <f t="array" aca="1" ref="O37" ca="1">'Tablica IO'!O193*INDEX(Model!$C$93:$CA$93,Model!$A37) + IF(wplyw_cen_import_wlaczony,'Tablica IO'!O271*INDEX(Model!$C$2:$CA$2,Model!$A37),'Tablica IO'!O271*1)</f>
        <v>5.0504207094618928E-4</v>
      </c>
      <c r="P37" s="222" cm="1">
        <f t="array" aca="1" ref="P37" ca="1">'Tablica IO'!P193*INDEX(Model!$C$93:$CA$93,Model!$A37) + IF(wplyw_cen_import_wlaczony,'Tablica IO'!P271*INDEX(Model!$C$2:$CA$2,Model!$A37),'Tablica IO'!P271*1)</f>
        <v>7.2388892514047725E-4</v>
      </c>
      <c r="Q37" s="222" cm="1">
        <f t="array" aca="1" ref="Q37" ca="1">'Tablica IO'!Q193*INDEX(Model!$C$93:$CA$93,Model!$A37) + IF(wplyw_cen_import_wlaczony,'Tablica IO'!Q271*INDEX(Model!$C$2:$CA$2,Model!$A37),'Tablica IO'!Q271*1)</f>
        <v>1.5754531547971704E-4</v>
      </c>
      <c r="R37" s="222" cm="1">
        <f t="array" aca="1" ref="R37" ca="1">'Tablica IO'!R193*INDEX(Model!$C$93:$CA$93,Model!$A37) + IF(wplyw_cen_import_wlaczony,'Tablica IO'!R271*INDEX(Model!$C$2:$CA$2,Model!$A37),'Tablica IO'!R271*1)</f>
        <v>4.4521611234026802E-4</v>
      </c>
      <c r="S37" s="222" cm="1">
        <f t="array" aca="1" ref="S37" ca="1">'Tablica IO'!S193*INDEX(Model!$C$93:$CA$93,Model!$A37) + IF(wplyw_cen_import_wlaczony,'Tablica IO'!S271*INDEX(Model!$C$2:$CA$2,Model!$A37),'Tablica IO'!S271*1)</f>
        <v>7.459236106282653E-4</v>
      </c>
      <c r="T37" s="222" cm="1">
        <f t="array" aca="1" ref="T37" ca="1">'Tablica IO'!T193*INDEX(Model!$C$93:$CA$93,Model!$A37) + IF(wplyw_cen_import_wlaczony,'Tablica IO'!T271*INDEX(Model!$C$2:$CA$2,Model!$A37),'Tablica IO'!T271*1)</f>
        <v>4.60690236527855E-3</v>
      </c>
      <c r="U37" s="222" cm="1">
        <f t="array" aca="1" ref="U37" ca="1">'Tablica IO'!U193*INDEX(Model!$C$93:$CA$93,Model!$A37) + IF(wplyw_cen_import_wlaczony,'Tablica IO'!U271*INDEX(Model!$C$2:$CA$2,Model!$A37),'Tablica IO'!U271*1)</f>
        <v>2.4384880106113954E-3</v>
      </c>
      <c r="V37" s="222" cm="1">
        <f t="array" aca="1" ref="V37" ca="1">'Tablica IO'!V193*INDEX(Model!$C$93:$CA$93,Model!$A37) + IF(wplyw_cen_import_wlaczony,'Tablica IO'!V271*INDEX(Model!$C$2:$CA$2,Model!$A37),'Tablica IO'!V271*1)</f>
        <v>1.6893723806359412E-4</v>
      </c>
      <c r="W37" s="222" cm="1">
        <f t="array" aca="1" ref="W37" ca="1">'Tablica IO'!W193*INDEX(Model!$C$93:$CA$93,Model!$A37) + IF(wplyw_cen_import_wlaczony,'Tablica IO'!W271*INDEX(Model!$C$2:$CA$2,Model!$A37),'Tablica IO'!W271*1)</f>
        <v>4.0772855878371452E-3</v>
      </c>
      <c r="X37" s="222" cm="1">
        <f t="array" aca="1" ref="X37" ca="1">'Tablica IO'!X193*INDEX(Model!$C$93:$CA$93,Model!$A37) + IF(wplyw_cen_import_wlaczony,'Tablica IO'!X271*INDEX(Model!$C$2:$CA$2,Model!$A37),'Tablica IO'!X271*1)</f>
        <v>8.3083590948296662E-5</v>
      </c>
      <c r="Y37" s="222" cm="1">
        <f t="array" aca="1" ref="Y37" ca="1">'Tablica IO'!Y193*INDEX(Model!$C$93:$CA$93,Model!$A37) + IF(wplyw_cen_import_wlaczony,'Tablica IO'!Y271*INDEX(Model!$C$2:$CA$2,Model!$A37),'Tablica IO'!Y271*1)</f>
        <v>2.019791784926124E-3</v>
      </c>
      <c r="Z37" s="222" cm="1">
        <f t="array" aca="1" ref="Z37" ca="1">'Tablica IO'!Z193*INDEX(Model!$C$93:$CA$93,Model!$A37) + IF(wplyw_cen_import_wlaczony,'Tablica IO'!Z271*INDEX(Model!$C$2:$CA$2,Model!$A37),'Tablica IO'!Z271*1)</f>
        <v>1.1411323238870024E-2</v>
      </c>
      <c r="AA37" s="222" cm="1">
        <f t="array" aca="1" ref="AA37" ca="1">'Tablica IO'!AA193*INDEX(Model!$C$93:$CA$93,Model!$A37) + IF(wplyw_cen_import_wlaczony,'Tablica IO'!AA271*INDEX(Model!$C$2:$CA$2,Model!$A37),'Tablica IO'!AA271*1)</f>
        <v>0.33251332289201263</v>
      </c>
      <c r="AB37" s="222" cm="1">
        <f t="array" aca="1" ref="AB37" ca="1">'Tablica IO'!AB193*INDEX(Model!$C$93:$CA$93,Model!$A37) + IF(wplyw_cen_import_wlaczony,'Tablica IO'!AB271*INDEX(Model!$C$2:$CA$2,Model!$A37),'Tablica IO'!AB271*1)</f>
        <v>1.082764941806573E-2</v>
      </c>
      <c r="AC37" s="222" cm="1">
        <f t="array" aca="1" ref="AC37" ca="1">'Tablica IO'!AC193*INDEX(Model!$C$93:$CA$93,Model!$A37) + IF(wplyw_cen_import_wlaczony,'Tablica IO'!AC271*INDEX(Model!$C$2:$CA$2,Model!$A37),'Tablica IO'!AC271*1)</f>
        <v>5.462626519488506E-3</v>
      </c>
      <c r="AD37" s="222" cm="1">
        <f t="array" aca="1" ref="AD37" ca="1">'Tablica IO'!AD193*INDEX(Model!$C$93:$CA$93,Model!$A37) + IF(wplyw_cen_import_wlaczony,'Tablica IO'!AD271*INDEX(Model!$C$2:$CA$2,Model!$A37),'Tablica IO'!AD271*1)</f>
        <v>5.2238774938545823E-4</v>
      </c>
      <c r="AE37" s="222" cm="1">
        <f t="array" aca="1" ref="AE37" ca="1">'Tablica IO'!AE193*INDEX(Model!$C$93:$CA$93,Model!$A37) + IF(wplyw_cen_import_wlaczony,'Tablica IO'!AE271*INDEX(Model!$C$2:$CA$2,Model!$A37),'Tablica IO'!AE271*1)</f>
        <v>6.9098110298365253E-2</v>
      </c>
      <c r="AF37" s="222" cm="1">
        <f t="array" aca="1" ref="AF37" ca="1">'Tablica IO'!AF193*INDEX(Model!$C$93:$CA$93,Model!$A37) + IF(wplyw_cen_import_wlaczony,'Tablica IO'!AF271*INDEX(Model!$C$2:$CA$2,Model!$A37),'Tablica IO'!AF271*1)</f>
        <v>3.8954908783269402E-4</v>
      </c>
      <c r="AG37" s="222" cm="1">
        <f t="array" aca="1" ref="AG37" ca="1">'Tablica IO'!AG193*INDEX(Model!$C$93:$CA$93,Model!$A37) + IF(wplyw_cen_import_wlaczony,'Tablica IO'!AG271*INDEX(Model!$C$2:$CA$2,Model!$A37),'Tablica IO'!AG271*1)</f>
        <v>3.8439224349172971E-3</v>
      </c>
      <c r="AH37" s="222" cm="1">
        <f t="array" aca="1" ref="AH37" ca="1">'Tablica IO'!AH193*INDEX(Model!$C$93:$CA$93,Model!$A37) + IF(wplyw_cen_import_wlaczony,'Tablica IO'!AH271*INDEX(Model!$C$2:$CA$2,Model!$A37),'Tablica IO'!AH271*1)</f>
        <v>7.7121156051203898E-3</v>
      </c>
      <c r="AI37" s="222" cm="1">
        <f t="array" aca="1" ref="AI37" ca="1">'Tablica IO'!AI193*INDEX(Model!$C$93:$CA$93,Model!$A37) + IF(wplyw_cen_import_wlaczony,'Tablica IO'!AI271*INDEX(Model!$C$2:$CA$2,Model!$A37),'Tablica IO'!AI271*1)</f>
        <v>5.7973795750076796E-3</v>
      </c>
      <c r="AJ37" s="222" cm="1">
        <f t="array" aca="1" ref="AJ37" ca="1">'Tablica IO'!AJ193*INDEX(Model!$C$93:$CA$93,Model!$A37) + IF(wplyw_cen_import_wlaczony,'Tablica IO'!AJ271*INDEX(Model!$C$2:$CA$2,Model!$A37),'Tablica IO'!AJ271*1)</f>
        <v>1.446894249128619E-3</v>
      </c>
      <c r="AK37" s="222" cm="1">
        <f t="array" aca="1" ref="AK37" ca="1">'Tablica IO'!AK193*INDEX(Model!$C$93:$CA$93,Model!$A37) + IF(wplyw_cen_import_wlaczony,'Tablica IO'!AK271*INDEX(Model!$C$2:$CA$2,Model!$A37),'Tablica IO'!AK271*1)</f>
        <v>1.8356727493819499E-2</v>
      </c>
      <c r="AL37" s="222" cm="1">
        <f t="array" aca="1" ref="AL37" ca="1">'Tablica IO'!AL193*INDEX(Model!$C$93:$CA$93,Model!$A37) + IF(wplyw_cen_import_wlaczony,'Tablica IO'!AL271*INDEX(Model!$C$2:$CA$2,Model!$A37),'Tablica IO'!AL271*1)</f>
        <v>1.3798227874291294E-3</v>
      </c>
      <c r="AM37" s="222" cm="1">
        <f t="array" aca="1" ref="AM37" ca="1">'Tablica IO'!AM193*INDEX(Model!$C$93:$CA$93,Model!$A37) + IF(wplyw_cen_import_wlaczony,'Tablica IO'!AM271*INDEX(Model!$C$2:$CA$2,Model!$A37),'Tablica IO'!AM271*1)</f>
        <v>4.5865086862002178E-4</v>
      </c>
      <c r="AN37" s="222" cm="1">
        <f t="array" aca="1" ref="AN37" ca="1">'Tablica IO'!AN193*INDEX(Model!$C$93:$CA$93,Model!$A37) + IF(wplyw_cen_import_wlaczony,'Tablica IO'!AN271*INDEX(Model!$C$2:$CA$2,Model!$A37),'Tablica IO'!AN271*1)</f>
        <v>4.5825016954822273E-2</v>
      </c>
      <c r="AO37" s="222" cm="1">
        <f t="array" aca="1" ref="AO37" ca="1">'Tablica IO'!AO193*INDEX(Model!$C$93:$CA$93,Model!$A37) + IF(wplyw_cen_import_wlaczony,'Tablica IO'!AO271*INDEX(Model!$C$2:$CA$2,Model!$A37),'Tablica IO'!AO271*1)</f>
        <v>4.0253163483981589E-4</v>
      </c>
      <c r="AP37" s="222" cm="1">
        <f t="array" aca="1" ref="AP37" ca="1">'Tablica IO'!AP193*INDEX(Model!$C$93:$CA$93,Model!$A37) + IF(wplyw_cen_import_wlaczony,'Tablica IO'!AP271*INDEX(Model!$C$2:$CA$2,Model!$A37),'Tablica IO'!AP271*1)</f>
        <v>3.3286764159825314E-3</v>
      </c>
      <c r="AQ37" s="222" cm="1">
        <f t="array" aca="1" ref="AQ37" ca="1">'Tablica IO'!AQ193*INDEX(Model!$C$93:$CA$93,Model!$A37) + IF(wplyw_cen_import_wlaczony,'Tablica IO'!AQ271*INDEX(Model!$C$2:$CA$2,Model!$A37),'Tablica IO'!AQ271*1)</f>
        <v>1.5931162131234185E-3</v>
      </c>
      <c r="AR37" s="222" cm="1">
        <f t="array" aca="1" ref="AR37" ca="1">'Tablica IO'!AR193*INDEX(Model!$C$93:$CA$93,Model!$A37) + IF(wplyw_cen_import_wlaczony,'Tablica IO'!AR271*INDEX(Model!$C$2:$CA$2,Model!$A37),'Tablica IO'!AR271*1)</f>
        <v>9.2295623337968911E-4</v>
      </c>
      <c r="AS37" s="222" cm="1">
        <f t="array" aca="1" ref="AS37" ca="1">'Tablica IO'!AS193*INDEX(Model!$C$93:$CA$93,Model!$A37) + IF(wplyw_cen_import_wlaczony,'Tablica IO'!AS271*INDEX(Model!$C$2:$CA$2,Model!$A37),'Tablica IO'!AS271*1)</f>
        <v>9.3743106458358074E-4</v>
      </c>
      <c r="AT37" s="222" cm="1">
        <f t="array" aca="1" ref="AT37" ca="1">'Tablica IO'!AT193*INDEX(Model!$C$93:$CA$93,Model!$A37) + IF(wplyw_cen_import_wlaczony,'Tablica IO'!AT271*INDEX(Model!$C$2:$CA$2,Model!$A37),'Tablica IO'!AT271*1)</f>
        <v>1.2043398141191185E-3</v>
      </c>
      <c r="AU37" s="222" cm="1">
        <f t="array" aca="1" ref="AU37" ca="1">'Tablica IO'!AU193*INDEX(Model!$C$93:$CA$93,Model!$A37) + IF(wplyw_cen_import_wlaczony,'Tablica IO'!AU271*INDEX(Model!$C$2:$CA$2,Model!$A37),'Tablica IO'!AU271*1)</f>
        <v>1.3871243632447566E-5</v>
      </c>
      <c r="AV37" s="222" cm="1">
        <f t="array" aca="1" ref="AV37" ca="1">'Tablica IO'!AV193*INDEX(Model!$C$93:$CA$93,Model!$A37) + IF(wplyw_cen_import_wlaczony,'Tablica IO'!AV271*INDEX(Model!$C$2:$CA$2,Model!$A37),'Tablica IO'!AV271*1)</f>
        <v>1.57198746171156E-3</v>
      </c>
      <c r="AW37" s="222" cm="1">
        <f t="array" aca="1" ref="AW37" ca="1">'Tablica IO'!AW193*INDEX(Model!$C$93:$CA$93,Model!$A37) + IF(wplyw_cen_import_wlaczony,'Tablica IO'!AW271*INDEX(Model!$C$2:$CA$2,Model!$A37),'Tablica IO'!AW271*1)</f>
        <v>1.1340273938168512E-3</v>
      </c>
      <c r="AX37" s="222" cm="1">
        <f t="array" aca="1" ref="AX37" ca="1">'Tablica IO'!AX193*INDEX(Model!$C$93:$CA$93,Model!$A37) + IF(wplyw_cen_import_wlaczony,'Tablica IO'!AX271*INDEX(Model!$C$2:$CA$2,Model!$A37),'Tablica IO'!AX271*1)</f>
        <v>6.9149785586199348E-4</v>
      </c>
      <c r="AY37" s="222" cm="1">
        <f t="array" aca="1" ref="AY37" ca="1">'Tablica IO'!AY193*INDEX(Model!$C$93:$CA$93,Model!$A37) + IF(wplyw_cen_import_wlaczony,'Tablica IO'!AY271*INDEX(Model!$C$2:$CA$2,Model!$A37),'Tablica IO'!AY271*1)</f>
        <v>5.2457749596283342E-3</v>
      </c>
      <c r="AZ37" s="222" cm="1">
        <f t="array" aca="1" ref="AZ37" ca="1">'Tablica IO'!AZ193*INDEX(Model!$C$93:$CA$93,Model!$A37) + IF(wplyw_cen_import_wlaczony,'Tablica IO'!AZ271*INDEX(Model!$C$2:$CA$2,Model!$A37),'Tablica IO'!AZ271*1)</f>
        <v>5.4014654313759215E-5</v>
      </c>
      <c r="BA37" s="222" cm="1">
        <f t="array" aca="1" ref="BA37" ca="1">'Tablica IO'!BA193*INDEX(Model!$C$93:$CA$93,Model!$A37) + IF(wplyw_cen_import_wlaczony,'Tablica IO'!BA271*INDEX(Model!$C$2:$CA$2,Model!$A37),'Tablica IO'!BA271*1)</f>
        <v>2.6421946587290872E-4</v>
      </c>
      <c r="BB37" s="222" cm="1">
        <f t="array" aca="1" ref="BB37" ca="1">'Tablica IO'!BB193*INDEX(Model!$C$93:$CA$93,Model!$A37) + IF(wplyw_cen_import_wlaczony,'Tablica IO'!BB271*INDEX(Model!$C$2:$CA$2,Model!$A37),'Tablica IO'!BB271*1)</f>
        <v>2.5970465336420083E-4</v>
      </c>
      <c r="BC37" s="222" cm="1">
        <f t="array" aca="1" ref="BC37" ca="1">'Tablica IO'!BC193*INDEX(Model!$C$93:$CA$93,Model!$A37) + IF(wplyw_cen_import_wlaczony,'Tablica IO'!BC271*INDEX(Model!$C$2:$CA$2,Model!$A37),'Tablica IO'!BC271*1)</f>
        <v>5.4863293207143356E-4</v>
      </c>
      <c r="BD37" s="222" cm="1">
        <f t="array" aca="1" ref="BD37" ca="1">'Tablica IO'!BD193*INDEX(Model!$C$93:$CA$93,Model!$A37) + IF(wplyw_cen_import_wlaczony,'Tablica IO'!BD271*INDEX(Model!$C$2:$CA$2,Model!$A37),'Tablica IO'!BD271*1)</f>
        <v>1.1102823950574301E-3</v>
      </c>
      <c r="BE37" s="222" cm="1">
        <f t="array" aca="1" ref="BE37" ca="1">'Tablica IO'!BE193*INDEX(Model!$C$93:$CA$93,Model!$A37) + IF(wplyw_cen_import_wlaczony,'Tablica IO'!BE271*INDEX(Model!$C$2:$CA$2,Model!$A37),'Tablica IO'!BE271*1)</f>
        <v>1.5222797266780373E-3</v>
      </c>
      <c r="BF37" s="222" cm="1">
        <f t="array" aca="1" ref="BF37" ca="1">'Tablica IO'!BF193*INDEX(Model!$C$93:$CA$93,Model!$A37) + IF(wplyw_cen_import_wlaczony,'Tablica IO'!BF271*INDEX(Model!$C$2:$CA$2,Model!$A37),'Tablica IO'!BF271*1)</f>
        <v>7.9511680451800583E-4</v>
      </c>
      <c r="BG37" s="222" cm="1">
        <f t="array" aca="1" ref="BG37" ca="1">'Tablica IO'!BG193*INDEX(Model!$C$93:$CA$93,Model!$A37) + IF(wplyw_cen_import_wlaczony,'Tablica IO'!BG271*INDEX(Model!$C$2:$CA$2,Model!$A37),'Tablica IO'!BG271*1)</f>
        <v>5.1920469513962544E-4</v>
      </c>
      <c r="BH37" s="222" cm="1">
        <f t="array" aca="1" ref="BH37" ca="1">'Tablica IO'!BH193*INDEX(Model!$C$93:$CA$93,Model!$A37) + IF(wplyw_cen_import_wlaczony,'Tablica IO'!BH271*INDEX(Model!$C$2:$CA$2,Model!$A37),'Tablica IO'!BH271*1)</f>
        <v>1.8486059975154053E-3</v>
      </c>
      <c r="BI37" s="222" cm="1">
        <f t="array" aca="1" ref="BI37" ca="1">'Tablica IO'!BI193*INDEX(Model!$C$93:$CA$93,Model!$A37) + IF(wplyw_cen_import_wlaczony,'Tablica IO'!BI271*INDEX(Model!$C$2:$CA$2,Model!$A37),'Tablica IO'!BI271*1)</f>
        <v>1.8867748992625996E-3</v>
      </c>
      <c r="BJ37" s="222" cm="1">
        <f t="array" aca="1" ref="BJ37" ca="1">'Tablica IO'!BJ193*INDEX(Model!$C$93:$CA$93,Model!$A37) + IF(wplyw_cen_import_wlaczony,'Tablica IO'!BJ271*INDEX(Model!$C$2:$CA$2,Model!$A37),'Tablica IO'!BJ271*1)</f>
        <v>4.9159156574560114E-3</v>
      </c>
      <c r="BK37" s="222" cm="1">
        <f t="array" aca="1" ref="BK37" ca="1">'Tablica IO'!BK193*INDEX(Model!$C$93:$CA$93,Model!$A37) + IF(wplyw_cen_import_wlaczony,'Tablica IO'!BK271*INDEX(Model!$C$2:$CA$2,Model!$A37),'Tablica IO'!BK271*1)</f>
        <v>1.5451899472613078E-3</v>
      </c>
      <c r="BL37" s="222" cm="1">
        <f t="array" aca="1" ref="BL37" ca="1">'Tablica IO'!BL193*INDEX(Model!$C$93:$CA$93,Model!$A37) + IF(wplyw_cen_import_wlaczony,'Tablica IO'!BL271*INDEX(Model!$C$2:$CA$2,Model!$A37),'Tablica IO'!BL271*1)</f>
        <v>4.2151188019495123E-3</v>
      </c>
      <c r="BM37" s="222" cm="1">
        <f t="array" aca="1" ref="BM37" ca="1">'Tablica IO'!BM193*INDEX(Model!$C$93:$CA$93,Model!$A37) + IF(wplyw_cen_import_wlaczony,'Tablica IO'!BM271*INDEX(Model!$C$2:$CA$2,Model!$A37),'Tablica IO'!BM271*1)</f>
        <v>4.2588846526759767E-3</v>
      </c>
      <c r="BN37" s="222" cm="1">
        <f t="array" aca="1" ref="BN37" ca="1">'Tablica IO'!BN193*INDEX(Model!$C$93:$CA$93,Model!$A37) + IF(wplyw_cen_import_wlaczony,'Tablica IO'!BN271*INDEX(Model!$C$2:$CA$2,Model!$A37),'Tablica IO'!BN271*1)</f>
        <v>5.8634280155274452E-3</v>
      </c>
      <c r="BO37" s="222" cm="1">
        <f t="array" aca="1" ref="BO37" ca="1">'Tablica IO'!BO193*INDEX(Model!$C$93:$CA$93,Model!$A37) + IF(wplyw_cen_import_wlaczony,'Tablica IO'!BO271*INDEX(Model!$C$2:$CA$2,Model!$A37),'Tablica IO'!BO271*1)</f>
        <v>4.1171341749583973E-4</v>
      </c>
      <c r="BP37" s="222" cm="1">
        <f t="array" aca="1" ref="BP37" ca="1">'Tablica IO'!BP193*INDEX(Model!$C$93:$CA$93,Model!$A37) + IF(wplyw_cen_import_wlaczony,'Tablica IO'!BP271*INDEX(Model!$C$2:$CA$2,Model!$A37),'Tablica IO'!BP271*1)</f>
        <v>1.4959087075629425E-3</v>
      </c>
      <c r="BQ37" s="222" cm="1">
        <f t="array" aca="1" ref="BQ37" ca="1">'Tablica IO'!BQ193*INDEX(Model!$C$93:$CA$93,Model!$A37) + IF(wplyw_cen_import_wlaczony,'Tablica IO'!BQ271*INDEX(Model!$C$2:$CA$2,Model!$A37),'Tablica IO'!BQ271*1)</f>
        <v>5.2993014749871015E-4</v>
      </c>
      <c r="BR37" s="222" cm="1">
        <f t="array" aca="1" ref="BR37" ca="1">'Tablica IO'!BR193*INDEX(Model!$C$93:$CA$93,Model!$A37) + IF(wplyw_cen_import_wlaczony,'Tablica IO'!BR271*INDEX(Model!$C$2:$CA$2,Model!$A37),'Tablica IO'!BR271*1)</f>
        <v>2.1510708828884146E-4</v>
      </c>
      <c r="BS37" s="222" cm="1">
        <f t="array" aca="1" ref="BS37" ca="1">'Tablica IO'!BS193*INDEX(Model!$C$93:$CA$93,Model!$A37) + IF(wplyw_cen_import_wlaczony,'Tablica IO'!BS271*INDEX(Model!$C$2:$CA$2,Model!$A37),'Tablica IO'!BS271*1)</f>
        <v>3.6945667313108873E-4</v>
      </c>
      <c r="BT37" s="222" cm="1">
        <f t="array" aca="1" ref="BT37" ca="1">'Tablica IO'!BT193*INDEX(Model!$C$93:$CA$93,Model!$A37) + IF(wplyw_cen_import_wlaczony,'Tablica IO'!BT271*INDEX(Model!$C$2:$CA$2,Model!$A37),'Tablica IO'!BT271*1)</f>
        <v>2.6952128430886367E-4</v>
      </c>
      <c r="BU37" s="222" cm="1">
        <f t="array" aca="1" ref="BU37" ca="1">'Tablica IO'!BU193*INDEX(Model!$C$93:$CA$93,Model!$A37) + IF(wplyw_cen_import_wlaczony,'Tablica IO'!BU271*INDEX(Model!$C$2:$CA$2,Model!$A37),'Tablica IO'!BU271*1)</f>
        <v>3.8175864839130788E-4</v>
      </c>
      <c r="BV37" s="222" cm="1">
        <f t="array" aca="1" ref="BV37" ca="1">'Tablica IO'!BV193*INDEX(Model!$C$93:$CA$93,Model!$A37) + IF(wplyw_cen_import_wlaczony,'Tablica IO'!BV271*INDEX(Model!$C$2:$CA$2,Model!$A37),'Tablica IO'!BV271*1)</f>
        <v>1.0161011666465379E-3</v>
      </c>
      <c r="BW37" s="222" cm="1">
        <f t="array" aca="1" ref="BW37" ca="1">'Tablica IO'!BW193*INDEX(Model!$C$93:$CA$93,Model!$A37) + IF(wplyw_cen_import_wlaczony,'Tablica IO'!BW271*INDEX(Model!$C$2:$CA$2,Model!$A37),'Tablica IO'!BW271*1)</f>
        <v>9.7131996498976908E-4</v>
      </c>
      <c r="BX37" s="222" cm="1">
        <f t="array" aca="1" ref="BX37" ca="1">'Tablica IO'!BX193*INDEX(Model!$C$93:$CA$93,Model!$A37) + IF(wplyw_cen_import_wlaczony,'Tablica IO'!BX271*INDEX(Model!$C$2:$CA$2,Model!$A37),'Tablica IO'!BX271*1)</f>
        <v>8.4812646188644446E-3</v>
      </c>
      <c r="BY37" s="222" cm="1">
        <f t="array" aca="1" ref="BY37" ca="1">'Tablica IO'!BY193*INDEX(Model!$C$93:$CA$93,Model!$A37) + IF(wplyw_cen_import_wlaczony,'Tablica IO'!BY271*INDEX(Model!$C$2:$CA$2,Model!$A37),'Tablica IO'!BY271*1)</f>
        <v>2.1888727855705074E-4</v>
      </c>
      <c r="BZ37" s="222" cm="1">
        <f t="array" aca="1" ref="BZ37" ca="1">'Tablica IO'!BZ193*INDEX(Model!$C$93:$CA$93,Model!$A37) + IF(wplyw_cen_import_wlaczony,'Tablica IO'!BZ271*INDEX(Model!$C$2:$CA$2,Model!$A37),'Tablica IO'!BZ271*1)</f>
        <v>1.8068605308468948E-3</v>
      </c>
      <c r="CA37" s="222" cm="1">
        <f t="array" aca="1" ref="CA37" ca="1">'Tablica IO'!CA193*INDEX(Model!$C$93:$CA$93,Model!$A37) + IF(wplyw_cen_import_wlaczony,'Tablica IO'!CA271*INDEX(Model!$C$2:$CA$2,Model!$A37),'Tablica IO'!CA271*1)</f>
        <v>0</v>
      </c>
      <c r="CB37" s="247">
        <f ca="1">'Tablica IO'!CD193*INDEX(Model!$C$93:$CA$93,Model!$A37)+'Tablica IO'!CD271*INDEX(Model!$C$2:$CA$2,Model!$A37)</f>
        <v>3.4798803100757919E-2</v>
      </c>
      <c r="CC37" s="188">
        <f ca="1">'Tablica IO'!CE193*INDEX(Model!$C$93:$CA$93,Model!$A37)+'Tablica IO'!CE271*INDEX(Model!$C$2:$CA$2,Model!$A37)</f>
        <v>1.2956780137780833E-4</v>
      </c>
      <c r="CD37" s="188">
        <f ca="1">'Tablica IO'!CF193*INDEX(Model!$C$93:$CA$93,Model!$A37)+'Tablica IO'!CF271*INDEX(Model!$C$2:$CA$2,Model!$A37)</f>
        <v>7.5863895128613246E-2</v>
      </c>
      <c r="CE37" s="189">
        <f ca="1">'Tablica IO'!CG193*INDEX(Model!$C$93:$CA$93,Model!$A37)+'Tablica IO'!CG271*INDEX(Model!$C$2:$CA$2,Model!$A37)</f>
        <v>9.9465337752188285E-2</v>
      </c>
    </row>
    <row r="38" spans="1:83" x14ac:dyDescent="0.25">
      <c r="A38" s="164">
        <v>26</v>
      </c>
      <c r="B38" s="172" t="s">
        <v>25</v>
      </c>
      <c r="C38" s="221" cm="1">
        <f t="array" aca="1" ref="C38" ca="1">'Tablica IO'!C194*INDEX(Model!$C$93:$CA$93,Model!$A38) + IF(wplyw_cen_import_wlaczony,'Tablica IO'!C272*INDEX(Model!$C$2:$CA$2,Model!$A38),'Tablica IO'!C272*1)</f>
        <v>2.2555917472064129E-4</v>
      </c>
      <c r="D38" s="222" cm="1">
        <f t="array" aca="1" ref="D38" ca="1">'Tablica IO'!D194*INDEX(Model!$C$93:$CA$93,Model!$A38) + IF(wplyw_cen_import_wlaczony,'Tablica IO'!D272*INDEX(Model!$C$2:$CA$2,Model!$A38),'Tablica IO'!D272*1)</f>
        <v>1.2605544691880073E-3</v>
      </c>
      <c r="E38" s="222" cm="1">
        <f t="array" aca="1" ref="E38" ca="1">'Tablica IO'!E194*INDEX(Model!$C$93:$CA$93,Model!$A38) + IF(wplyw_cen_import_wlaczony,'Tablica IO'!E272*INDEX(Model!$C$2:$CA$2,Model!$A38),'Tablica IO'!E272*1)</f>
        <v>5.1663917495262035E-3</v>
      </c>
      <c r="F38" s="222" cm="1">
        <f t="array" aca="1" ref="F38" ca="1">'Tablica IO'!F194*INDEX(Model!$C$93:$CA$93,Model!$A38) + IF(wplyw_cen_import_wlaczony,'Tablica IO'!F272*INDEX(Model!$C$2:$CA$2,Model!$A38),'Tablica IO'!F272*1)</f>
        <v>2.9751067027039557E-3</v>
      </c>
      <c r="G38" s="222" cm="1">
        <f t="array" aca="1" ref="G38" ca="1">'Tablica IO'!G194*INDEX(Model!$C$93:$CA$93,Model!$A38) + IF(wplyw_cen_import_wlaczony,'Tablica IO'!G272*INDEX(Model!$C$2:$CA$2,Model!$A38),'Tablica IO'!G272*1)</f>
        <v>2.0791033983408426E-3</v>
      </c>
      <c r="H38" s="222" cm="1">
        <f t="array" aca="1" ref="H38" ca="1">'Tablica IO'!H194*INDEX(Model!$C$93:$CA$93,Model!$A38) + IF(wplyw_cen_import_wlaczony,'Tablica IO'!H272*INDEX(Model!$C$2:$CA$2,Model!$A38),'Tablica IO'!H272*1)</f>
        <v>1.5900681984175269E-5</v>
      </c>
      <c r="I38" s="222" cm="1">
        <f t="array" aca="1" ref="I38" ca="1">'Tablica IO'!I194*INDEX(Model!$C$93:$CA$93,Model!$A38) + IF(wplyw_cen_import_wlaczony,'Tablica IO'!I272*INDEX(Model!$C$2:$CA$2,Model!$A38),'Tablica IO'!I272*1)</f>
        <v>5.1566724311996415E-5</v>
      </c>
      <c r="J38" s="222" cm="1">
        <f t="array" aca="1" ref="J38" ca="1">'Tablica IO'!J194*INDEX(Model!$C$93:$CA$93,Model!$A38) + IF(wplyw_cen_import_wlaczony,'Tablica IO'!J272*INDEX(Model!$C$2:$CA$2,Model!$A38),'Tablica IO'!J272*1)</f>
        <v>0</v>
      </c>
      <c r="K38" s="222" cm="1">
        <f t="array" aca="1" ref="K38" ca="1">'Tablica IO'!K194*INDEX(Model!$C$93:$CA$93,Model!$A38) + IF(wplyw_cen_import_wlaczony,'Tablica IO'!K272*INDEX(Model!$C$2:$CA$2,Model!$A38),'Tablica IO'!K272*1)</f>
        <v>0</v>
      </c>
      <c r="L38" s="222" cm="1">
        <f t="array" aca="1" ref="L38" ca="1">'Tablica IO'!L194*INDEX(Model!$C$93:$CA$93,Model!$A38) + IF(wplyw_cen_import_wlaczony,'Tablica IO'!L272*INDEX(Model!$C$2:$CA$2,Model!$A38),'Tablica IO'!L272*1)</f>
        <v>0</v>
      </c>
      <c r="M38" s="222" cm="1">
        <f t="array" aca="1" ref="M38" ca="1">'Tablica IO'!M194*INDEX(Model!$C$93:$CA$93,Model!$A38) + IF(wplyw_cen_import_wlaczony,'Tablica IO'!M272*INDEX(Model!$C$2:$CA$2,Model!$A38),'Tablica IO'!M272*1)</f>
        <v>0</v>
      </c>
      <c r="N38" s="222" cm="1">
        <f t="array" aca="1" ref="N38" ca="1">'Tablica IO'!N194*INDEX(Model!$C$93:$CA$93,Model!$A38) + IF(wplyw_cen_import_wlaczony,'Tablica IO'!N272*INDEX(Model!$C$2:$CA$2,Model!$A38),'Tablica IO'!N272*1)</f>
        <v>2.3270508694393696E-5</v>
      </c>
      <c r="O38" s="222" cm="1">
        <f t="array" aca="1" ref="O38" ca="1">'Tablica IO'!O194*INDEX(Model!$C$93:$CA$93,Model!$A38) + IF(wplyw_cen_import_wlaczony,'Tablica IO'!O272*INDEX(Model!$C$2:$CA$2,Model!$A38),'Tablica IO'!O272*1)</f>
        <v>3.142049197144656E-5</v>
      </c>
      <c r="P38" s="222" cm="1">
        <f t="array" aca="1" ref="P38" ca="1">'Tablica IO'!P194*INDEX(Model!$C$93:$CA$93,Model!$A38) + IF(wplyw_cen_import_wlaczony,'Tablica IO'!P272*INDEX(Model!$C$2:$CA$2,Model!$A38),'Tablica IO'!P272*1)</f>
        <v>3.5215633102264381E-5</v>
      </c>
      <c r="Q38" s="222" cm="1">
        <f t="array" aca="1" ref="Q38" ca="1">'Tablica IO'!Q194*INDEX(Model!$C$93:$CA$93,Model!$A38) + IF(wplyw_cen_import_wlaczony,'Tablica IO'!Q272*INDEX(Model!$C$2:$CA$2,Model!$A38),'Tablica IO'!Q272*1)</f>
        <v>2.960455280227677E-5</v>
      </c>
      <c r="R38" s="222" cm="1">
        <f t="array" aca="1" ref="R38" ca="1">'Tablica IO'!R194*INDEX(Model!$C$93:$CA$93,Model!$A38) + IF(wplyw_cen_import_wlaczony,'Tablica IO'!R272*INDEX(Model!$C$2:$CA$2,Model!$A38),'Tablica IO'!R272*1)</f>
        <v>1.0919197160327994E-5</v>
      </c>
      <c r="S38" s="222" cm="1">
        <f t="array" aca="1" ref="S38" ca="1">'Tablica IO'!S194*INDEX(Model!$C$93:$CA$93,Model!$A38) + IF(wplyw_cen_import_wlaczony,'Tablica IO'!S272*INDEX(Model!$C$2:$CA$2,Model!$A38),'Tablica IO'!S272*1)</f>
        <v>7.9135931549730455E-5</v>
      </c>
      <c r="T38" s="222" cm="1">
        <f t="array" aca="1" ref="T38" ca="1">'Tablica IO'!T194*INDEX(Model!$C$93:$CA$93,Model!$A38) + IF(wplyw_cen_import_wlaczony,'Tablica IO'!T272*INDEX(Model!$C$2:$CA$2,Model!$A38),'Tablica IO'!T272*1)</f>
        <v>2.8215144669620435E-4</v>
      </c>
      <c r="U38" s="222" cm="1">
        <f t="array" aca="1" ref="U38" ca="1">'Tablica IO'!U194*INDEX(Model!$C$93:$CA$93,Model!$A38) + IF(wplyw_cen_import_wlaczony,'Tablica IO'!U272*INDEX(Model!$C$2:$CA$2,Model!$A38),'Tablica IO'!U272*1)</f>
        <v>1.9220298085484978E-5</v>
      </c>
      <c r="V38" s="222" cm="1">
        <f t="array" aca="1" ref="V38" ca="1">'Tablica IO'!V194*INDEX(Model!$C$93:$CA$93,Model!$A38) + IF(wplyw_cen_import_wlaczony,'Tablica IO'!V272*INDEX(Model!$C$2:$CA$2,Model!$A38),'Tablica IO'!V272*1)</f>
        <v>6.8274643352913495E-5</v>
      </c>
      <c r="W38" s="222" cm="1">
        <f t="array" aca="1" ref="W38" ca="1">'Tablica IO'!W194*INDEX(Model!$C$93:$CA$93,Model!$A38) + IF(wplyw_cen_import_wlaczony,'Tablica IO'!W272*INDEX(Model!$C$2:$CA$2,Model!$A38),'Tablica IO'!W272*1)</f>
        <v>2.1469908354032646E-4</v>
      </c>
      <c r="X38" s="222" cm="1">
        <f t="array" aca="1" ref="X38" ca="1">'Tablica IO'!X194*INDEX(Model!$C$93:$CA$93,Model!$A38) + IF(wplyw_cen_import_wlaczony,'Tablica IO'!X272*INDEX(Model!$C$2:$CA$2,Model!$A38),'Tablica IO'!X272*1)</f>
        <v>1.6356639112285565E-4</v>
      </c>
      <c r="Y38" s="222" cm="1">
        <f t="array" aca="1" ref="Y38" ca="1">'Tablica IO'!Y194*INDEX(Model!$C$93:$CA$93,Model!$A38) + IF(wplyw_cen_import_wlaczony,'Tablica IO'!Y272*INDEX(Model!$C$2:$CA$2,Model!$A38),'Tablica IO'!Y272*1)</f>
        <v>1.6167259534813149E-4</v>
      </c>
      <c r="Z38" s="222" cm="1">
        <f t="array" aca="1" ref="Z38" ca="1">'Tablica IO'!Z194*INDEX(Model!$C$93:$CA$93,Model!$A38) + IF(wplyw_cen_import_wlaczony,'Tablica IO'!Z272*INDEX(Model!$C$2:$CA$2,Model!$A38),'Tablica IO'!Z272*1)</f>
        <v>2.1194209702578829E-4</v>
      </c>
      <c r="AA38" s="222" cm="1">
        <f t="array" aca="1" ref="AA38" ca="1">'Tablica IO'!AA194*INDEX(Model!$C$93:$CA$93,Model!$A38) + IF(wplyw_cen_import_wlaczony,'Tablica IO'!AA272*INDEX(Model!$C$2:$CA$2,Model!$A38),'Tablica IO'!AA272*1)</f>
        <v>4.9981298522992074E-4</v>
      </c>
      <c r="AB38" s="222" cm="1">
        <f t="array" aca="1" ref="AB38" ca="1">'Tablica IO'!AB194*INDEX(Model!$C$93:$CA$93,Model!$A38) + IF(wplyw_cen_import_wlaczony,'Tablica IO'!AB272*INDEX(Model!$C$2:$CA$2,Model!$A38),'Tablica IO'!AB272*1)</f>
        <v>0.1829691250104957</v>
      </c>
      <c r="AC38" s="222" cm="1">
        <f t="array" aca="1" ref="AC38" ca="1">'Tablica IO'!AC194*INDEX(Model!$C$93:$CA$93,Model!$A38) + IF(wplyw_cen_import_wlaczony,'Tablica IO'!AC272*INDEX(Model!$C$2:$CA$2,Model!$A38),'Tablica IO'!AC272*1)</f>
        <v>6.4425965989436357E-5</v>
      </c>
      <c r="AD38" s="222" cm="1">
        <f t="array" aca="1" ref="AD38" ca="1">'Tablica IO'!AD194*INDEX(Model!$C$93:$CA$93,Model!$A38) + IF(wplyw_cen_import_wlaczony,'Tablica IO'!AD272*INDEX(Model!$C$2:$CA$2,Model!$A38),'Tablica IO'!AD272*1)</f>
        <v>7.2759727926987119E-5</v>
      </c>
      <c r="AE38" s="222" cm="1">
        <f t="array" aca="1" ref="AE38" ca="1">'Tablica IO'!AE194*INDEX(Model!$C$93:$CA$93,Model!$A38) + IF(wplyw_cen_import_wlaczony,'Tablica IO'!AE272*INDEX(Model!$C$2:$CA$2,Model!$A38),'Tablica IO'!AE272*1)</f>
        <v>1.0072274628365858E-2</v>
      </c>
      <c r="AF38" s="222" cm="1">
        <f t="array" aca="1" ref="AF38" ca="1">'Tablica IO'!AF194*INDEX(Model!$C$93:$CA$93,Model!$A38) + IF(wplyw_cen_import_wlaczony,'Tablica IO'!AF272*INDEX(Model!$C$2:$CA$2,Model!$A38),'Tablica IO'!AF272*1)</f>
        <v>7.2025423832775437E-5</v>
      </c>
      <c r="AG38" s="222" cm="1">
        <f t="array" aca="1" ref="AG38" ca="1">'Tablica IO'!AG194*INDEX(Model!$C$93:$CA$93,Model!$A38) + IF(wplyw_cen_import_wlaczony,'Tablica IO'!AG272*INDEX(Model!$C$2:$CA$2,Model!$A38),'Tablica IO'!AG272*1)</f>
        <v>2.4326804869060141E-5</v>
      </c>
      <c r="AH38" s="222" cm="1">
        <f t="array" aca="1" ref="AH38" ca="1">'Tablica IO'!AH194*INDEX(Model!$C$93:$CA$93,Model!$A38) + IF(wplyw_cen_import_wlaczony,'Tablica IO'!AH272*INDEX(Model!$C$2:$CA$2,Model!$A38),'Tablica IO'!AH272*1)</f>
        <v>1.2153998851103956E-4</v>
      </c>
      <c r="AI38" s="222" cm="1">
        <f t="array" aca="1" ref="AI38" ca="1">'Tablica IO'!AI194*INDEX(Model!$C$93:$CA$93,Model!$A38) + IF(wplyw_cen_import_wlaczony,'Tablica IO'!AI272*INDEX(Model!$C$2:$CA$2,Model!$A38),'Tablica IO'!AI272*1)</f>
        <v>1.1343833812799109E-3</v>
      </c>
      <c r="AJ38" s="222" cm="1">
        <f t="array" aca="1" ref="AJ38" ca="1">'Tablica IO'!AJ194*INDEX(Model!$C$93:$CA$93,Model!$A38) + IF(wplyw_cen_import_wlaczony,'Tablica IO'!AJ272*INDEX(Model!$C$2:$CA$2,Model!$A38),'Tablica IO'!AJ272*1)</f>
        <v>4.0922777829396011E-5</v>
      </c>
      <c r="AK38" s="222" cm="1">
        <f t="array" aca="1" ref="AK38" ca="1">'Tablica IO'!AK194*INDEX(Model!$C$93:$CA$93,Model!$A38) + IF(wplyw_cen_import_wlaczony,'Tablica IO'!AK272*INDEX(Model!$C$2:$CA$2,Model!$A38),'Tablica IO'!AK272*1)</f>
        <v>5.2553241329660408E-5</v>
      </c>
      <c r="AL38" s="222" cm="1">
        <f t="array" aca="1" ref="AL38" ca="1">'Tablica IO'!AL194*INDEX(Model!$C$93:$CA$93,Model!$A38) + IF(wplyw_cen_import_wlaczony,'Tablica IO'!AL272*INDEX(Model!$C$2:$CA$2,Model!$A38),'Tablica IO'!AL272*1)</f>
        <v>2.9894748402748352E-6</v>
      </c>
      <c r="AM38" s="222" cm="1">
        <f t="array" aca="1" ref="AM38" ca="1">'Tablica IO'!AM194*INDEX(Model!$C$93:$CA$93,Model!$A38) + IF(wplyw_cen_import_wlaczony,'Tablica IO'!AM272*INDEX(Model!$C$2:$CA$2,Model!$A38),'Tablica IO'!AM272*1)</f>
        <v>3.3318145781194213E-5</v>
      </c>
      <c r="AN38" s="222" cm="1">
        <f t="array" aca="1" ref="AN38" ca="1">'Tablica IO'!AN194*INDEX(Model!$C$93:$CA$93,Model!$A38) + IF(wplyw_cen_import_wlaczony,'Tablica IO'!AN272*INDEX(Model!$C$2:$CA$2,Model!$A38),'Tablica IO'!AN272*1)</f>
        <v>1.5425914423928884E-2</v>
      </c>
      <c r="AO38" s="222" cm="1">
        <f t="array" aca="1" ref="AO38" ca="1">'Tablica IO'!AO194*INDEX(Model!$C$93:$CA$93,Model!$A38) + IF(wplyw_cen_import_wlaczony,'Tablica IO'!AO272*INDEX(Model!$C$2:$CA$2,Model!$A38),'Tablica IO'!AO272*1)</f>
        <v>2.3985347256455049E-2</v>
      </c>
      <c r="AP38" s="222" cm="1">
        <f t="array" aca="1" ref="AP38" ca="1">'Tablica IO'!AP194*INDEX(Model!$C$93:$CA$93,Model!$A38) + IF(wplyw_cen_import_wlaczony,'Tablica IO'!AP272*INDEX(Model!$C$2:$CA$2,Model!$A38),'Tablica IO'!AP272*1)</f>
        <v>3.0928425373793296E-4</v>
      </c>
      <c r="AQ38" s="222" cm="1">
        <f t="array" aca="1" ref="AQ38" ca="1">'Tablica IO'!AQ194*INDEX(Model!$C$93:$CA$93,Model!$A38) + IF(wplyw_cen_import_wlaczony,'Tablica IO'!AQ272*INDEX(Model!$C$2:$CA$2,Model!$A38),'Tablica IO'!AQ272*1)</f>
        <v>8.6803306442784678E-4</v>
      </c>
      <c r="AR38" s="222" cm="1">
        <f t="array" aca="1" ref="AR38" ca="1">'Tablica IO'!AR194*INDEX(Model!$C$93:$CA$93,Model!$A38) + IF(wplyw_cen_import_wlaczony,'Tablica IO'!AR272*INDEX(Model!$C$2:$CA$2,Model!$A38),'Tablica IO'!AR272*1)</f>
        <v>1.3881074300563545E-5</v>
      </c>
      <c r="AS38" s="222" cm="1">
        <f t="array" aca="1" ref="AS38" ca="1">'Tablica IO'!AS194*INDEX(Model!$C$93:$CA$93,Model!$A38) + IF(wplyw_cen_import_wlaczony,'Tablica IO'!AS272*INDEX(Model!$C$2:$CA$2,Model!$A38),'Tablica IO'!AS272*1)</f>
        <v>9.0802252056117202E-6</v>
      </c>
      <c r="AT38" s="222" cm="1">
        <f t="array" aca="1" ref="AT38" ca="1">'Tablica IO'!AT194*INDEX(Model!$C$93:$CA$93,Model!$A38) + IF(wplyw_cen_import_wlaczony,'Tablica IO'!AT272*INDEX(Model!$C$2:$CA$2,Model!$A38),'Tablica IO'!AT272*1)</f>
        <v>5.5054056772090811E-5</v>
      </c>
      <c r="AU38" s="222" cm="1">
        <f t="array" aca="1" ref="AU38" ca="1">'Tablica IO'!AU194*INDEX(Model!$C$93:$CA$93,Model!$A38) + IF(wplyw_cen_import_wlaczony,'Tablica IO'!AU272*INDEX(Model!$C$2:$CA$2,Model!$A38),'Tablica IO'!AU272*1)</f>
        <v>1.1624248910164701E-7</v>
      </c>
      <c r="AV38" s="222" cm="1">
        <f t="array" aca="1" ref="AV38" ca="1">'Tablica IO'!AV194*INDEX(Model!$C$93:$CA$93,Model!$A38) + IF(wplyw_cen_import_wlaczony,'Tablica IO'!AV272*INDEX(Model!$C$2:$CA$2,Model!$A38),'Tablica IO'!AV272*1)</f>
        <v>1.1483821185901422E-5</v>
      </c>
      <c r="AW38" s="222" cm="1">
        <f t="array" aca="1" ref="AW38" ca="1">'Tablica IO'!AW194*INDEX(Model!$C$93:$CA$93,Model!$A38) + IF(wplyw_cen_import_wlaczony,'Tablica IO'!AW272*INDEX(Model!$C$2:$CA$2,Model!$A38),'Tablica IO'!AW272*1)</f>
        <v>3.3813319507621671E-5</v>
      </c>
      <c r="AX38" s="222" cm="1">
        <f t="array" aca="1" ref="AX38" ca="1">'Tablica IO'!AX194*INDEX(Model!$C$93:$CA$93,Model!$A38) + IF(wplyw_cen_import_wlaczony,'Tablica IO'!AX272*INDEX(Model!$C$2:$CA$2,Model!$A38),'Tablica IO'!AX272*1)</f>
        <v>0</v>
      </c>
      <c r="AY38" s="222" cm="1">
        <f t="array" aca="1" ref="AY38" ca="1">'Tablica IO'!AY194*INDEX(Model!$C$93:$CA$93,Model!$A38) + IF(wplyw_cen_import_wlaczony,'Tablica IO'!AY272*INDEX(Model!$C$2:$CA$2,Model!$A38),'Tablica IO'!AY272*1)</f>
        <v>0</v>
      </c>
      <c r="AZ38" s="222" cm="1">
        <f t="array" aca="1" ref="AZ38" ca="1">'Tablica IO'!AZ194*INDEX(Model!$C$93:$CA$93,Model!$A38) + IF(wplyw_cen_import_wlaczony,'Tablica IO'!AZ272*INDEX(Model!$C$2:$CA$2,Model!$A38),'Tablica IO'!AZ272*1)</f>
        <v>0</v>
      </c>
      <c r="BA38" s="222" cm="1">
        <f t="array" aca="1" ref="BA38" ca="1">'Tablica IO'!BA194*INDEX(Model!$C$93:$CA$93,Model!$A38) + IF(wplyw_cen_import_wlaczony,'Tablica IO'!BA272*INDEX(Model!$C$2:$CA$2,Model!$A38),'Tablica IO'!BA272*1)</f>
        <v>0</v>
      </c>
      <c r="BB38" s="222" cm="1">
        <f t="array" aca="1" ref="BB38" ca="1">'Tablica IO'!BB194*INDEX(Model!$C$93:$CA$93,Model!$A38) + IF(wplyw_cen_import_wlaczony,'Tablica IO'!BB272*INDEX(Model!$C$2:$CA$2,Model!$A38),'Tablica IO'!BB272*1)</f>
        <v>4.5604108829486564E-6</v>
      </c>
      <c r="BC38" s="222" cm="1">
        <f t="array" aca="1" ref="BC38" ca="1">'Tablica IO'!BC194*INDEX(Model!$C$93:$CA$93,Model!$A38) + IF(wplyw_cen_import_wlaczony,'Tablica IO'!BC272*INDEX(Model!$C$2:$CA$2,Model!$A38),'Tablica IO'!BC272*1)</f>
        <v>2.1051938667472086E-6</v>
      </c>
      <c r="BD38" s="222" cm="1">
        <f t="array" aca="1" ref="BD38" ca="1">'Tablica IO'!BD194*INDEX(Model!$C$93:$CA$93,Model!$A38) + IF(wplyw_cen_import_wlaczony,'Tablica IO'!BD272*INDEX(Model!$C$2:$CA$2,Model!$A38),'Tablica IO'!BD272*1)</f>
        <v>5.7200411819592487E-5</v>
      </c>
      <c r="BE38" s="222" cm="1">
        <f t="array" aca="1" ref="BE38" ca="1">'Tablica IO'!BE194*INDEX(Model!$C$93:$CA$93,Model!$A38) + IF(wplyw_cen_import_wlaczony,'Tablica IO'!BE272*INDEX(Model!$C$2:$CA$2,Model!$A38),'Tablica IO'!BE272*1)</f>
        <v>4.5245219363675565E-5</v>
      </c>
      <c r="BF38" s="222" cm="1">
        <f t="array" aca="1" ref="BF38" ca="1">'Tablica IO'!BF194*INDEX(Model!$C$93:$CA$93,Model!$A38) + IF(wplyw_cen_import_wlaczony,'Tablica IO'!BF272*INDEX(Model!$C$2:$CA$2,Model!$A38),'Tablica IO'!BF272*1)</f>
        <v>6.0538181051242861E-5</v>
      </c>
      <c r="BG38" s="222" cm="1">
        <f t="array" aca="1" ref="BG38" ca="1">'Tablica IO'!BG194*INDEX(Model!$C$93:$CA$93,Model!$A38) + IF(wplyw_cen_import_wlaczony,'Tablica IO'!BG272*INDEX(Model!$C$2:$CA$2,Model!$A38),'Tablica IO'!BG272*1)</f>
        <v>4.8386484126001504E-6</v>
      </c>
      <c r="BH38" s="222" cm="1">
        <f t="array" aca="1" ref="BH38" ca="1">'Tablica IO'!BH194*INDEX(Model!$C$93:$CA$93,Model!$A38) + IF(wplyw_cen_import_wlaczony,'Tablica IO'!BH272*INDEX(Model!$C$2:$CA$2,Model!$A38),'Tablica IO'!BH272*1)</f>
        <v>1.2289010835477581E-5</v>
      </c>
      <c r="BI38" s="222" cm="1">
        <f t="array" aca="1" ref="BI38" ca="1">'Tablica IO'!BI194*INDEX(Model!$C$93:$CA$93,Model!$A38) + IF(wplyw_cen_import_wlaczony,'Tablica IO'!BI272*INDEX(Model!$C$2:$CA$2,Model!$A38),'Tablica IO'!BI272*1)</f>
        <v>0</v>
      </c>
      <c r="BJ38" s="222" cm="1">
        <f t="array" aca="1" ref="BJ38" ca="1">'Tablica IO'!BJ194*INDEX(Model!$C$93:$CA$93,Model!$A38) + IF(wplyw_cen_import_wlaczony,'Tablica IO'!BJ272*INDEX(Model!$C$2:$CA$2,Model!$A38),'Tablica IO'!BJ272*1)</f>
        <v>1.114018829700723E-4</v>
      </c>
      <c r="BK38" s="222" cm="1">
        <f t="array" aca="1" ref="BK38" ca="1">'Tablica IO'!BK194*INDEX(Model!$C$93:$CA$93,Model!$A38) + IF(wplyw_cen_import_wlaczony,'Tablica IO'!BK272*INDEX(Model!$C$2:$CA$2,Model!$A38),'Tablica IO'!BK272*1)</f>
        <v>2.4370484976708436E-5</v>
      </c>
      <c r="BL38" s="222" cm="1">
        <f t="array" aca="1" ref="BL38" ca="1">'Tablica IO'!BL194*INDEX(Model!$C$93:$CA$93,Model!$A38) + IF(wplyw_cen_import_wlaczony,'Tablica IO'!BL272*INDEX(Model!$C$2:$CA$2,Model!$A38),'Tablica IO'!BL272*1)</f>
        <v>9.1637208966118759E-5</v>
      </c>
      <c r="BM38" s="222" cm="1">
        <f t="array" aca="1" ref="BM38" ca="1">'Tablica IO'!BM194*INDEX(Model!$C$93:$CA$93,Model!$A38) + IF(wplyw_cen_import_wlaczony,'Tablica IO'!BM272*INDEX(Model!$C$2:$CA$2,Model!$A38),'Tablica IO'!BM272*1)</f>
        <v>1.6255195348508802E-5</v>
      </c>
      <c r="BN38" s="222" cm="1">
        <f t="array" aca="1" ref="BN38" ca="1">'Tablica IO'!BN194*INDEX(Model!$C$93:$CA$93,Model!$A38) + IF(wplyw_cen_import_wlaczony,'Tablica IO'!BN272*INDEX(Model!$C$2:$CA$2,Model!$A38),'Tablica IO'!BN272*1)</f>
        <v>2.0537824395653139E-5</v>
      </c>
      <c r="BO38" s="222" cm="1">
        <f t="array" aca="1" ref="BO38" ca="1">'Tablica IO'!BO194*INDEX(Model!$C$93:$CA$93,Model!$A38) + IF(wplyw_cen_import_wlaczony,'Tablica IO'!BO272*INDEX(Model!$C$2:$CA$2,Model!$A38),'Tablica IO'!BO272*1)</f>
        <v>2.7559939917517571E-5</v>
      </c>
      <c r="BP38" s="222" cm="1">
        <f t="array" aca="1" ref="BP38" ca="1">'Tablica IO'!BP194*INDEX(Model!$C$93:$CA$93,Model!$A38) + IF(wplyw_cen_import_wlaczony,'Tablica IO'!BP272*INDEX(Model!$C$2:$CA$2,Model!$A38),'Tablica IO'!BP272*1)</f>
        <v>5.2304852831958522E-3</v>
      </c>
      <c r="BQ38" s="222" cm="1">
        <f t="array" aca="1" ref="BQ38" ca="1">'Tablica IO'!BQ194*INDEX(Model!$C$93:$CA$93,Model!$A38) + IF(wplyw_cen_import_wlaczony,'Tablica IO'!BQ272*INDEX(Model!$C$2:$CA$2,Model!$A38),'Tablica IO'!BQ272*1)</f>
        <v>1.9609258359889023E-5</v>
      </c>
      <c r="BR38" s="222" cm="1">
        <f t="array" aca="1" ref="BR38" ca="1">'Tablica IO'!BR194*INDEX(Model!$C$93:$CA$93,Model!$A38) + IF(wplyw_cen_import_wlaczony,'Tablica IO'!BR272*INDEX(Model!$C$2:$CA$2,Model!$A38),'Tablica IO'!BR272*1)</f>
        <v>1.1782024092485707E-5</v>
      </c>
      <c r="BS38" s="222" cm="1">
        <f t="array" aca="1" ref="BS38" ca="1">'Tablica IO'!BS194*INDEX(Model!$C$93:$CA$93,Model!$A38) + IF(wplyw_cen_import_wlaczony,'Tablica IO'!BS272*INDEX(Model!$C$2:$CA$2,Model!$A38),'Tablica IO'!BS272*1)</f>
        <v>0</v>
      </c>
      <c r="BT38" s="222" cm="1">
        <f t="array" aca="1" ref="BT38" ca="1">'Tablica IO'!BT194*INDEX(Model!$C$93:$CA$93,Model!$A38) + IF(wplyw_cen_import_wlaczony,'Tablica IO'!BT272*INDEX(Model!$C$2:$CA$2,Model!$A38),'Tablica IO'!BT272*1)</f>
        <v>1.6559709917343995E-5</v>
      </c>
      <c r="BU38" s="222" cm="1">
        <f t="array" aca="1" ref="BU38" ca="1">'Tablica IO'!BU194*INDEX(Model!$C$93:$CA$93,Model!$A38) + IF(wplyw_cen_import_wlaczony,'Tablica IO'!BU272*INDEX(Model!$C$2:$CA$2,Model!$A38),'Tablica IO'!BU272*1)</f>
        <v>5.1808548346494929E-5</v>
      </c>
      <c r="BV38" s="222" cm="1">
        <f t="array" aca="1" ref="BV38" ca="1">'Tablica IO'!BV194*INDEX(Model!$C$93:$CA$93,Model!$A38) + IF(wplyw_cen_import_wlaczony,'Tablica IO'!BV272*INDEX(Model!$C$2:$CA$2,Model!$A38),'Tablica IO'!BV272*1)</f>
        <v>1.0562505005050251E-6</v>
      </c>
      <c r="BW38" s="222" cm="1">
        <f t="array" aca="1" ref="BW38" ca="1">'Tablica IO'!BW194*INDEX(Model!$C$93:$CA$93,Model!$A38) + IF(wplyw_cen_import_wlaczony,'Tablica IO'!BW272*INDEX(Model!$C$2:$CA$2,Model!$A38),'Tablica IO'!BW272*1)</f>
        <v>2.2000629111886509E-4</v>
      </c>
      <c r="BX38" s="222" cm="1">
        <f t="array" aca="1" ref="BX38" ca="1">'Tablica IO'!BX194*INDEX(Model!$C$93:$CA$93,Model!$A38) + IF(wplyw_cen_import_wlaczony,'Tablica IO'!BX272*INDEX(Model!$C$2:$CA$2,Model!$A38),'Tablica IO'!BX272*1)</f>
        <v>0</v>
      </c>
      <c r="BY38" s="222" cm="1">
        <f t="array" aca="1" ref="BY38" ca="1">'Tablica IO'!BY194*INDEX(Model!$C$93:$CA$93,Model!$A38) + IF(wplyw_cen_import_wlaczony,'Tablica IO'!BY272*INDEX(Model!$C$2:$CA$2,Model!$A38),'Tablica IO'!BY272*1)</f>
        <v>4.3618139635768925E-5</v>
      </c>
      <c r="BZ38" s="222" cm="1">
        <f t="array" aca="1" ref="BZ38" ca="1">'Tablica IO'!BZ194*INDEX(Model!$C$93:$CA$93,Model!$A38) + IF(wplyw_cen_import_wlaczony,'Tablica IO'!BZ272*INDEX(Model!$C$2:$CA$2,Model!$A38),'Tablica IO'!BZ272*1)</f>
        <v>0</v>
      </c>
      <c r="CA38" s="222" cm="1">
        <f t="array" aca="1" ref="CA38" ca="1">'Tablica IO'!CA194*INDEX(Model!$C$93:$CA$93,Model!$A38) + IF(wplyw_cen_import_wlaczony,'Tablica IO'!CA272*INDEX(Model!$C$2:$CA$2,Model!$A38),'Tablica IO'!CA272*1)</f>
        <v>0</v>
      </c>
      <c r="CB38" s="247">
        <f ca="1">'Tablica IO'!CD194*INDEX(Model!$C$93:$CA$93,Model!$A38)+'Tablica IO'!CD272*INDEX(Model!$C$2:$CA$2,Model!$A38)</f>
        <v>1.289291324108676E-3</v>
      </c>
      <c r="CC38" s="188">
        <f ca="1">'Tablica IO'!CE194*INDEX(Model!$C$93:$CA$93,Model!$A38)+'Tablica IO'!CE272*INDEX(Model!$C$2:$CA$2,Model!$A38)</f>
        <v>1.536511146054001E-4</v>
      </c>
      <c r="CD38" s="188">
        <f ca="1">'Tablica IO'!CF194*INDEX(Model!$C$93:$CA$93,Model!$A38)+'Tablica IO'!CF272*INDEX(Model!$C$2:$CA$2,Model!$A38)</f>
        <v>2.8284183626604981E-2</v>
      </c>
      <c r="CE38" s="189">
        <f ca="1">'Tablica IO'!CG194*INDEX(Model!$C$93:$CA$93,Model!$A38)+'Tablica IO'!CG272*INDEX(Model!$C$2:$CA$2,Model!$A38)</f>
        <v>1.5590420158774109E-2</v>
      </c>
    </row>
    <row r="39" spans="1:83" x14ac:dyDescent="0.25">
      <c r="A39" s="164">
        <v>27</v>
      </c>
      <c r="B39" s="172" t="s">
        <v>26</v>
      </c>
      <c r="C39" s="221" cm="1">
        <f t="array" aca="1" ref="C39" ca="1">'Tablica IO'!C195*INDEX(Model!$C$93:$CA$93,Model!$A39) + IF(wplyw_cen_import_wlaczony,'Tablica IO'!C273*INDEX(Model!$C$2:$CA$2,Model!$A39),'Tablica IO'!C273*1)</f>
        <v>1.3297266829764005E-4</v>
      </c>
      <c r="D39" s="222" cm="1">
        <f t="array" aca="1" ref="D39" ca="1">'Tablica IO'!D195*INDEX(Model!$C$93:$CA$93,Model!$A39) + IF(wplyw_cen_import_wlaczony,'Tablica IO'!D273*INDEX(Model!$C$2:$CA$2,Model!$A39),'Tablica IO'!D273*1)</f>
        <v>1.066260318912824E-3</v>
      </c>
      <c r="E39" s="222" cm="1">
        <f t="array" aca="1" ref="E39" ca="1">'Tablica IO'!E195*INDEX(Model!$C$93:$CA$93,Model!$A39) + IF(wplyw_cen_import_wlaczony,'Tablica IO'!E273*INDEX(Model!$C$2:$CA$2,Model!$A39),'Tablica IO'!E273*1)</f>
        <v>1.4912137726922283E-4</v>
      </c>
      <c r="F39" s="222" cm="1">
        <f t="array" aca="1" ref="F39" ca="1">'Tablica IO'!F195*INDEX(Model!$C$93:$CA$93,Model!$A39) + IF(wplyw_cen_import_wlaczony,'Tablica IO'!F273*INDEX(Model!$C$2:$CA$2,Model!$A39),'Tablica IO'!F273*1)</f>
        <v>5.4916534034766238E-4</v>
      </c>
      <c r="G39" s="222" cm="1">
        <f t="array" aca="1" ref="G39" ca="1">'Tablica IO'!G195*INDEX(Model!$C$93:$CA$93,Model!$A39) + IF(wplyw_cen_import_wlaczony,'Tablica IO'!G273*INDEX(Model!$C$2:$CA$2,Model!$A39),'Tablica IO'!G273*1)</f>
        <v>6.0675841970647996E-4</v>
      </c>
      <c r="H39" s="222" cm="1">
        <f t="array" aca="1" ref="H39" ca="1">'Tablica IO'!H195*INDEX(Model!$C$93:$CA$93,Model!$A39) + IF(wplyw_cen_import_wlaczony,'Tablica IO'!H273*INDEX(Model!$C$2:$CA$2,Model!$A39),'Tablica IO'!H273*1)</f>
        <v>2.5014983944755814E-4</v>
      </c>
      <c r="I39" s="222" cm="1">
        <f t="array" aca="1" ref="I39" ca="1">'Tablica IO'!I195*INDEX(Model!$C$93:$CA$93,Model!$A39) + IF(wplyw_cen_import_wlaczony,'Tablica IO'!I273*INDEX(Model!$C$2:$CA$2,Model!$A39),'Tablica IO'!I273*1)</f>
        <v>6.3620920865773979E-5</v>
      </c>
      <c r="J39" s="222" cm="1">
        <f t="array" aca="1" ref="J39" ca="1">'Tablica IO'!J195*INDEX(Model!$C$93:$CA$93,Model!$A39) + IF(wplyw_cen_import_wlaczony,'Tablica IO'!J273*INDEX(Model!$C$2:$CA$2,Model!$A39),'Tablica IO'!J273*1)</f>
        <v>9.9581032204922016E-4</v>
      </c>
      <c r="K39" s="222" cm="1">
        <f t="array" aca="1" ref="K39" ca="1">'Tablica IO'!K195*INDEX(Model!$C$93:$CA$93,Model!$A39) + IF(wplyw_cen_import_wlaczony,'Tablica IO'!K273*INDEX(Model!$C$2:$CA$2,Model!$A39),'Tablica IO'!K273*1)</f>
        <v>9.2036013800941504E-4</v>
      </c>
      <c r="L39" s="222" cm="1">
        <f t="array" aca="1" ref="L39" ca="1">'Tablica IO'!L195*INDEX(Model!$C$93:$CA$93,Model!$A39) + IF(wplyw_cen_import_wlaczony,'Tablica IO'!L273*INDEX(Model!$C$2:$CA$2,Model!$A39),'Tablica IO'!L273*1)</f>
        <v>8.7550617180736929E-4</v>
      </c>
      <c r="M39" s="222" cm="1">
        <f t="array" aca="1" ref="M39" ca="1">'Tablica IO'!M195*INDEX(Model!$C$93:$CA$93,Model!$A39) + IF(wplyw_cen_import_wlaczony,'Tablica IO'!M273*INDEX(Model!$C$2:$CA$2,Model!$A39),'Tablica IO'!M273*1)</f>
        <v>1.4071330060378693E-3</v>
      </c>
      <c r="N39" s="222" cm="1">
        <f t="array" aca="1" ref="N39" ca="1">'Tablica IO'!N195*INDEX(Model!$C$93:$CA$93,Model!$A39) + IF(wplyw_cen_import_wlaczony,'Tablica IO'!N273*INDEX(Model!$C$2:$CA$2,Model!$A39),'Tablica IO'!N273*1)</f>
        <v>3.3504834544880466E-3</v>
      </c>
      <c r="O39" s="222" cm="1">
        <f t="array" aca="1" ref="O39" ca="1">'Tablica IO'!O195*INDEX(Model!$C$93:$CA$93,Model!$A39) + IF(wplyw_cen_import_wlaczony,'Tablica IO'!O273*INDEX(Model!$C$2:$CA$2,Model!$A39),'Tablica IO'!O273*1)</f>
        <v>5.7527147303683965E-4</v>
      </c>
      <c r="P39" s="222" cm="1">
        <f t="array" aca="1" ref="P39" ca="1">'Tablica IO'!P195*INDEX(Model!$C$93:$CA$93,Model!$A39) + IF(wplyw_cen_import_wlaczony,'Tablica IO'!P273*INDEX(Model!$C$2:$CA$2,Model!$A39),'Tablica IO'!P273*1)</f>
        <v>5.9231688992790964E-4</v>
      </c>
      <c r="Q39" s="222" cm="1">
        <f t="array" aca="1" ref="Q39" ca="1">'Tablica IO'!Q195*INDEX(Model!$C$93:$CA$93,Model!$A39) + IF(wplyw_cen_import_wlaczony,'Tablica IO'!Q273*INDEX(Model!$C$2:$CA$2,Model!$A39),'Tablica IO'!Q273*1)</f>
        <v>5.1291440287134875E-4</v>
      </c>
      <c r="R39" s="222" cm="1">
        <f t="array" aca="1" ref="R39" ca="1">'Tablica IO'!R195*INDEX(Model!$C$93:$CA$93,Model!$A39) + IF(wplyw_cen_import_wlaczony,'Tablica IO'!R273*INDEX(Model!$C$2:$CA$2,Model!$A39),'Tablica IO'!R273*1)</f>
        <v>7.3547010796526379E-4</v>
      </c>
      <c r="S39" s="222" cm="1">
        <f t="array" aca="1" ref="S39" ca="1">'Tablica IO'!S195*INDEX(Model!$C$93:$CA$93,Model!$A39) + IF(wplyw_cen_import_wlaczony,'Tablica IO'!S273*INDEX(Model!$C$2:$CA$2,Model!$A39),'Tablica IO'!S273*1)</f>
        <v>1.7808941903473502E-3</v>
      </c>
      <c r="T39" s="222" cm="1">
        <f t="array" aca="1" ref="T39" ca="1">'Tablica IO'!T195*INDEX(Model!$C$93:$CA$93,Model!$A39) + IF(wplyw_cen_import_wlaczony,'Tablica IO'!T273*INDEX(Model!$C$2:$CA$2,Model!$A39),'Tablica IO'!T273*1)</f>
        <v>2.3684049584134408E-3</v>
      </c>
      <c r="U39" s="222" cm="1">
        <f t="array" aca="1" ref="U39" ca="1">'Tablica IO'!U195*INDEX(Model!$C$93:$CA$93,Model!$A39) + IF(wplyw_cen_import_wlaczony,'Tablica IO'!U273*INDEX(Model!$C$2:$CA$2,Model!$A39),'Tablica IO'!U273*1)</f>
        <v>2.4890978239198156E-3</v>
      </c>
      <c r="V39" s="222" cm="1">
        <f t="array" aca="1" ref="V39" ca="1">'Tablica IO'!V195*INDEX(Model!$C$93:$CA$93,Model!$A39) + IF(wplyw_cen_import_wlaczony,'Tablica IO'!V273*INDEX(Model!$C$2:$CA$2,Model!$A39),'Tablica IO'!V273*1)</f>
        <v>3.8097054852524731E-4</v>
      </c>
      <c r="W39" s="222" cm="1">
        <f t="array" aca="1" ref="W39" ca="1">'Tablica IO'!W195*INDEX(Model!$C$93:$CA$93,Model!$A39) + IF(wplyw_cen_import_wlaczony,'Tablica IO'!W273*INDEX(Model!$C$2:$CA$2,Model!$A39),'Tablica IO'!W273*1)</f>
        <v>1.9041563480152587E-3</v>
      </c>
      <c r="X39" s="222" cm="1">
        <f t="array" aca="1" ref="X39" ca="1">'Tablica IO'!X195*INDEX(Model!$C$93:$CA$93,Model!$A39) + IF(wplyw_cen_import_wlaczony,'Tablica IO'!X273*INDEX(Model!$C$2:$CA$2,Model!$A39),'Tablica IO'!X273*1)</f>
        <v>5.7312382985934371E-5</v>
      </c>
      <c r="Y39" s="222" cm="1">
        <f t="array" aca="1" ref="Y39" ca="1">'Tablica IO'!Y195*INDEX(Model!$C$93:$CA$93,Model!$A39) + IF(wplyw_cen_import_wlaczony,'Tablica IO'!Y273*INDEX(Model!$C$2:$CA$2,Model!$A39),'Tablica IO'!Y273*1)</f>
        <v>3.4182175145112642E-3</v>
      </c>
      <c r="Z39" s="222" cm="1">
        <f t="array" aca="1" ref="Z39" ca="1">'Tablica IO'!Z195*INDEX(Model!$C$93:$CA$93,Model!$A39) + IF(wplyw_cen_import_wlaczony,'Tablica IO'!Z273*INDEX(Model!$C$2:$CA$2,Model!$A39),'Tablica IO'!Z273*1)</f>
        <v>5.0175083849893568E-4</v>
      </c>
      <c r="AA39" s="222" cm="1">
        <f t="array" aca="1" ref="AA39" ca="1">'Tablica IO'!AA195*INDEX(Model!$C$93:$CA$93,Model!$A39) + IF(wplyw_cen_import_wlaczony,'Tablica IO'!AA273*INDEX(Model!$C$2:$CA$2,Model!$A39),'Tablica IO'!AA273*1)</f>
        <v>3.640330437525137E-4</v>
      </c>
      <c r="AB39" s="222" cm="1">
        <f t="array" aca="1" ref="AB39" ca="1">'Tablica IO'!AB195*INDEX(Model!$C$93:$CA$93,Model!$A39) + IF(wplyw_cen_import_wlaczony,'Tablica IO'!AB273*INDEX(Model!$C$2:$CA$2,Model!$A39),'Tablica IO'!AB273*1)</f>
        <v>3.2919076629921388E-3</v>
      </c>
      <c r="AC39" s="222" cm="1">
        <f t="array" aca="1" ref="AC39" ca="1">'Tablica IO'!AC195*INDEX(Model!$C$93:$CA$93,Model!$A39) + IF(wplyw_cen_import_wlaczony,'Tablica IO'!AC273*INDEX(Model!$C$2:$CA$2,Model!$A39),'Tablica IO'!AC273*1)</f>
        <v>6.1538777604849951E-2</v>
      </c>
      <c r="AD39" s="222" cm="1">
        <f t="array" aca="1" ref="AD39" ca="1">'Tablica IO'!AD195*INDEX(Model!$C$93:$CA$93,Model!$A39) + IF(wplyw_cen_import_wlaczony,'Tablica IO'!AD273*INDEX(Model!$C$2:$CA$2,Model!$A39),'Tablica IO'!AD273*1)</f>
        <v>2.0153226378839084E-3</v>
      </c>
      <c r="AE39" s="222" cm="1">
        <f t="array" aca="1" ref="AE39" ca="1">'Tablica IO'!AE195*INDEX(Model!$C$93:$CA$93,Model!$A39) + IF(wplyw_cen_import_wlaczony,'Tablica IO'!AE273*INDEX(Model!$C$2:$CA$2,Model!$A39),'Tablica IO'!AE273*1)</f>
        <v>5.6766588520130751E-4</v>
      </c>
      <c r="AF39" s="222" cm="1">
        <f t="array" aca="1" ref="AF39" ca="1">'Tablica IO'!AF195*INDEX(Model!$C$93:$CA$93,Model!$A39) + IF(wplyw_cen_import_wlaczony,'Tablica IO'!AF273*INDEX(Model!$C$2:$CA$2,Model!$A39),'Tablica IO'!AF273*1)</f>
        <v>8.1392773423211607E-4</v>
      </c>
      <c r="AG39" s="222" cm="1">
        <f t="array" aca="1" ref="AG39" ca="1">'Tablica IO'!AG195*INDEX(Model!$C$93:$CA$93,Model!$A39) + IF(wplyw_cen_import_wlaczony,'Tablica IO'!AG273*INDEX(Model!$C$2:$CA$2,Model!$A39),'Tablica IO'!AG273*1)</f>
        <v>6.83049432170045E-4</v>
      </c>
      <c r="AH39" s="222" cm="1">
        <f t="array" aca="1" ref="AH39" ca="1">'Tablica IO'!AH195*INDEX(Model!$C$93:$CA$93,Model!$A39) + IF(wplyw_cen_import_wlaczony,'Tablica IO'!AH273*INDEX(Model!$C$2:$CA$2,Model!$A39),'Tablica IO'!AH273*1)</f>
        <v>1.2013047662822024E-3</v>
      </c>
      <c r="AI39" s="222" cm="1">
        <f t="array" aca="1" ref="AI39" ca="1">'Tablica IO'!AI195*INDEX(Model!$C$93:$CA$93,Model!$A39) + IF(wplyw_cen_import_wlaczony,'Tablica IO'!AI273*INDEX(Model!$C$2:$CA$2,Model!$A39),'Tablica IO'!AI273*1)</f>
        <v>1.2058123139074214E-3</v>
      </c>
      <c r="AJ39" s="222" cm="1">
        <f t="array" aca="1" ref="AJ39" ca="1">'Tablica IO'!AJ195*INDEX(Model!$C$93:$CA$93,Model!$A39) + IF(wplyw_cen_import_wlaczony,'Tablica IO'!AJ273*INDEX(Model!$C$2:$CA$2,Model!$A39),'Tablica IO'!AJ273*1)</f>
        <v>1.4349143594645682E-3</v>
      </c>
      <c r="AK39" s="222" cm="1">
        <f t="array" aca="1" ref="AK39" ca="1">'Tablica IO'!AK195*INDEX(Model!$C$93:$CA$93,Model!$A39) + IF(wplyw_cen_import_wlaczony,'Tablica IO'!AK273*INDEX(Model!$C$2:$CA$2,Model!$A39),'Tablica IO'!AK273*1)</f>
        <v>7.9152520189018204E-4</v>
      </c>
      <c r="AL39" s="222" cm="1">
        <f t="array" aca="1" ref="AL39" ca="1">'Tablica IO'!AL195*INDEX(Model!$C$93:$CA$93,Model!$A39) + IF(wplyw_cen_import_wlaczony,'Tablica IO'!AL273*INDEX(Model!$C$2:$CA$2,Model!$A39),'Tablica IO'!AL273*1)</f>
        <v>5.6514981170024676E-4</v>
      </c>
      <c r="AM39" s="222" cm="1">
        <f t="array" aca="1" ref="AM39" ca="1">'Tablica IO'!AM195*INDEX(Model!$C$93:$CA$93,Model!$A39) + IF(wplyw_cen_import_wlaczony,'Tablica IO'!AM273*INDEX(Model!$C$2:$CA$2,Model!$A39),'Tablica IO'!AM273*1)</f>
        <v>9.6295658567140628E-4</v>
      </c>
      <c r="AN39" s="222" cm="1">
        <f t="array" aca="1" ref="AN39" ca="1">'Tablica IO'!AN195*INDEX(Model!$C$93:$CA$93,Model!$A39) + IF(wplyw_cen_import_wlaczony,'Tablica IO'!AN273*INDEX(Model!$C$2:$CA$2,Model!$A39),'Tablica IO'!AN273*1)</f>
        <v>1.035846713342821E-3</v>
      </c>
      <c r="AO39" s="222" cm="1">
        <f t="array" aca="1" ref="AO39" ca="1">'Tablica IO'!AO195*INDEX(Model!$C$93:$CA$93,Model!$A39) + IF(wplyw_cen_import_wlaczony,'Tablica IO'!AO273*INDEX(Model!$C$2:$CA$2,Model!$A39),'Tablica IO'!AO273*1)</f>
        <v>3.1581964057201438E-4</v>
      </c>
      <c r="AP39" s="222" cm="1">
        <f t="array" aca="1" ref="AP39" ca="1">'Tablica IO'!AP195*INDEX(Model!$C$93:$CA$93,Model!$A39) + IF(wplyw_cen_import_wlaczony,'Tablica IO'!AP273*INDEX(Model!$C$2:$CA$2,Model!$A39),'Tablica IO'!AP273*1)</f>
        <v>7.9845827392537082E-4</v>
      </c>
      <c r="AQ39" s="222" cm="1">
        <f t="array" aca="1" ref="AQ39" ca="1">'Tablica IO'!AQ195*INDEX(Model!$C$93:$CA$93,Model!$A39) + IF(wplyw_cen_import_wlaczony,'Tablica IO'!AQ273*INDEX(Model!$C$2:$CA$2,Model!$A39),'Tablica IO'!AQ273*1)</f>
        <v>2.441323465541522E-3</v>
      </c>
      <c r="AR39" s="222" cm="1">
        <f t="array" aca="1" ref="AR39" ca="1">'Tablica IO'!AR195*INDEX(Model!$C$93:$CA$93,Model!$A39) + IF(wplyw_cen_import_wlaczony,'Tablica IO'!AR273*INDEX(Model!$C$2:$CA$2,Model!$A39),'Tablica IO'!AR273*1)</f>
        <v>1.7920359573608182E-3</v>
      </c>
      <c r="AS39" s="222" cm="1">
        <f t="array" aca="1" ref="AS39" ca="1">'Tablica IO'!AS195*INDEX(Model!$C$93:$CA$93,Model!$A39) + IF(wplyw_cen_import_wlaczony,'Tablica IO'!AS273*INDEX(Model!$C$2:$CA$2,Model!$A39),'Tablica IO'!AS273*1)</f>
        <v>6.570146588028425E-4</v>
      </c>
      <c r="AT39" s="222" cm="1">
        <f t="array" aca="1" ref="AT39" ca="1">'Tablica IO'!AT195*INDEX(Model!$C$93:$CA$93,Model!$A39) + IF(wplyw_cen_import_wlaczony,'Tablica IO'!AT273*INDEX(Model!$C$2:$CA$2,Model!$A39),'Tablica IO'!AT273*1)</f>
        <v>9.3538529506708866E-4</v>
      </c>
      <c r="AU39" s="222" cm="1">
        <f t="array" aca="1" ref="AU39" ca="1">'Tablica IO'!AU195*INDEX(Model!$C$93:$CA$93,Model!$A39) + IF(wplyw_cen_import_wlaczony,'Tablica IO'!AU273*INDEX(Model!$C$2:$CA$2,Model!$A39),'Tablica IO'!AU273*1)</f>
        <v>3.8522010395709204E-5</v>
      </c>
      <c r="AV39" s="222" cm="1">
        <f t="array" aca="1" ref="AV39" ca="1">'Tablica IO'!AV195*INDEX(Model!$C$93:$CA$93,Model!$A39) + IF(wplyw_cen_import_wlaczony,'Tablica IO'!AV273*INDEX(Model!$C$2:$CA$2,Model!$A39),'Tablica IO'!AV273*1)</f>
        <v>3.0402375508132884E-4</v>
      </c>
      <c r="AW39" s="222" cm="1">
        <f t="array" aca="1" ref="AW39" ca="1">'Tablica IO'!AW195*INDEX(Model!$C$93:$CA$93,Model!$A39) + IF(wplyw_cen_import_wlaczony,'Tablica IO'!AW273*INDEX(Model!$C$2:$CA$2,Model!$A39),'Tablica IO'!AW273*1)</f>
        <v>1.0605526553260228E-3</v>
      </c>
      <c r="AX39" s="222" cm="1">
        <f t="array" aca="1" ref="AX39" ca="1">'Tablica IO'!AX195*INDEX(Model!$C$93:$CA$93,Model!$A39) + IF(wplyw_cen_import_wlaczony,'Tablica IO'!AX273*INDEX(Model!$C$2:$CA$2,Model!$A39),'Tablica IO'!AX273*1)</f>
        <v>7.8533476139752961E-4</v>
      </c>
      <c r="AY39" s="222" cm="1">
        <f t="array" aca="1" ref="AY39" ca="1">'Tablica IO'!AY195*INDEX(Model!$C$93:$CA$93,Model!$A39) + IF(wplyw_cen_import_wlaczony,'Tablica IO'!AY273*INDEX(Model!$C$2:$CA$2,Model!$A39),'Tablica IO'!AY273*1)</f>
        <v>4.1196504722647737E-4</v>
      </c>
      <c r="AZ39" s="222" cm="1">
        <f t="array" aca="1" ref="AZ39" ca="1">'Tablica IO'!AZ195*INDEX(Model!$C$93:$CA$93,Model!$A39) + IF(wplyw_cen_import_wlaczony,'Tablica IO'!AZ273*INDEX(Model!$C$2:$CA$2,Model!$A39),'Tablica IO'!AZ273*1)</f>
        <v>3.4282849780525792E-3</v>
      </c>
      <c r="BA39" s="222" cm="1">
        <f t="array" aca="1" ref="BA39" ca="1">'Tablica IO'!BA195*INDEX(Model!$C$93:$CA$93,Model!$A39) + IF(wplyw_cen_import_wlaczony,'Tablica IO'!BA273*INDEX(Model!$C$2:$CA$2,Model!$A39),'Tablica IO'!BA273*1)</f>
        <v>1.5661984255815062E-3</v>
      </c>
      <c r="BB39" s="222" cm="1">
        <f t="array" aca="1" ref="BB39" ca="1">'Tablica IO'!BB195*INDEX(Model!$C$93:$CA$93,Model!$A39) + IF(wplyw_cen_import_wlaczony,'Tablica IO'!BB273*INDEX(Model!$C$2:$CA$2,Model!$A39),'Tablica IO'!BB273*1)</f>
        <v>1.2210351291534649E-3</v>
      </c>
      <c r="BC39" s="222" cm="1">
        <f t="array" aca="1" ref="BC39" ca="1">'Tablica IO'!BC195*INDEX(Model!$C$93:$CA$93,Model!$A39) + IF(wplyw_cen_import_wlaczony,'Tablica IO'!BC273*INDEX(Model!$C$2:$CA$2,Model!$A39),'Tablica IO'!BC273*1)</f>
        <v>2.5333233890493948E-4</v>
      </c>
      <c r="BD39" s="222" cm="1">
        <f t="array" aca="1" ref="BD39" ca="1">'Tablica IO'!BD195*INDEX(Model!$C$93:$CA$93,Model!$A39) + IF(wplyw_cen_import_wlaczony,'Tablica IO'!BD273*INDEX(Model!$C$2:$CA$2,Model!$A39),'Tablica IO'!BD273*1)</f>
        <v>6.2632520526544196E-4</v>
      </c>
      <c r="BE39" s="222" cm="1">
        <f t="array" aca="1" ref="BE39" ca="1">'Tablica IO'!BE195*INDEX(Model!$C$93:$CA$93,Model!$A39) + IF(wplyw_cen_import_wlaczony,'Tablica IO'!BE273*INDEX(Model!$C$2:$CA$2,Model!$A39),'Tablica IO'!BE273*1)</f>
        <v>4.9172843200394768E-4</v>
      </c>
      <c r="BF39" s="222" cm="1">
        <f t="array" aca="1" ref="BF39" ca="1">'Tablica IO'!BF195*INDEX(Model!$C$93:$CA$93,Model!$A39) + IF(wplyw_cen_import_wlaczony,'Tablica IO'!BF273*INDEX(Model!$C$2:$CA$2,Model!$A39),'Tablica IO'!BF273*1)</f>
        <v>9.132315908537235E-4</v>
      </c>
      <c r="BG39" s="222" cm="1">
        <f t="array" aca="1" ref="BG39" ca="1">'Tablica IO'!BG195*INDEX(Model!$C$93:$CA$93,Model!$A39) + IF(wplyw_cen_import_wlaczony,'Tablica IO'!BG273*INDEX(Model!$C$2:$CA$2,Model!$A39),'Tablica IO'!BG273*1)</f>
        <v>5.280884787035344E-4</v>
      </c>
      <c r="BH39" s="222" cm="1">
        <f t="array" aca="1" ref="BH39" ca="1">'Tablica IO'!BH195*INDEX(Model!$C$93:$CA$93,Model!$A39) + IF(wplyw_cen_import_wlaczony,'Tablica IO'!BH273*INDEX(Model!$C$2:$CA$2,Model!$A39),'Tablica IO'!BH273*1)</f>
        <v>1.0655699131225528E-2</v>
      </c>
      <c r="BI39" s="222" cm="1">
        <f t="array" aca="1" ref="BI39" ca="1">'Tablica IO'!BI195*INDEX(Model!$C$93:$CA$93,Model!$A39) + IF(wplyw_cen_import_wlaczony,'Tablica IO'!BI273*INDEX(Model!$C$2:$CA$2,Model!$A39),'Tablica IO'!BI273*1)</f>
        <v>2.6595240648126853E-4</v>
      </c>
      <c r="BJ39" s="222" cm="1">
        <f t="array" aca="1" ref="BJ39" ca="1">'Tablica IO'!BJ195*INDEX(Model!$C$93:$CA$93,Model!$A39) + IF(wplyw_cen_import_wlaczony,'Tablica IO'!BJ273*INDEX(Model!$C$2:$CA$2,Model!$A39),'Tablica IO'!BJ273*1)</f>
        <v>5.4708415978263947E-4</v>
      </c>
      <c r="BK39" s="222" cm="1">
        <f t="array" aca="1" ref="BK39" ca="1">'Tablica IO'!BK195*INDEX(Model!$C$93:$CA$93,Model!$A39) + IF(wplyw_cen_import_wlaczony,'Tablica IO'!BK273*INDEX(Model!$C$2:$CA$2,Model!$A39),'Tablica IO'!BK273*1)</f>
        <v>6.267502772159798E-4</v>
      </c>
      <c r="BL39" s="222" cm="1">
        <f t="array" aca="1" ref="BL39" ca="1">'Tablica IO'!BL195*INDEX(Model!$C$93:$CA$93,Model!$A39) + IF(wplyw_cen_import_wlaczony,'Tablica IO'!BL273*INDEX(Model!$C$2:$CA$2,Model!$A39),'Tablica IO'!BL273*1)</f>
        <v>2.2709027461885058E-4</v>
      </c>
      <c r="BM39" s="222" cm="1">
        <f t="array" aca="1" ref="BM39" ca="1">'Tablica IO'!BM195*INDEX(Model!$C$93:$CA$93,Model!$A39) + IF(wplyw_cen_import_wlaczony,'Tablica IO'!BM273*INDEX(Model!$C$2:$CA$2,Model!$A39),'Tablica IO'!BM273*1)</f>
        <v>1.466071283309271E-3</v>
      </c>
      <c r="BN39" s="222" cm="1">
        <f t="array" aca="1" ref="BN39" ca="1">'Tablica IO'!BN195*INDEX(Model!$C$93:$CA$93,Model!$A39) + IF(wplyw_cen_import_wlaczony,'Tablica IO'!BN273*INDEX(Model!$C$2:$CA$2,Model!$A39),'Tablica IO'!BN273*1)</f>
        <v>1.2777924007273964E-3</v>
      </c>
      <c r="BO39" s="222" cm="1">
        <f t="array" aca="1" ref="BO39" ca="1">'Tablica IO'!BO195*INDEX(Model!$C$93:$CA$93,Model!$A39) + IF(wplyw_cen_import_wlaczony,'Tablica IO'!BO273*INDEX(Model!$C$2:$CA$2,Model!$A39),'Tablica IO'!BO273*1)</f>
        <v>3.0214723036422038E-4</v>
      </c>
      <c r="BP39" s="222" cm="1">
        <f t="array" aca="1" ref="BP39" ca="1">'Tablica IO'!BP195*INDEX(Model!$C$93:$CA$93,Model!$A39) + IF(wplyw_cen_import_wlaczony,'Tablica IO'!BP273*INDEX(Model!$C$2:$CA$2,Model!$A39),'Tablica IO'!BP273*1)</f>
        <v>2.9941465184270971E-4</v>
      </c>
      <c r="BQ39" s="222" cm="1">
        <f t="array" aca="1" ref="BQ39" ca="1">'Tablica IO'!BQ195*INDEX(Model!$C$93:$CA$93,Model!$A39) + IF(wplyw_cen_import_wlaczony,'Tablica IO'!BQ273*INDEX(Model!$C$2:$CA$2,Model!$A39),'Tablica IO'!BQ273*1)</f>
        <v>6.9280369224113125E-4</v>
      </c>
      <c r="BR39" s="222" cm="1">
        <f t="array" aca="1" ref="BR39" ca="1">'Tablica IO'!BR195*INDEX(Model!$C$93:$CA$93,Model!$A39) + IF(wplyw_cen_import_wlaczony,'Tablica IO'!BR273*INDEX(Model!$C$2:$CA$2,Model!$A39),'Tablica IO'!BR273*1)</f>
        <v>3.6233542002756377E-3</v>
      </c>
      <c r="BS39" s="222" cm="1">
        <f t="array" aca="1" ref="BS39" ca="1">'Tablica IO'!BS195*INDEX(Model!$C$93:$CA$93,Model!$A39) + IF(wplyw_cen_import_wlaczony,'Tablica IO'!BS273*INDEX(Model!$C$2:$CA$2,Model!$A39),'Tablica IO'!BS273*1)</f>
        <v>2.4537484035005632E-3</v>
      </c>
      <c r="BT39" s="222" cm="1">
        <f t="array" aca="1" ref="BT39" ca="1">'Tablica IO'!BT195*INDEX(Model!$C$93:$CA$93,Model!$A39) + IF(wplyw_cen_import_wlaczony,'Tablica IO'!BT273*INDEX(Model!$C$2:$CA$2,Model!$A39),'Tablica IO'!BT273*1)</f>
        <v>3.9362633498600886E-3</v>
      </c>
      <c r="BU39" s="222" cm="1">
        <f t="array" aca="1" ref="BU39" ca="1">'Tablica IO'!BU195*INDEX(Model!$C$93:$CA$93,Model!$A39) + IF(wplyw_cen_import_wlaczony,'Tablica IO'!BU273*INDEX(Model!$C$2:$CA$2,Model!$A39),'Tablica IO'!BU273*1)</f>
        <v>3.5679072543965363E-3</v>
      </c>
      <c r="BV39" s="222" cm="1">
        <f t="array" aca="1" ref="BV39" ca="1">'Tablica IO'!BV195*INDEX(Model!$C$93:$CA$93,Model!$A39) + IF(wplyw_cen_import_wlaczony,'Tablica IO'!BV273*INDEX(Model!$C$2:$CA$2,Model!$A39),'Tablica IO'!BV273*1)</f>
        <v>5.1017177067062814E-4</v>
      </c>
      <c r="BW39" s="222" cm="1">
        <f t="array" aca="1" ref="BW39" ca="1">'Tablica IO'!BW195*INDEX(Model!$C$93:$CA$93,Model!$A39) + IF(wplyw_cen_import_wlaczony,'Tablica IO'!BW273*INDEX(Model!$C$2:$CA$2,Model!$A39),'Tablica IO'!BW273*1)</f>
        <v>1.6850738904125538E-3</v>
      </c>
      <c r="BX39" s="222" cm="1">
        <f t="array" aca="1" ref="BX39" ca="1">'Tablica IO'!BX195*INDEX(Model!$C$93:$CA$93,Model!$A39) + IF(wplyw_cen_import_wlaczony,'Tablica IO'!BX273*INDEX(Model!$C$2:$CA$2,Model!$A39),'Tablica IO'!BX273*1)</f>
        <v>4.2078725892451371E-5</v>
      </c>
      <c r="BY39" s="222" cm="1">
        <f t="array" aca="1" ref="BY39" ca="1">'Tablica IO'!BY195*INDEX(Model!$C$93:$CA$93,Model!$A39) + IF(wplyw_cen_import_wlaczony,'Tablica IO'!BY273*INDEX(Model!$C$2:$CA$2,Model!$A39),'Tablica IO'!BY273*1)</f>
        <v>8.250238153509018E-3</v>
      </c>
      <c r="BZ39" s="222" cm="1">
        <f t="array" aca="1" ref="BZ39" ca="1">'Tablica IO'!BZ195*INDEX(Model!$C$93:$CA$93,Model!$A39) + IF(wplyw_cen_import_wlaczony,'Tablica IO'!BZ273*INDEX(Model!$C$2:$CA$2,Model!$A39),'Tablica IO'!BZ273*1)</f>
        <v>1.2289126278116438E-3</v>
      </c>
      <c r="CA39" s="222" cm="1">
        <f t="array" aca="1" ref="CA39" ca="1">'Tablica IO'!CA195*INDEX(Model!$C$93:$CA$93,Model!$A39) + IF(wplyw_cen_import_wlaczony,'Tablica IO'!CA273*INDEX(Model!$C$2:$CA$2,Model!$A39),'Tablica IO'!CA273*1)</f>
        <v>0</v>
      </c>
      <c r="CB39" s="247">
        <f ca="1">'Tablica IO'!CD195*INDEX(Model!$C$93:$CA$93,Model!$A39)+'Tablica IO'!CD273*INDEX(Model!$C$2:$CA$2,Model!$A39)</f>
        <v>1.096402296957995E-2</v>
      </c>
      <c r="CC39" s="188">
        <f ca="1">'Tablica IO'!CE195*INDEX(Model!$C$93:$CA$93,Model!$A39)+'Tablica IO'!CE273*INDEX(Model!$C$2:$CA$2,Model!$A39)</f>
        <v>1.0146437619996221E-5</v>
      </c>
      <c r="CD39" s="188">
        <f ca="1">'Tablica IO'!CF195*INDEX(Model!$C$93:$CA$93,Model!$A39)+'Tablica IO'!CF273*INDEX(Model!$C$2:$CA$2,Model!$A39)</f>
        <v>1.5946482337031102E-2</v>
      </c>
      <c r="CE39" s="189">
        <f ca="1">'Tablica IO'!CG195*INDEX(Model!$C$93:$CA$93,Model!$A39)+'Tablica IO'!CG273*INDEX(Model!$C$2:$CA$2,Model!$A39)</f>
        <v>3.8245243362425289E-2</v>
      </c>
    </row>
    <row r="40" spans="1:83" x14ac:dyDescent="0.25">
      <c r="A40" s="164">
        <v>28</v>
      </c>
      <c r="B40" s="172" t="s">
        <v>27</v>
      </c>
      <c r="C40" s="221" cm="1">
        <f t="array" aca="1" ref="C40" ca="1">'Tablica IO'!C196*INDEX(Model!$C$93:$CA$93,Model!$A40) + IF(wplyw_cen_import_wlaczony,'Tablica IO'!C274*INDEX(Model!$C$2:$CA$2,Model!$A40),'Tablica IO'!C274*1)</f>
        <v>6.5400046298724E-5</v>
      </c>
      <c r="D40" s="222" cm="1">
        <f t="array" aca="1" ref="D40" ca="1">'Tablica IO'!D196*INDEX(Model!$C$93:$CA$93,Model!$A40) + IF(wplyw_cen_import_wlaczony,'Tablica IO'!D274*INDEX(Model!$C$2:$CA$2,Model!$A40),'Tablica IO'!D274*1)</f>
        <v>4.7009791127150047E-4</v>
      </c>
      <c r="E40" s="222" cm="1">
        <f t="array" aca="1" ref="E40" ca="1">'Tablica IO'!E196*INDEX(Model!$C$93:$CA$93,Model!$A40) + IF(wplyw_cen_import_wlaczony,'Tablica IO'!E274*INDEX(Model!$C$2:$CA$2,Model!$A40),'Tablica IO'!E274*1)</f>
        <v>1.680962459004034E-3</v>
      </c>
      <c r="F40" s="222" cm="1">
        <f t="array" aca="1" ref="F40" ca="1">'Tablica IO'!F196*INDEX(Model!$C$93:$CA$93,Model!$A40) + IF(wplyw_cen_import_wlaczony,'Tablica IO'!F274*INDEX(Model!$C$2:$CA$2,Model!$A40),'Tablica IO'!F274*1)</f>
        <v>1.0514125750935951E-4</v>
      </c>
      <c r="G40" s="222" cm="1">
        <f t="array" aca="1" ref="G40" ca="1">'Tablica IO'!G196*INDEX(Model!$C$93:$CA$93,Model!$A40) + IF(wplyw_cen_import_wlaczony,'Tablica IO'!G274*INDEX(Model!$C$2:$CA$2,Model!$A40),'Tablica IO'!G274*1)</f>
        <v>3.0506084396805962E-4</v>
      </c>
      <c r="H40" s="222" cm="1">
        <f t="array" aca="1" ref="H40" ca="1">'Tablica IO'!H196*INDEX(Model!$C$93:$CA$93,Model!$A40) + IF(wplyw_cen_import_wlaczony,'Tablica IO'!H274*INDEX(Model!$C$2:$CA$2,Model!$A40),'Tablica IO'!H274*1)</f>
        <v>4.9782206444423834E-4</v>
      </c>
      <c r="I40" s="222" cm="1">
        <f t="array" aca="1" ref="I40" ca="1">'Tablica IO'!I196*INDEX(Model!$C$93:$CA$93,Model!$A40) + IF(wplyw_cen_import_wlaczony,'Tablica IO'!I274*INDEX(Model!$C$2:$CA$2,Model!$A40),'Tablica IO'!I274*1)</f>
        <v>4.4922732997081452E-3</v>
      </c>
      <c r="J40" s="222" cm="1">
        <f t="array" aca="1" ref="J40" ca="1">'Tablica IO'!J196*INDEX(Model!$C$93:$CA$93,Model!$A40) + IF(wplyw_cen_import_wlaczony,'Tablica IO'!J274*INDEX(Model!$C$2:$CA$2,Model!$A40),'Tablica IO'!J274*1)</f>
        <v>6.1559654251291886E-4</v>
      </c>
      <c r="K40" s="222" cm="1">
        <f t="array" aca="1" ref="K40" ca="1">'Tablica IO'!K196*INDEX(Model!$C$93:$CA$93,Model!$A40) + IF(wplyw_cen_import_wlaczony,'Tablica IO'!K274*INDEX(Model!$C$2:$CA$2,Model!$A40),'Tablica IO'!K274*1)</f>
        <v>7.5182383327815848E-4</v>
      </c>
      <c r="L40" s="222" cm="1">
        <f t="array" aca="1" ref="L40" ca="1">'Tablica IO'!L196*INDEX(Model!$C$93:$CA$93,Model!$A40) + IF(wplyw_cen_import_wlaczony,'Tablica IO'!L274*INDEX(Model!$C$2:$CA$2,Model!$A40),'Tablica IO'!L274*1)</f>
        <v>4.1713702200862516E-4</v>
      </c>
      <c r="M40" s="222" cm="1">
        <f t="array" aca="1" ref="M40" ca="1">'Tablica IO'!M196*INDEX(Model!$C$93:$CA$93,Model!$A40) + IF(wplyw_cen_import_wlaczony,'Tablica IO'!M274*INDEX(Model!$C$2:$CA$2,Model!$A40),'Tablica IO'!M274*1)</f>
        <v>1.681437980634272E-3</v>
      </c>
      <c r="N40" s="222" cm="1">
        <f t="array" aca="1" ref="N40" ca="1">'Tablica IO'!N196*INDEX(Model!$C$93:$CA$93,Model!$A40) + IF(wplyw_cen_import_wlaczony,'Tablica IO'!N274*INDEX(Model!$C$2:$CA$2,Model!$A40),'Tablica IO'!N274*1)</f>
        <v>5.1738451670999257E-4</v>
      </c>
      <c r="O40" s="222" cm="1">
        <f t="array" aca="1" ref="O40" ca="1">'Tablica IO'!O196*INDEX(Model!$C$93:$CA$93,Model!$A40) + IF(wplyw_cen_import_wlaczony,'Tablica IO'!O274*INDEX(Model!$C$2:$CA$2,Model!$A40),'Tablica IO'!O274*1)</f>
        <v>2.9843160159763178E-4</v>
      </c>
      <c r="P40" s="222" cm="1">
        <f t="array" aca="1" ref="P40" ca="1">'Tablica IO'!P196*INDEX(Model!$C$93:$CA$93,Model!$A40) + IF(wplyw_cen_import_wlaczony,'Tablica IO'!P274*INDEX(Model!$C$2:$CA$2,Model!$A40),'Tablica IO'!P274*1)</f>
        <v>2.5241423407345128E-4</v>
      </c>
      <c r="Q40" s="222" cm="1">
        <f t="array" aca="1" ref="Q40" ca="1">'Tablica IO'!Q196*INDEX(Model!$C$93:$CA$93,Model!$A40) + IF(wplyw_cen_import_wlaczony,'Tablica IO'!Q274*INDEX(Model!$C$2:$CA$2,Model!$A40),'Tablica IO'!Q274*1)</f>
        <v>1.1345680116314678E-4</v>
      </c>
      <c r="R40" s="222" cm="1">
        <f t="array" aca="1" ref="R40" ca="1">'Tablica IO'!R196*INDEX(Model!$C$93:$CA$93,Model!$A40) + IF(wplyw_cen_import_wlaczony,'Tablica IO'!R274*INDEX(Model!$C$2:$CA$2,Model!$A40),'Tablica IO'!R274*1)</f>
        <v>2.1690199904173891E-4</v>
      </c>
      <c r="S40" s="222" cm="1">
        <f t="array" aca="1" ref="S40" ca="1">'Tablica IO'!S196*INDEX(Model!$C$93:$CA$93,Model!$A40) + IF(wplyw_cen_import_wlaczony,'Tablica IO'!S274*INDEX(Model!$C$2:$CA$2,Model!$A40),'Tablica IO'!S274*1)</f>
        <v>5.0168250037527515E-3</v>
      </c>
      <c r="T40" s="222" cm="1">
        <f t="array" aca="1" ref="T40" ca="1">'Tablica IO'!T196*INDEX(Model!$C$93:$CA$93,Model!$A40) + IF(wplyw_cen_import_wlaczony,'Tablica IO'!T274*INDEX(Model!$C$2:$CA$2,Model!$A40),'Tablica IO'!T274*1)</f>
        <v>1.7107305808129145E-4</v>
      </c>
      <c r="U40" s="222" cm="1">
        <f t="array" aca="1" ref="U40" ca="1">'Tablica IO'!U196*INDEX(Model!$C$93:$CA$93,Model!$A40) + IF(wplyw_cen_import_wlaczony,'Tablica IO'!U274*INDEX(Model!$C$2:$CA$2,Model!$A40),'Tablica IO'!U274*1)</f>
        <v>2.9795876832081872E-4</v>
      </c>
      <c r="V40" s="222" cm="1">
        <f t="array" aca="1" ref="V40" ca="1">'Tablica IO'!V196*INDEX(Model!$C$93:$CA$93,Model!$A40) + IF(wplyw_cen_import_wlaczony,'Tablica IO'!V274*INDEX(Model!$C$2:$CA$2,Model!$A40),'Tablica IO'!V274*1)</f>
        <v>9.8304568116365542E-5</v>
      </c>
      <c r="W40" s="222" cm="1">
        <f t="array" aca="1" ref="W40" ca="1">'Tablica IO'!W196*INDEX(Model!$C$93:$CA$93,Model!$A40) + IF(wplyw_cen_import_wlaczony,'Tablica IO'!W274*INDEX(Model!$C$2:$CA$2,Model!$A40),'Tablica IO'!W274*1)</f>
        <v>1.4282070187648539E-4</v>
      </c>
      <c r="X40" s="222" cm="1">
        <f t="array" aca="1" ref="X40" ca="1">'Tablica IO'!X196*INDEX(Model!$C$93:$CA$93,Model!$A40) + IF(wplyw_cen_import_wlaczony,'Tablica IO'!X274*INDEX(Model!$C$2:$CA$2,Model!$A40),'Tablica IO'!X274*1)</f>
        <v>6.9035290558614739E-4</v>
      </c>
      <c r="Y40" s="222" cm="1">
        <f t="array" aca="1" ref="Y40" ca="1">'Tablica IO'!Y196*INDEX(Model!$C$93:$CA$93,Model!$A40) + IF(wplyw_cen_import_wlaczony,'Tablica IO'!Y274*INDEX(Model!$C$2:$CA$2,Model!$A40),'Tablica IO'!Y274*1)</f>
        <v>6.9172338906493998E-4</v>
      </c>
      <c r="Z40" s="222" cm="1">
        <f t="array" aca="1" ref="Z40" ca="1">'Tablica IO'!Z196*INDEX(Model!$C$93:$CA$93,Model!$A40) + IF(wplyw_cen_import_wlaczony,'Tablica IO'!Z274*INDEX(Model!$C$2:$CA$2,Model!$A40),'Tablica IO'!Z274*1)</f>
        <v>3.6928610121814099E-4</v>
      </c>
      <c r="AA40" s="222" cm="1">
        <f t="array" aca="1" ref="AA40" ca="1">'Tablica IO'!AA196*INDEX(Model!$C$93:$CA$93,Model!$A40) + IF(wplyw_cen_import_wlaczony,'Tablica IO'!AA274*INDEX(Model!$C$2:$CA$2,Model!$A40),'Tablica IO'!AA274*1)</f>
        <v>2.120885031632329E-4</v>
      </c>
      <c r="AB40" s="222" cm="1">
        <f t="array" aca="1" ref="AB40" ca="1">'Tablica IO'!AB196*INDEX(Model!$C$93:$CA$93,Model!$A40) + IF(wplyw_cen_import_wlaczony,'Tablica IO'!AB274*INDEX(Model!$C$2:$CA$2,Model!$A40),'Tablica IO'!AB274*1)</f>
        <v>1.8273664985444499E-4</v>
      </c>
      <c r="AC40" s="222" cm="1">
        <f t="array" aca="1" ref="AC40" ca="1">'Tablica IO'!AC196*INDEX(Model!$C$93:$CA$93,Model!$A40) + IF(wplyw_cen_import_wlaczony,'Tablica IO'!AC274*INDEX(Model!$C$2:$CA$2,Model!$A40),'Tablica IO'!AC274*1)</f>
        <v>1.524451145776897E-4</v>
      </c>
      <c r="AD40" s="222" cm="1">
        <f t="array" aca="1" ref="AD40" ca="1">'Tablica IO'!AD196*INDEX(Model!$C$93:$CA$93,Model!$A40) + IF(wplyw_cen_import_wlaczony,'Tablica IO'!AD274*INDEX(Model!$C$2:$CA$2,Model!$A40),'Tablica IO'!AD274*1)</f>
        <v>9.8257958178437022E-2</v>
      </c>
      <c r="AE40" s="222" cm="1">
        <f t="array" aca="1" ref="AE40" ca="1">'Tablica IO'!AE196*INDEX(Model!$C$93:$CA$93,Model!$A40) + IF(wplyw_cen_import_wlaczony,'Tablica IO'!AE274*INDEX(Model!$C$2:$CA$2,Model!$A40),'Tablica IO'!AE274*1)</f>
        <v>2.4606083256519001E-4</v>
      </c>
      <c r="AF40" s="222" cm="1">
        <f t="array" aca="1" ref="AF40" ca="1">'Tablica IO'!AF196*INDEX(Model!$C$93:$CA$93,Model!$A40) + IF(wplyw_cen_import_wlaczony,'Tablica IO'!AF274*INDEX(Model!$C$2:$CA$2,Model!$A40),'Tablica IO'!AF274*1)</f>
        <v>2.36051914624645E-5</v>
      </c>
      <c r="AG40" s="222" cm="1">
        <f t="array" aca="1" ref="AG40" ca="1">'Tablica IO'!AG196*INDEX(Model!$C$93:$CA$93,Model!$A40) + IF(wplyw_cen_import_wlaczony,'Tablica IO'!AG274*INDEX(Model!$C$2:$CA$2,Model!$A40),'Tablica IO'!AG274*1)</f>
        <v>1.41072608575818E-4</v>
      </c>
      <c r="AH40" s="222" cm="1">
        <f t="array" aca="1" ref="AH40" ca="1">'Tablica IO'!AH196*INDEX(Model!$C$93:$CA$93,Model!$A40) + IF(wplyw_cen_import_wlaczony,'Tablica IO'!AH274*INDEX(Model!$C$2:$CA$2,Model!$A40),'Tablica IO'!AH274*1)</f>
        <v>1.9296892613707714E-3</v>
      </c>
      <c r="AI40" s="222" cm="1">
        <f t="array" aca="1" ref="AI40" ca="1">'Tablica IO'!AI196*INDEX(Model!$C$93:$CA$93,Model!$A40) + IF(wplyw_cen_import_wlaczony,'Tablica IO'!AI274*INDEX(Model!$C$2:$CA$2,Model!$A40),'Tablica IO'!AI274*1)</f>
        <v>1.7400858722620492E-3</v>
      </c>
      <c r="AJ40" s="222" cm="1">
        <f t="array" aca="1" ref="AJ40" ca="1">'Tablica IO'!AJ196*INDEX(Model!$C$93:$CA$93,Model!$A40) + IF(wplyw_cen_import_wlaczony,'Tablica IO'!AJ274*INDEX(Model!$C$2:$CA$2,Model!$A40),'Tablica IO'!AJ274*1)</f>
        <v>3.922880998762985E-4</v>
      </c>
      <c r="AK40" s="222" cm="1">
        <f t="array" aca="1" ref="AK40" ca="1">'Tablica IO'!AK196*INDEX(Model!$C$93:$CA$93,Model!$A40) + IF(wplyw_cen_import_wlaczony,'Tablica IO'!AK274*INDEX(Model!$C$2:$CA$2,Model!$A40),'Tablica IO'!AK274*1)</f>
        <v>3.9723639955785591E-4</v>
      </c>
      <c r="AL40" s="222" cm="1">
        <f t="array" aca="1" ref="AL40" ca="1">'Tablica IO'!AL196*INDEX(Model!$C$93:$CA$93,Model!$A40) + IF(wplyw_cen_import_wlaczony,'Tablica IO'!AL274*INDEX(Model!$C$2:$CA$2,Model!$A40),'Tablica IO'!AL274*1)</f>
        <v>2.2759837586514147E-4</v>
      </c>
      <c r="AM40" s="222" cm="1">
        <f t="array" aca="1" ref="AM40" ca="1">'Tablica IO'!AM196*INDEX(Model!$C$93:$CA$93,Model!$A40) + IF(wplyw_cen_import_wlaczony,'Tablica IO'!AM274*INDEX(Model!$C$2:$CA$2,Model!$A40),'Tablica IO'!AM274*1)</f>
        <v>5.6044671157095649E-4</v>
      </c>
      <c r="AN40" s="222" cm="1">
        <f t="array" aca="1" ref="AN40" ca="1">'Tablica IO'!AN196*INDEX(Model!$C$93:$CA$93,Model!$A40) + IF(wplyw_cen_import_wlaczony,'Tablica IO'!AN274*INDEX(Model!$C$2:$CA$2,Model!$A40),'Tablica IO'!AN274*1)</f>
        <v>2.4467756558483738E-4</v>
      </c>
      <c r="AO40" s="222" cm="1">
        <f t="array" aca="1" ref="AO40" ca="1">'Tablica IO'!AO196*INDEX(Model!$C$93:$CA$93,Model!$A40) + IF(wplyw_cen_import_wlaczony,'Tablica IO'!AO274*INDEX(Model!$C$2:$CA$2,Model!$A40),'Tablica IO'!AO274*1)</f>
        <v>2.218844645927654E-4</v>
      </c>
      <c r="AP40" s="222" cm="1">
        <f t="array" aca="1" ref="AP40" ca="1">'Tablica IO'!AP196*INDEX(Model!$C$93:$CA$93,Model!$A40) + IF(wplyw_cen_import_wlaczony,'Tablica IO'!AP274*INDEX(Model!$C$2:$CA$2,Model!$A40),'Tablica IO'!AP274*1)</f>
        <v>6.4344707242886424E-4</v>
      </c>
      <c r="AQ40" s="222" cm="1">
        <f t="array" aca="1" ref="AQ40" ca="1">'Tablica IO'!AQ196*INDEX(Model!$C$93:$CA$93,Model!$A40) + IF(wplyw_cen_import_wlaczony,'Tablica IO'!AQ274*INDEX(Model!$C$2:$CA$2,Model!$A40),'Tablica IO'!AQ274*1)</f>
        <v>3.3864165188614561E-3</v>
      </c>
      <c r="AR40" s="222" cm="1">
        <f t="array" aca="1" ref="AR40" ca="1">'Tablica IO'!AR196*INDEX(Model!$C$93:$CA$93,Model!$A40) + IF(wplyw_cen_import_wlaczony,'Tablica IO'!AR274*INDEX(Model!$C$2:$CA$2,Model!$A40),'Tablica IO'!AR274*1)</f>
        <v>1.323730575645009E-3</v>
      </c>
      <c r="AS40" s="222" cm="1">
        <f t="array" aca="1" ref="AS40" ca="1">'Tablica IO'!AS196*INDEX(Model!$C$93:$CA$93,Model!$A40) + IF(wplyw_cen_import_wlaczony,'Tablica IO'!AS274*INDEX(Model!$C$2:$CA$2,Model!$A40),'Tablica IO'!AS274*1)</f>
        <v>9.7774137559961723E-4</v>
      </c>
      <c r="AT40" s="222" cm="1">
        <f t="array" aca="1" ref="AT40" ca="1">'Tablica IO'!AT196*INDEX(Model!$C$93:$CA$93,Model!$A40) + IF(wplyw_cen_import_wlaczony,'Tablica IO'!AT274*INDEX(Model!$C$2:$CA$2,Model!$A40),'Tablica IO'!AT274*1)</f>
        <v>3.9850651165456606E-3</v>
      </c>
      <c r="AU40" s="222" cm="1">
        <f t="array" aca="1" ref="AU40" ca="1">'Tablica IO'!AU196*INDEX(Model!$C$93:$CA$93,Model!$A40) + IF(wplyw_cen_import_wlaczony,'Tablica IO'!AU274*INDEX(Model!$C$2:$CA$2,Model!$A40),'Tablica IO'!AU274*1)</f>
        <v>3.4362641991776081E-4</v>
      </c>
      <c r="AV40" s="222" cm="1">
        <f t="array" aca="1" ref="AV40" ca="1">'Tablica IO'!AV196*INDEX(Model!$C$93:$CA$93,Model!$A40) + IF(wplyw_cen_import_wlaczony,'Tablica IO'!AV274*INDEX(Model!$C$2:$CA$2,Model!$A40),'Tablica IO'!AV274*1)</f>
        <v>1.5731586775861834E-3</v>
      </c>
      <c r="AW40" s="222" cm="1">
        <f t="array" aca="1" ref="AW40" ca="1">'Tablica IO'!AW196*INDEX(Model!$C$93:$CA$93,Model!$A40) + IF(wplyw_cen_import_wlaczony,'Tablica IO'!AW274*INDEX(Model!$C$2:$CA$2,Model!$A40),'Tablica IO'!AW274*1)</f>
        <v>1.1187000058420099E-3</v>
      </c>
      <c r="AX40" s="222" cm="1">
        <f t="array" aca="1" ref="AX40" ca="1">'Tablica IO'!AX196*INDEX(Model!$C$93:$CA$93,Model!$A40) + IF(wplyw_cen_import_wlaczony,'Tablica IO'!AX274*INDEX(Model!$C$2:$CA$2,Model!$A40),'Tablica IO'!AX274*1)</f>
        <v>8.1599724345712854E-4</v>
      </c>
      <c r="AY40" s="222" cm="1">
        <f t="array" aca="1" ref="AY40" ca="1">'Tablica IO'!AY196*INDEX(Model!$C$93:$CA$93,Model!$A40) + IF(wplyw_cen_import_wlaczony,'Tablica IO'!AY274*INDEX(Model!$C$2:$CA$2,Model!$A40),'Tablica IO'!AY274*1)</f>
        <v>1.5088793549040036E-4</v>
      </c>
      <c r="AZ40" s="222" cm="1">
        <f t="array" aca="1" ref="AZ40" ca="1">'Tablica IO'!AZ196*INDEX(Model!$C$93:$CA$93,Model!$A40) + IF(wplyw_cen_import_wlaczony,'Tablica IO'!AZ274*INDEX(Model!$C$2:$CA$2,Model!$A40),'Tablica IO'!AZ274*1)</f>
        <v>5.8452600126309741E-4</v>
      </c>
      <c r="BA40" s="222" cm="1">
        <f t="array" aca="1" ref="BA40" ca="1">'Tablica IO'!BA196*INDEX(Model!$C$93:$CA$93,Model!$A40) + IF(wplyw_cen_import_wlaczony,'Tablica IO'!BA274*INDEX(Model!$C$2:$CA$2,Model!$A40),'Tablica IO'!BA274*1)</f>
        <v>2.7377175255783714E-4</v>
      </c>
      <c r="BB40" s="222" cm="1">
        <f t="array" aca="1" ref="BB40" ca="1">'Tablica IO'!BB196*INDEX(Model!$C$93:$CA$93,Model!$A40) + IF(wplyw_cen_import_wlaczony,'Tablica IO'!BB274*INDEX(Model!$C$2:$CA$2,Model!$A40),'Tablica IO'!BB274*1)</f>
        <v>4.7111936225883392E-4</v>
      </c>
      <c r="BC40" s="222" cm="1">
        <f t="array" aca="1" ref="BC40" ca="1">'Tablica IO'!BC196*INDEX(Model!$C$93:$CA$93,Model!$A40) + IF(wplyw_cen_import_wlaczony,'Tablica IO'!BC274*INDEX(Model!$C$2:$CA$2,Model!$A40),'Tablica IO'!BC274*1)</f>
        <v>5.3906062082941918E-4</v>
      </c>
      <c r="BD40" s="222" cm="1">
        <f t="array" aca="1" ref="BD40" ca="1">'Tablica IO'!BD196*INDEX(Model!$C$93:$CA$93,Model!$A40) + IF(wplyw_cen_import_wlaczony,'Tablica IO'!BD274*INDEX(Model!$C$2:$CA$2,Model!$A40),'Tablica IO'!BD274*1)</f>
        <v>6.8508667157948311E-4</v>
      </c>
      <c r="BE40" s="222" cm="1">
        <f t="array" aca="1" ref="BE40" ca="1">'Tablica IO'!BE196*INDEX(Model!$C$93:$CA$93,Model!$A40) + IF(wplyw_cen_import_wlaczony,'Tablica IO'!BE274*INDEX(Model!$C$2:$CA$2,Model!$A40),'Tablica IO'!BE274*1)</f>
        <v>2.2910479803290443E-4</v>
      </c>
      <c r="BF40" s="222" cm="1">
        <f t="array" aca="1" ref="BF40" ca="1">'Tablica IO'!BF196*INDEX(Model!$C$93:$CA$93,Model!$A40) + IF(wplyw_cen_import_wlaczony,'Tablica IO'!BF274*INDEX(Model!$C$2:$CA$2,Model!$A40),'Tablica IO'!BF274*1)</f>
        <v>4.3455208698570001E-3</v>
      </c>
      <c r="BG40" s="222" cm="1">
        <f t="array" aca="1" ref="BG40" ca="1">'Tablica IO'!BG196*INDEX(Model!$C$93:$CA$93,Model!$A40) + IF(wplyw_cen_import_wlaczony,'Tablica IO'!BG274*INDEX(Model!$C$2:$CA$2,Model!$A40),'Tablica IO'!BG274*1)</f>
        <v>2.4948939719617025E-4</v>
      </c>
      <c r="BH40" s="222" cm="1">
        <f t="array" aca="1" ref="BH40" ca="1">'Tablica IO'!BH196*INDEX(Model!$C$93:$CA$93,Model!$A40) + IF(wplyw_cen_import_wlaczony,'Tablica IO'!BH274*INDEX(Model!$C$2:$CA$2,Model!$A40),'Tablica IO'!BH274*1)</f>
        <v>4.4091820444010384E-4</v>
      </c>
      <c r="BI40" s="222" cm="1">
        <f t="array" aca="1" ref="BI40" ca="1">'Tablica IO'!BI196*INDEX(Model!$C$93:$CA$93,Model!$A40) + IF(wplyw_cen_import_wlaczony,'Tablica IO'!BI274*INDEX(Model!$C$2:$CA$2,Model!$A40),'Tablica IO'!BI274*1)</f>
        <v>1.7211589546329285E-3</v>
      </c>
      <c r="BJ40" s="222" cm="1">
        <f t="array" aca="1" ref="BJ40" ca="1">'Tablica IO'!BJ196*INDEX(Model!$C$93:$CA$93,Model!$A40) + IF(wplyw_cen_import_wlaczony,'Tablica IO'!BJ274*INDEX(Model!$C$2:$CA$2,Model!$A40),'Tablica IO'!BJ274*1)</f>
        <v>9.6211389205830722E-4</v>
      </c>
      <c r="BK40" s="222" cm="1">
        <f t="array" aca="1" ref="BK40" ca="1">'Tablica IO'!BK196*INDEX(Model!$C$93:$CA$93,Model!$A40) + IF(wplyw_cen_import_wlaczony,'Tablica IO'!BK274*INDEX(Model!$C$2:$CA$2,Model!$A40),'Tablica IO'!BK274*1)</f>
        <v>5.5049649605965834E-4</v>
      </c>
      <c r="BL40" s="222" cm="1">
        <f t="array" aca="1" ref="BL40" ca="1">'Tablica IO'!BL196*INDEX(Model!$C$93:$CA$93,Model!$A40) + IF(wplyw_cen_import_wlaczony,'Tablica IO'!BL274*INDEX(Model!$C$2:$CA$2,Model!$A40),'Tablica IO'!BL274*1)</f>
        <v>9.5777880393345502E-4</v>
      </c>
      <c r="BM40" s="222" cm="1">
        <f t="array" aca="1" ref="BM40" ca="1">'Tablica IO'!BM196*INDEX(Model!$C$93:$CA$93,Model!$A40) + IF(wplyw_cen_import_wlaczony,'Tablica IO'!BM274*INDEX(Model!$C$2:$CA$2,Model!$A40),'Tablica IO'!BM274*1)</f>
        <v>1.4959745990289369E-3</v>
      </c>
      <c r="BN40" s="222" cm="1">
        <f t="array" aca="1" ref="BN40" ca="1">'Tablica IO'!BN196*INDEX(Model!$C$93:$CA$93,Model!$A40) + IF(wplyw_cen_import_wlaczony,'Tablica IO'!BN274*INDEX(Model!$C$2:$CA$2,Model!$A40),'Tablica IO'!BN274*1)</f>
        <v>4.3173187702625227E-3</v>
      </c>
      <c r="BO40" s="222" cm="1">
        <f t="array" aca="1" ref="BO40" ca="1">'Tablica IO'!BO196*INDEX(Model!$C$93:$CA$93,Model!$A40) + IF(wplyw_cen_import_wlaczony,'Tablica IO'!BO274*INDEX(Model!$C$2:$CA$2,Model!$A40),'Tablica IO'!BO274*1)</f>
        <v>8.761096488395212E-4</v>
      </c>
      <c r="BP40" s="222" cm="1">
        <f t="array" aca="1" ref="BP40" ca="1">'Tablica IO'!BP196*INDEX(Model!$C$93:$CA$93,Model!$A40) + IF(wplyw_cen_import_wlaczony,'Tablica IO'!BP274*INDEX(Model!$C$2:$CA$2,Model!$A40),'Tablica IO'!BP274*1)</f>
        <v>1.1215116424283388E-3</v>
      </c>
      <c r="BQ40" s="222" cm="1">
        <f t="array" aca="1" ref="BQ40" ca="1">'Tablica IO'!BQ196*INDEX(Model!$C$93:$CA$93,Model!$A40) + IF(wplyw_cen_import_wlaczony,'Tablica IO'!BQ274*INDEX(Model!$C$2:$CA$2,Model!$A40),'Tablica IO'!BQ274*1)</f>
        <v>4.654161631657684E-3</v>
      </c>
      <c r="BR40" s="222" cm="1">
        <f t="array" aca="1" ref="BR40" ca="1">'Tablica IO'!BR196*INDEX(Model!$C$93:$CA$93,Model!$A40) + IF(wplyw_cen_import_wlaczony,'Tablica IO'!BR274*INDEX(Model!$C$2:$CA$2,Model!$A40),'Tablica IO'!BR274*1)</f>
        <v>1.9983083269746342E-2</v>
      </c>
      <c r="BS40" s="222" cm="1">
        <f t="array" aca="1" ref="BS40" ca="1">'Tablica IO'!BS196*INDEX(Model!$C$93:$CA$93,Model!$A40) + IF(wplyw_cen_import_wlaczony,'Tablica IO'!BS274*INDEX(Model!$C$2:$CA$2,Model!$A40),'Tablica IO'!BS274*1)</f>
        <v>6.2488937942833814E-3</v>
      </c>
      <c r="BT40" s="222" cm="1">
        <f t="array" aca="1" ref="BT40" ca="1">'Tablica IO'!BT196*INDEX(Model!$C$93:$CA$93,Model!$A40) + IF(wplyw_cen_import_wlaczony,'Tablica IO'!BT274*INDEX(Model!$C$2:$CA$2,Model!$A40),'Tablica IO'!BT274*1)</f>
        <v>1.6075957511774468E-2</v>
      </c>
      <c r="BU40" s="222" cm="1">
        <f t="array" aca="1" ref="BU40" ca="1">'Tablica IO'!BU196*INDEX(Model!$C$93:$CA$93,Model!$A40) + IF(wplyw_cen_import_wlaczony,'Tablica IO'!BU274*INDEX(Model!$C$2:$CA$2,Model!$A40),'Tablica IO'!BU274*1)</f>
        <v>3.3857843248325378E-3</v>
      </c>
      <c r="BV40" s="222" cm="1">
        <f t="array" aca="1" ref="BV40" ca="1">'Tablica IO'!BV196*INDEX(Model!$C$93:$CA$93,Model!$A40) + IF(wplyw_cen_import_wlaczony,'Tablica IO'!BV274*INDEX(Model!$C$2:$CA$2,Model!$A40),'Tablica IO'!BV274*1)</f>
        <v>1.0836247606257944E-3</v>
      </c>
      <c r="BW40" s="222" cm="1">
        <f t="array" aca="1" ref="BW40" ca="1">'Tablica IO'!BW196*INDEX(Model!$C$93:$CA$93,Model!$A40) + IF(wplyw_cen_import_wlaczony,'Tablica IO'!BW274*INDEX(Model!$C$2:$CA$2,Model!$A40),'Tablica IO'!BW274*1)</f>
        <v>1.6112495523078762E-2</v>
      </c>
      <c r="BX40" s="222" cm="1">
        <f t="array" aca="1" ref="BX40" ca="1">'Tablica IO'!BX196*INDEX(Model!$C$93:$CA$93,Model!$A40) + IF(wplyw_cen_import_wlaczony,'Tablica IO'!BX274*INDEX(Model!$C$2:$CA$2,Model!$A40),'Tablica IO'!BX274*1)</f>
        <v>2.6561113699254832E-2</v>
      </c>
      <c r="BY40" s="222" cm="1">
        <f t="array" aca="1" ref="BY40" ca="1">'Tablica IO'!BY196*INDEX(Model!$C$93:$CA$93,Model!$A40) + IF(wplyw_cen_import_wlaczony,'Tablica IO'!BY274*INDEX(Model!$C$2:$CA$2,Model!$A40),'Tablica IO'!BY274*1)</f>
        <v>1.9994679331281767E-3</v>
      </c>
      <c r="BZ40" s="222" cm="1">
        <f t="array" aca="1" ref="BZ40" ca="1">'Tablica IO'!BZ196*INDEX(Model!$C$93:$CA$93,Model!$A40) + IF(wplyw_cen_import_wlaczony,'Tablica IO'!BZ274*INDEX(Model!$C$2:$CA$2,Model!$A40),'Tablica IO'!BZ274*1)</f>
        <v>1.2104019878948148E-3</v>
      </c>
      <c r="CA40" s="222" cm="1">
        <f t="array" aca="1" ref="CA40" ca="1">'Tablica IO'!CA196*INDEX(Model!$C$93:$CA$93,Model!$A40) + IF(wplyw_cen_import_wlaczony,'Tablica IO'!CA274*INDEX(Model!$C$2:$CA$2,Model!$A40),'Tablica IO'!CA274*1)</f>
        <v>0</v>
      </c>
      <c r="CB40" s="247">
        <f ca="1">'Tablica IO'!CD196*INDEX(Model!$C$93:$CA$93,Model!$A40)+'Tablica IO'!CD274*INDEX(Model!$C$2:$CA$2,Model!$A40)</f>
        <v>1.002805645100973E-2</v>
      </c>
      <c r="CC40" s="188">
        <f ca="1">'Tablica IO'!CE196*INDEX(Model!$C$93:$CA$93,Model!$A40)+'Tablica IO'!CE274*INDEX(Model!$C$2:$CA$2,Model!$A40)</f>
        <v>1.1809537901642678E-4</v>
      </c>
      <c r="CD40" s="188">
        <f ca="1">'Tablica IO'!CF196*INDEX(Model!$C$93:$CA$93,Model!$A40)+'Tablica IO'!CF274*INDEX(Model!$C$2:$CA$2,Model!$A40)</f>
        <v>8.5101381992632782E-3</v>
      </c>
      <c r="CE40" s="189">
        <f ca="1">'Tablica IO'!CG196*INDEX(Model!$C$93:$CA$93,Model!$A40)+'Tablica IO'!CG274*INDEX(Model!$C$2:$CA$2,Model!$A40)</f>
        <v>1.0217545493616614E-2</v>
      </c>
    </row>
    <row r="41" spans="1:83" x14ac:dyDescent="0.25">
      <c r="A41" s="164">
        <v>29</v>
      </c>
      <c r="B41" s="172" t="s">
        <v>28</v>
      </c>
      <c r="C41" s="221" cm="1">
        <f t="array" aca="1" ref="C41" ca="1">'Tablica IO'!C197*INDEX(Model!$C$93:$CA$93,Model!$A41) + IF(wplyw_cen_import_wlaczony,'Tablica IO'!C275*INDEX(Model!$C$2:$CA$2,Model!$A41),'Tablica IO'!C275*1)</f>
        <v>4.0078603246977733E-3</v>
      </c>
      <c r="D41" s="222" cm="1">
        <f t="array" aca="1" ref="D41" ca="1">'Tablica IO'!D197*INDEX(Model!$C$93:$CA$93,Model!$A41) + IF(wplyw_cen_import_wlaczony,'Tablica IO'!D275*INDEX(Model!$C$2:$CA$2,Model!$A41),'Tablica IO'!D275*1)</f>
        <v>4.023459822285161E-3</v>
      </c>
      <c r="E41" s="222" cm="1">
        <f t="array" aca="1" ref="E41" ca="1">'Tablica IO'!E197*INDEX(Model!$C$93:$CA$93,Model!$A41) + IF(wplyw_cen_import_wlaczony,'Tablica IO'!E275*INDEX(Model!$C$2:$CA$2,Model!$A41),'Tablica IO'!E275*1)</f>
        <v>5.6027617989266899E-2</v>
      </c>
      <c r="F41" s="222" cm="1">
        <f t="array" aca="1" ref="F41" ca="1">'Tablica IO'!F197*INDEX(Model!$C$93:$CA$93,Model!$A41) + IF(wplyw_cen_import_wlaczony,'Tablica IO'!F275*INDEX(Model!$C$2:$CA$2,Model!$A41),'Tablica IO'!F275*1)</f>
        <v>4.8088679226074127E-2</v>
      </c>
      <c r="G41" s="222" cm="1">
        <f t="array" aca="1" ref="G41" ca="1">'Tablica IO'!G197*INDEX(Model!$C$93:$CA$93,Model!$A41) + IF(wplyw_cen_import_wlaczony,'Tablica IO'!G275*INDEX(Model!$C$2:$CA$2,Model!$A41),'Tablica IO'!G275*1)</f>
        <v>2.6664750857499062E-2</v>
      </c>
      <c r="H41" s="222" cm="1">
        <f t="array" aca="1" ref="H41" ca="1">'Tablica IO'!H197*INDEX(Model!$C$93:$CA$93,Model!$A41) + IF(wplyw_cen_import_wlaczony,'Tablica IO'!H275*INDEX(Model!$C$2:$CA$2,Model!$A41),'Tablica IO'!H275*1)</f>
        <v>4.0685074650753435E-3</v>
      </c>
      <c r="I41" s="222" cm="1">
        <f t="array" aca="1" ref="I41" ca="1">'Tablica IO'!I197*INDEX(Model!$C$93:$CA$93,Model!$A41) + IF(wplyw_cen_import_wlaczony,'Tablica IO'!I275*INDEX(Model!$C$2:$CA$2,Model!$A41),'Tablica IO'!I275*1)</f>
        <v>3.6053817078530049E-3</v>
      </c>
      <c r="J41" s="222" cm="1">
        <f t="array" aca="1" ref="J41" ca="1">'Tablica IO'!J197*INDEX(Model!$C$93:$CA$93,Model!$A41) + IF(wplyw_cen_import_wlaczony,'Tablica IO'!J275*INDEX(Model!$C$2:$CA$2,Model!$A41),'Tablica IO'!J275*1)</f>
        <v>3.5691260307752848E-3</v>
      </c>
      <c r="K41" s="222" cm="1">
        <f t="array" aca="1" ref="K41" ca="1">'Tablica IO'!K197*INDEX(Model!$C$93:$CA$93,Model!$A41) + IF(wplyw_cen_import_wlaczony,'Tablica IO'!K275*INDEX(Model!$C$2:$CA$2,Model!$A41),'Tablica IO'!K275*1)</f>
        <v>1.6316599085983625E-3</v>
      </c>
      <c r="L41" s="222" cm="1">
        <f t="array" aca="1" ref="L41" ca="1">'Tablica IO'!L197*INDEX(Model!$C$93:$CA$93,Model!$A41) + IF(wplyw_cen_import_wlaczony,'Tablica IO'!L275*INDEX(Model!$C$2:$CA$2,Model!$A41),'Tablica IO'!L275*1)</f>
        <v>1.6743402769812041E-3</v>
      </c>
      <c r="M41" s="222" cm="1">
        <f t="array" aca="1" ref="M41" ca="1">'Tablica IO'!M197*INDEX(Model!$C$93:$CA$93,Model!$A41) + IF(wplyw_cen_import_wlaczony,'Tablica IO'!M275*INDEX(Model!$C$2:$CA$2,Model!$A41),'Tablica IO'!M275*1)</f>
        <v>7.1850984075600248E-3</v>
      </c>
      <c r="N41" s="222" cm="1">
        <f t="array" aca="1" ref="N41" ca="1">'Tablica IO'!N197*INDEX(Model!$C$93:$CA$93,Model!$A41) + IF(wplyw_cen_import_wlaczony,'Tablica IO'!N275*INDEX(Model!$C$2:$CA$2,Model!$A41),'Tablica IO'!N275*1)</f>
        <v>1.2466493560032915E-2</v>
      </c>
      <c r="O41" s="222" cm="1">
        <f t="array" aca="1" ref="O41" ca="1">'Tablica IO'!O197*INDEX(Model!$C$93:$CA$93,Model!$A41) + IF(wplyw_cen_import_wlaczony,'Tablica IO'!O275*INDEX(Model!$C$2:$CA$2,Model!$A41),'Tablica IO'!O275*1)</f>
        <v>1.4410568108248303E-2</v>
      </c>
      <c r="P41" s="222" cm="1">
        <f t="array" aca="1" ref="P41" ca="1">'Tablica IO'!P197*INDEX(Model!$C$93:$CA$93,Model!$A41) + IF(wplyw_cen_import_wlaczony,'Tablica IO'!P275*INDEX(Model!$C$2:$CA$2,Model!$A41),'Tablica IO'!P275*1)</f>
        <v>2.4063894405692314E-3</v>
      </c>
      <c r="Q41" s="222" cm="1">
        <f t="array" aca="1" ref="Q41" ca="1">'Tablica IO'!Q197*INDEX(Model!$C$93:$CA$93,Model!$A41) + IF(wplyw_cen_import_wlaczony,'Tablica IO'!Q275*INDEX(Model!$C$2:$CA$2,Model!$A41),'Tablica IO'!Q275*1)</f>
        <v>7.2316596716232922E-3</v>
      </c>
      <c r="R41" s="222" cm="1">
        <f t="array" aca="1" ref="R41" ca="1">'Tablica IO'!R197*INDEX(Model!$C$93:$CA$93,Model!$A41) + IF(wplyw_cen_import_wlaczony,'Tablica IO'!R275*INDEX(Model!$C$2:$CA$2,Model!$A41),'Tablica IO'!R275*1)</f>
        <v>9.0986475182316968E-3</v>
      </c>
      <c r="S41" s="222" cm="1">
        <f t="array" aca="1" ref="S41" ca="1">'Tablica IO'!S197*INDEX(Model!$C$93:$CA$93,Model!$A41) + IF(wplyw_cen_import_wlaczony,'Tablica IO'!S275*INDEX(Model!$C$2:$CA$2,Model!$A41),'Tablica IO'!S275*1)</f>
        <v>8.2768569415574752E-3</v>
      </c>
      <c r="T41" s="222" cm="1">
        <f t="array" aca="1" ref="T41" ca="1">'Tablica IO'!T197*INDEX(Model!$C$93:$CA$93,Model!$A41) + IF(wplyw_cen_import_wlaczony,'Tablica IO'!T275*INDEX(Model!$C$2:$CA$2,Model!$A41),'Tablica IO'!T275*1)</f>
        <v>7.6205223335260447E-3</v>
      </c>
      <c r="U41" s="222" cm="1">
        <f t="array" aca="1" ref="U41" ca="1">'Tablica IO'!U197*INDEX(Model!$C$93:$CA$93,Model!$A41) + IF(wplyw_cen_import_wlaczony,'Tablica IO'!U275*INDEX(Model!$C$2:$CA$2,Model!$A41),'Tablica IO'!U275*1)</f>
        <v>1.3518413254012786E-2</v>
      </c>
      <c r="V41" s="222" cm="1">
        <f t="array" aca="1" ref="V41" ca="1">'Tablica IO'!V197*INDEX(Model!$C$93:$CA$93,Model!$A41) + IF(wplyw_cen_import_wlaczony,'Tablica IO'!V275*INDEX(Model!$C$2:$CA$2,Model!$A41),'Tablica IO'!V275*1)</f>
        <v>2.3571906363947424E-2</v>
      </c>
      <c r="W41" s="222" cm="1">
        <f t="array" aca="1" ref="W41" ca="1">'Tablica IO'!W197*INDEX(Model!$C$93:$CA$93,Model!$A41) + IF(wplyw_cen_import_wlaczony,'Tablica IO'!W275*INDEX(Model!$C$2:$CA$2,Model!$A41),'Tablica IO'!W275*1)</f>
        <v>1.4897550463193597E-2</v>
      </c>
      <c r="X41" s="222" cm="1">
        <f t="array" aca="1" ref="X41" ca="1">'Tablica IO'!X197*INDEX(Model!$C$93:$CA$93,Model!$A41) + IF(wplyw_cen_import_wlaczony,'Tablica IO'!X275*INDEX(Model!$C$2:$CA$2,Model!$A41),'Tablica IO'!X275*1)</f>
        <v>2.8434032102634304E-3</v>
      </c>
      <c r="Y41" s="222" cm="1">
        <f t="array" aca="1" ref="Y41" ca="1">'Tablica IO'!Y197*INDEX(Model!$C$93:$CA$93,Model!$A41) + IF(wplyw_cen_import_wlaczony,'Tablica IO'!Y275*INDEX(Model!$C$2:$CA$2,Model!$A41),'Tablica IO'!Y275*1)</f>
        <v>1.8139605295533524E-2</v>
      </c>
      <c r="Z41" s="222" cm="1">
        <f t="array" aca="1" ref="Z41" ca="1">'Tablica IO'!Z197*INDEX(Model!$C$93:$CA$93,Model!$A41) + IF(wplyw_cen_import_wlaczony,'Tablica IO'!Z275*INDEX(Model!$C$2:$CA$2,Model!$A41),'Tablica IO'!Z275*1)</f>
        <v>2.3537061150349169E-2</v>
      </c>
      <c r="AA41" s="222" cm="1">
        <f t="array" aca="1" ref="AA41" ca="1">'Tablica IO'!AA197*INDEX(Model!$C$93:$CA$93,Model!$A41) + IF(wplyw_cen_import_wlaczony,'Tablica IO'!AA275*INDEX(Model!$C$2:$CA$2,Model!$A41),'Tablica IO'!AA275*1)</f>
        <v>8.0829565613799205E-3</v>
      </c>
      <c r="AB41" s="222" cm="1">
        <f t="array" aca="1" ref="AB41" ca="1">'Tablica IO'!AB197*INDEX(Model!$C$93:$CA$93,Model!$A41) + IF(wplyw_cen_import_wlaczony,'Tablica IO'!AB275*INDEX(Model!$C$2:$CA$2,Model!$A41),'Tablica IO'!AB275*1)</f>
        <v>2.9304728392154832E-2</v>
      </c>
      <c r="AC41" s="222" cm="1">
        <f t="array" aca="1" ref="AC41" ca="1">'Tablica IO'!AC197*INDEX(Model!$C$93:$CA$93,Model!$A41) + IF(wplyw_cen_import_wlaczony,'Tablica IO'!AC275*INDEX(Model!$C$2:$CA$2,Model!$A41),'Tablica IO'!AC275*1)</f>
        <v>4.9453092278198092E-3</v>
      </c>
      <c r="AD41" s="222" cm="1">
        <f t="array" aca="1" ref="AD41" ca="1">'Tablica IO'!AD197*INDEX(Model!$C$93:$CA$93,Model!$A41) + IF(wplyw_cen_import_wlaczony,'Tablica IO'!AD275*INDEX(Model!$C$2:$CA$2,Model!$A41),'Tablica IO'!AD275*1)</f>
        <v>1.5226378127697731E-2</v>
      </c>
      <c r="AE41" s="222" cm="1">
        <f t="array" aca="1" ref="AE41" ca="1">'Tablica IO'!AE197*INDEX(Model!$C$93:$CA$93,Model!$A41) + IF(wplyw_cen_import_wlaczony,'Tablica IO'!AE275*INDEX(Model!$C$2:$CA$2,Model!$A41),'Tablica IO'!AE275*1)</f>
        <v>5.1085184737001861E-2</v>
      </c>
      <c r="AF41" s="222" cm="1">
        <f t="array" aca="1" ref="AF41" ca="1">'Tablica IO'!AF197*INDEX(Model!$C$93:$CA$93,Model!$A41) + IF(wplyw_cen_import_wlaczony,'Tablica IO'!AF275*INDEX(Model!$C$2:$CA$2,Model!$A41),'Tablica IO'!AF275*1)</f>
        <v>2.1286681342202695E-2</v>
      </c>
      <c r="AG41" s="222" cm="1">
        <f t="array" aca="1" ref="AG41" ca="1">'Tablica IO'!AG197*INDEX(Model!$C$93:$CA$93,Model!$A41) + IF(wplyw_cen_import_wlaczony,'Tablica IO'!AG275*INDEX(Model!$C$2:$CA$2,Model!$A41),'Tablica IO'!AG275*1)</f>
        <v>2.1638222978945668E-3</v>
      </c>
      <c r="AH41" s="222" cm="1">
        <f t="array" aca="1" ref="AH41" ca="1">'Tablica IO'!AH197*INDEX(Model!$C$93:$CA$93,Model!$A41) + IF(wplyw_cen_import_wlaczony,'Tablica IO'!AH275*INDEX(Model!$C$2:$CA$2,Model!$A41),'Tablica IO'!AH275*1)</f>
        <v>5.9274783296077802E-3</v>
      </c>
      <c r="AI41" s="222" cm="1">
        <f t="array" aca="1" ref="AI41" ca="1">'Tablica IO'!AI197*INDEX(Model!$C$93:$CA$93,Model!$A41) + IF(wplyw_cen_import_wlaczony,'Tablica IO'!AI275*INDEX(Model!$C$2:$CA$2,Model!$A41),'Tablica IO'!AI275*1)</f>
        <v>6.7884371555622979E-3</v>
      </c>
      <c r="AJ41" s="222" cm="1">
        <f t="array" aca="1" ref="AJ41" ca="1">'Tablica IO'!AJ197*INDEX(Model!$C$93:$CA$93,Model!$A41) + IF(wplyw_cen_import_wlaczony,'Tablica IO'!AJ275*INDEX(Model!$C$2:$CA$2,Model!$A41),'Tablica IO'!AJ275*1)</f>
        <v>1.098691507665908E-2</v>
      </c>
      <c r="AK41" s="222" cm="1">
        <f t="array" aca="1" ref="AK41" ca="1">'Tablica IO'!AK197*INDEX(Model!$C$93:$CA$93,Model!$A41) + IF(wplyw_cen_import_wlaczony,'Tablica IO'!AK275*INDEX(Model!$C$2:$CA$2,Model!$A41),'Tablica IO'!AK275*1)</f>
        <v>2.6405296286640444E-3</v>
      </c>
      <c r="AL41" s="222" cm="1">
        <f t="array" aca="1" ref="AL41" ca="1">'Tablica IO'!AL197*INDEX(Model!$C$93:$CA$93,Model!$A41) + IF(wplyw_cen_import_wlaczony,'Tablica IO'!AL275*INDEX(Model!$C$2:$CA$2,Model!$A41),'Tablica IO'!AL275*1)</f>
        <v>8.4788608284139203E-3</v>
      </c>
      <c r="AM41" s="222" cm="1">
        <f t="array" aca="1" ref="AM41" ca="1">'Tablica IO'!AM197*INDEX(Model!$C$93:$CA$93,Model!$A41) + IF(wplyw_cen_import_wlaczony,'Tablica IO'!AM275*INDEX(Model!$C$2:$CA$2,Model!$A41),'Tablica IO'!AM275*1)</f>
        <v>1.5917345180959236E-3</v>
      </c>
      <c r="AN41" s="222" cm="1">
        <f t="array" aca="1" ref="AN41" ca="1">'Tablica IO'!AN197*INDEX(Model!$C$93:$CA$93,Model!$A41) + IF(wplyw_cen_import_wlaczony,'Tablica IO'!AN275*INDEX(Model!$C$2:$CA$2,Model!$A41),'Tablica IO'!AN275*1)</f>
        <v>8.4502979619195118E-3</v>
      </c>
      <c r="AO41" s="222" cm="1">
        <f t="array" aca="1" ref="AO41" ca="1">'Tablica IO'!AO197*INDEX(Model!$C$93:$CA$93,Model!$A41) + IF(wplyw_cen_import_wlaczony,'Tablica IO'!AO275*INDEX(Model!$C$2:$CA$2,Model!$A41),'Tablica IO'!AO275*1)</f>
        <v>0.1042335471633359</v>
      </c>
      <c r="AP41" s="222" cm="1">
        <f t="array" aca="1" ref="AP41" ca="1">'Tablica IO'!AP197*INDEX(Model!$C$93:$CA$93,Model!$A41) + IF(wplyw_cen_import_wlaczony,'Tablica IO'!AP275*INDEX(Model!$C$2:$CA$2,Model!$A41),'Tablica IO'!AP275*1)</f>
        <v>5.8279859694656709E-3</v>
      </c>
      <c r="AQ41" s="222" cm="1">
        <f t="array" aca="1" ref="AQ41" ca="1">'Tablica IO'!AQ197*INDEX(Model!$C$93:$CA$93,Model!$A41) + IF(wplyw_cen_import_wlaczony,'Tablica IO'!AQ275*INDEX(Model!$C$2:$CA$2,Model!$A41),'Tablica IO'!AQ275*1)</f>
        <v>8.1709329417929168E-3</v>
      </c>
      <c r="AR41" s="222" cm="1">
        <f t="array" aca="1" ref="AR41" ca="1">'Tablica IO'!AR197*INDEX(Model!$C$93:$CA$93,Model!$A41) + IF(wplyw_cen_import_wlaczony,'Tablica IO'!AR275*INDEX(Model!$C$2:$CA$2,Model!$A41),'Tablica IO'!AR275*1)</f>
        <v>3.6885999877308232E-3</v>
      </c>
      <c r="AS41" s="222" cm="1">
        <f t="array" aca="1" ref="AS41" ca="1">'Tablica IO'!AS197*INDEX(Model!$C$93:$CA$93,Model!$A41) + IF(wplyw_cen_import_wlaczony,'Tablica IO'!AS275*INDEX(Model!$C$2:$CA$2,Model!$A41),'Tablica IO'!AS275*1)</f>
        <v>2.0458069900904977E-3</v>
      </c>
      <c r="AT41" s="222" cm="1">
        <f t="array" aca="1" ref="AT41" ca="1">'Tablica IO'!AT197*INDEX(Model!$C$93:$CA$93,Model!$A41) + IF(wplyw_cen_import_wlaczony,'Tablica IO'!AT275*INDEX(Model!$C$2:$CA$2,Model!$A41),'Tablica IO'!AT275*1)</f>
        <v>4.162402689981518E-3</v>
      </c>
      <c r="AU41" s="222" cm="1">
        <f t="array" aca="1" ref="AU41" ca="1">'Tablica IO'!AU197*INDEX(Model!$C$93:$CA$93,Model!$A41) + IF(wplyw_cen_import_wlaczony,'Tablica IO'!AU275*INDEX(Model!$C$2:$CA$2,Model!$A41),'Tablica IO'!AU275*1)</f>
        <v>5.6558052738559291E-3</v>
      </c>
      <c r="AV41" s="222" cm="1">
        <f t="array" aca="1" ref="AV41" ca="1">'Tablica IO'!AV197*INDEX(Model!$C$93:$CA$93,Model!$A41) + IF(wplyw_cen_import_wlaczony,'Tablica IO'!AV275*INDEX(Model!$C$2:$CA$2,Model!$A41),'Tablica IO'!AV275*1)</f>
        <v>2.9020127419121643E-3</v>
      </c>
      <c r="AW41" s="222" cm="1">
        <f t="array" aca="1" ref="AW41" ca="1">'Tablica IO'!AW197*INDEX(Model!$C$93:$CA$93,Model!$A41) + IF(wplyw_cen_import_wlaczony,'Tablica IO'!AW275*INDEX(Model!$C$2:$CA$2,Model!$A41),'Tablica IO'!AW275*1)</f>
        <v>4.0515896398314729E-3</v>
      </c>
      <c r="AX41" s="222" cm="1">
        <f t="array" aca="1" ref="AX41" ca="1">'Tablica IO'!AX197*INDEX(Model!$C$93:$CA$93,Model!$A41) + IF(wplyw_cen_import_wlaczony,'Tablica IO'!AX275*INDEX(Model!$C$2:$CA$2,Model!$A41),'Tablica IO'!AX275*1)</f>
        <v>3.603251294036023E-3</v>
      </c>
      <c r="AY41" s="222" cm="1">
        <f t="array" aca="1" ref="AY41" ca="1">'Tablica IO'!AY197*INDEX(Model!$C$93:$CA$93,Model!$A41) + IF(wplyw_cen_import_wlaczony,'Tablica IO'!AY275*INDEX(Model!$C$2:$CA$2,Model!$A41),'Tablica IO'!AY275*1)</f>
        <v>4.9578259482416437E-4</v>
      </c>
      <c r="AZ41" s="222" cm="1">
        <f t="array" aca="1" ref="AZ41" ca="1">'Tablica IO'!AZ197*INDEX(Model!$C$93:$CA$93,Model!$A41) + IF(wplyw_cen_import_wlaczony,'Tablica IO'!AZ275*INDEX(Model!$C$2:$CA$2,Model!$A41),'Tablica IO'!AZ275*1)</f>
        <v>9.7908580490158525E-4</v>
      </c>
      <c r="BA41" s="222" cm="1">
        <f t="array" aca="1" ref="BA41" ca="1">'Tablica IO'!BA197*INDEX(Model!$C$93:$CA$93,Model!$A41) + IF(wplyw_cen_import_wlaczony,'Tablica IO'!BA275*INDEX(Model!$C$2:$CA$2,Model!$A41),'Tablica IO'!BA275*1)</f>
        <v>7.4707173440920969E-5</v>
      </c>
      <c r="BB41" s="222" cm="1">
        <f t="array" aca="1" ref="BB41" ca="1">'Tablica IO'!BB197*INDEX(Model!$C$93:$CA$93,Model!$A41) + IF(wplyw_cen_import_wlaczony,'Tablica IO'!BB275*INDEX(Model!$C$2:$CA$2,Model!$A41),'Tablica IO'!BB275*1)</f>
        <v>1.039795070544475E-3</v>
      </c>
      <c r="BC41" s="222" cm="1">
        <f t="array" aca="1" ref="BC41" ca="1">'Tablica IO'!BC197*INDEX(Model!$C$93:$CA$93,Model!$A41) + IF(wplyw_cen_import_wlaczony,'Tablica IO'!BC275*INDEX(Model!$C$2:$CA$2,Model!$A41),'Tablica IO'!BC275*1)</f>
        <v>2.190036158268782E-3</v>
      </c>
      <c r="BD41" s="222" cm="1">
        <f t="array" aca="1" ref="BD41" ca="1">'Tablica IO'!BD197*INDEX(Model!$C$93:$CA$93,Model!$A41) + IF(wplyw_cen_import_wlaczony,'Tablica IO'!BD275*INDEX(Model!$C$2:$CA$2,Model!$A41),'Tablica IO'!BD275*1)</f>
        <v>2.5349252171599271E-3</v>
      </c>
      <c r="BE41" s="222" cm="1">
        <f t="array" aca="1" ref="BE41" ca="1">'Tablica IO'!BE197*INDEX(Model!$C$93:$CA$93,Model!$A41) + IF(wplyw_cen_import_wlaczony,'Tablica IO'!BE275*INDEX(Model!$C$2:$CA$2,Model!$A41),'Tablica IO'!BE275*1)</f>
        <v>4.040857155332543E-3</v>
      </c>
      <c r="BF41" s="222" cm="1">
        <f t="array" aca="1" ref="BF41" ca="1">'Tablica IO'!BF197*INDEX(Model!$C$93:$CA$93,Model!$A41) + IF(wplyw_cen_import_wlaczony,'Tablica IO'!BF275*INDEX(Model!$C$2:$CA$2,Model!$A41),'Tablica IO'!BF275*1)</f>
        <v>1.0408726141681413E-2</v>
      </c>
      <c r="BG41" s="222" cm="1">
        <f t="array" aca="1" ref="BG41" ca="1">'Tablica IO'!BG197*INDEX(Model!$C$93:$CA$93,Model!$A41) + IF(wplyw_cen_import_wlaczony,'Tablica IO'!BG275*INDEX(Model!$C$2:$CA$2,Model!$A41),'Tablica IO'!BG275*1)</f>
        <v>3.903811899378212E-4</v>
      </c>
      <c r="BH41" s="222" cm="1">
        <f t="array" aca="1" ref="BH41" ca="1">'Tablica IO'!BH197*INDEX(Model!$C$93:$CA$93,Model!$A41) + IF(wplyw_cen_import_wlaczony,'Tablica IO'!BH275*INDEX(Model!$C$2:$CA$2,Model!$A41),'Tablica IO'!BH275*1)</f>
        <v>1.6118937444207664E-2</v>
      </c>
      <c r="BI41" s="222" cm="1">
        <f t="array" aca="1" ref="BI41" ca="1">'Tablica IO'!BI197*INDEX(Model!$C$93:$CA$93,Model!$A41) + IF(wplyw_cen_import_wlaczony,'Tablica IO'!BI275*INDEX(Model!$C$2:$CA$2,Model!$A41),'Tablica IO'!BI275*1)</f>
        <v>0</v>
      </c>
      <c r="BJ41" s="222" cm="1">
        <f t="array" aca="1" ref="BJ41" ca="1">'Tablica IO'!BJ197*INDEX(Model!$C$93:$CA$93,Model!$A41) + IF(wplyw_cen_import_wlaczony,'Tablica IO'!BJ275*INDEX(Model!$C$2:$CA$2,Model!$A41),'Tablica IO'!BJ275*1)</f>
        <v>1.0227267076104281E-2</v>
      </c>
      <c r="BK41" s="222" cm="1">
        <f t="array" aca="1" ref="BK41" ca="1">'Tablica IO'!BK197*INDEX(Model!$C$93:$CA$93,Model!$A41) + IF(wplyw_cen_import_wlaczony,'Tablica IO'!BK275*INDEX(Model!$C$2:$CA$2,Model!$A41),'Tablica IO'!BK275*1)</f>
        <v>4.2388656127649663E-4</v>
      </c>
      <c r="BL41" s="222" cm="1">
        <f t="array" aca="1" ref="BL41" ca="1">'Tablica IO'!BL197*INDEX(Model!$C$93:$CA$93,Model!$A41) + IF(wplyw_cen_import_wlaczony,'Tablica IO'!BL275*INDEX(Model!$C$2:$CA$2,Model!$A41),'Tablica IO'!BL275*1)</f>
        <v>1.604598413360088E-2</v>
      </c>
      <c r="BM41" s="222" cm="1">
        <f t="array" aca="1" ref="BM41" ca="1">'Tablica IO'!BM197*INDEX(Model!$C$93:$CA$93,Model!$A41) + IF(wplyw_cen_import_wlaczony,'Tablica IO'!BM275*INDEX(Model!$C$2:$CA$2,Model!$A41),'Tablica IO'!BM275*1)</f>
        <v>3.510245627936749E-3</v>
      </c>
      <c r="BN41" s="222" cm="1">
        <f t="array" aca="1" ref="BN41" ca="1">'Tablica IO'!BN197*INDEX(Model!$C$93:$CA$93,Model!$A41) + IF(wplyw_cen_import_wlaczony,'Tablica IO'!BN275*INDEX(Model!$C$2:$CA$2,Model!$A41),'Tablica IO'!BN275*1)</f>
        <v>8.3965192782340815E-3</v>
      </c>
      <c r="BO41" s="222" cm="1">
        <f t="array" aca="1" ref="BO41" ca="1">'Tablica IO'!BO197*INDEX(Model!$C$93:$CA$93,Model!$A41) + IF(wplyw_cen_import_wlaczony,'Tablica IO'!BO275*INDEX(Model!$C$2:$CA$2,Model!$A41),'Tablica IO'!BO275*1)</f>
        <v>6.2137246729652854E-4</v>
      </c>
      <c r="BP41" s="222" cm="1">
        <f t="array" aca="1" ref="BP41" ca="1">'Tablica IO'!BP197*INDEX(Model!$C$93:$CA$93,Model!$A41) + IF(wplyw_cen_import_wlaczony,'Tablica IO'!BP275*INDEX(Model!$C$2:$CA$2,Model!$A41),'Tablica IO'!BP275*1)</f>
        <v>5.105120360808727E-3</v>
      </c>
      <c r="BQ41" s="222" cm="1">
        <f t="array" aca="1" ref="BQ41" ca="1">'Tablica IO'!BQ197*INDEX(Model!$C$93:$CA$93,Model!$A41) + IF(wplyw_cen_import_wlaczony,'Tablica IO'!BQ275*INDEX(Model!$C$2:$CA$2,Model!$A41),'Tablica IO'!BQ275*1)</f>
        <v>8.9880792731890228E-4</v>
      </c>
      <c r="BR41" s="222" cm="1">
        <f t="array" aca="1" ref="BR41" ca="1">'Tablica IO'!BR197*INDEX(Model!$C$93:$CA$93,Model!$A41) + IF(wplyw_cen_import_wlaczony,'Tablica IO'!BR275*INDEX(Model!$C$2:$CA$2,Model!$A41),'Tablica IO'!BR275*1)</f>
        <v>2.0049948054676565E-3</v>
      </c>
      <c r="BS41" s="222" cm="1">
        <f t="array" aca="1" ref="BS41" ca="1">'Tablica IO'!BS197*INDEX(Model!$C$93:$CA$93,Model!$A41) + IF(wplyw_cen_import_wlaczony,'Tablica IO'!BS275*INDEX(Model!$C$2:$CA$2,Model!$A41),'Tablica IO'!BS275*1)</f>
        <v>2.4468401482208909E-3</v>
      </c>
      <c r="BT41" s="222" cm="1">
        <f t="array" aca="1" ref="BT41" ca="1">'Tablica IO'!BT197*INDEX(Model!$C$93:$CA$93,Model!$A41) + IF(wplyw_cen_import_wlaczony,'Tablica IO'!BT275*INDEX(Model!$C$2:$CA$2,Model!$A41),'Tablica IO'!BT275*1)</f>
        <v>1.3898418682958434E-3</v>
      </c>
      <c r="BU41" s="222" cm="1">
        <f t="array" aca="1" ref="BU41" ca="1">'Tablica IO'!BU197*INDEX(Model!$C$93:$CA$93,Model!$A41) + IF(wplyw_cen_import_wlaczony,'Tablica IO'!BU275*INDEX(Model!$C$2:$CA$2,Model!$A41),'Tablica IO'!BU275*1)</f>
        <v>7.4260039801825233E-3</v>
      </c>
      <c r="BV41" s="222" cm="1">
        <f t="array" aca="1" ref="BV41" ca="1">'Tablica IO'!BV197*INDEX(Model!$C$93:$CA$93,Model!$A41) + IF(wplyw_cen_import_wlaczony,'Tablica IO'!BV275*INDEX(Model!$C$2:$CA$2,Model!$A41),'Tablica IO'!BV275*1)</f>
        <v>1.5425274660476926E-2</v>
      </c>
      <c r="BW41" s="222" cm="1">
        <f t="array" aca="1" ref="BW41" ca="1">'Tablica IO'!BW197*INDEX(Model!$C$93:$CA$93,Model!$A41) + IF(wplyw_cen_import_wlaczony,'Tablica IO'!BW275*INDEX(Model!$C$2:$CA$2,Model!$A41),'Tablica IO'!BW275*1)</f>
        <v>2.6351412960311023E-2</v>
      </c>
      <c r="BX41" s="222" cm="1">
        <f t="array" aca="1" ref="BX41" ca="1">'Tablica IO'!BX197*INDEX(Model!$C$93:$CA$93,Model!$A41) + IF(wplyw_cen_import_wlaczony,'Tablica IO'!BX275*INDEX(Model!$C$2:$CA$2,Model!$A41),'Tablica IO'!BX275*1)</f>
        <v>1.7931349882905314E-5</v>
      </c>
      <c r="BY41" s="222" cm="1">
        <f t="array" aca="1" ref="BY41" ca="1">'Tablica IO'!BY197*INDEX(Model!$C$93:$CA$93,Model!$A41) + IF(wplyw_cen_import_wlaczony,'Tablica IO'!BY275*INDEX(Model!$C$2:$CA$2,Model!$A41),'Tablica IO'!BY275*1)</f>
        <v>2.874680050709785E-3</v>
      </c>
      <c r="BZ41" s="222" cm="1">
        <f t="array" aca="1" ref="BZ41" ca="1">'Tablica IO'!BZ197*INDEX(Model!$C$93:$CA$93,Model!$A41) + IF(wplyw_cen_import_wlaczony,'Tablica IO'!BZ275*INDEX(Model!$C$2:$CA$2,Model!$A41),'Tablica IO'!BZ275*1)</f>
        <v>1.2079113974911115E-3</v>
      </c>
      <c r="CA41" s="222" cm="1">
        <f t="array" aca="1" ref="CA41" ca="1">'Tablica IO'!CA197*INDEX(Model!$C$93:$CA$93,Model!$A41) + IF(wplyw_cen_import_wlaczony,'Tablica IO'!CA275*INDEX(Model!$C$2:$CA$2,Model!$A41),'Tablica IO'!CA275*1)</f>
        <v>0</v>
      </c>
      <c r="CB41" s="247">
        <f ca="1">'Tablica IO'!CD197*INDEX(Model!$C$93:$CA$93,Model!$A41)+'Tablica IO'!CD275*INDEX(Model!$C$2:$CA$2,Model!$A41)</f>
        <v>3.8310829786040448E-4</v>
      </c>
      <c r="CC41" s="188">
        <f ca="1">'Tablica IO'!CE197*INDEX(Model!$C$93:$CA$93,Model!$A41)+'Tablica IO'!CE275*INDEX(Model!$C$2:$CA$2,Model!$A41)</f>
        <v>0</v>
      </c>
      <c r="CD41" s="188">
        <f ca="1">'Tablica IO'!CF197*INDEX(Model!$C$93:$CA$93,Model!$A41)+'Tablica IO'!CF275*INDEX(Model!$C$2:$CA$2,Model!$A41)</f>
        <v>4.7251369989703529E-2</v>
      </c>
      <c r="CE41" s="189">
        <f ca="1">'Tablica IO'!CG197*INDEX(Model!$C$93:$CA$93,Model!$A41)+'Tablica IO'!CG275*INDEX(Model!$C$2:$CA$2,Model!$A41)</f>
        <v>2.6370339346333599E-3</v>
      </c>
    </row>
    <row r="42" spans="1:83" x14ac:dyDescent="0.25">
      <c r="A42" s="164">
        <v>30</v>
      </c>
      <c r="B42" s="172" t="s">
        <v>29</v>
      </c>
      <c r="C42" s="221" cm="1">
        <f t="array" aca="1" ref="C42" ca="1">'Tablica IO'!C198*INDEX(Model!$C$93:$CA$93,Model!$A42) + IF(wplyw_cen_import_wlaczony,'Tablica IO'!C276*INDEX(Model!$C$2:$CA$2,Model!$A42),'Tablica IO'!C276*1)</f>
        <v>2.2311014296272573E-2</v>
      </c>
      <c r="D42" s="222" cm="1">
        <f t="array" aca="1" ref="D42" ca="1">'Tablica IO'!D198*INDEX(Model!$C$93:$CA$93,Model!$A42) + IF(wplyw_cen_import_wlaczony,'Tablica IO'!D276*INDEX(Model!$C$2:$CA$2,Model!$A42),'Tablica IO'!D276*1)</f>
        <v>3.855209039738669E-3</v>
      </c>
      <c r="E42" s="222" cm="1">
        <f t="array" aca="1" ref="E42" ca="1">'Tablica IO'!E198*INDEX(Model!$C$93:$CA$93,Model!$A42) + IF(wplyw_cen_import_wlaczony,'Tablica IO'!E276*INDEX(Model!$C$2:$CA$2,Model!$A42),'Tablica IO'!E276*1)</f>
        <v>2.9597400986404385E-2</v>
      </c>
      <c r="F42" s="222" cm="1">
        <f t="array" aca="1" ref="F42" ca="1">'Tablica IO'!F198*INDEX(Model!$C$93:$CA$93,Model!$A42) + IF(wplyw_cen_import_wlaczony,'Tablica IO'!F276*INDEX(Model!$C$2:$CA$2,Model!$A42),'Tablica IO'!F276*1)</f>
        <v>6.2106365438346418E-2</v>
      </c>
      <c r="G42" s="222" cm="1">
        <f t="array" aca="1" ref="G42" ca="1">'Tablica IO'!G198*INDEX(Model!$C$93:$CA$93,Model!$A42) + IF(wplyw_cen_import_wlaczony,'Tablica IO'!G276*INDEX(Model!$C$2:$CA$2,Model!$A42),'Tablica IO'!G276*1)</f>
        <v>2.699548662651545E-2</v>
      </c>
      <c r="H42" s="222" cm="1">
        <f t="array" aca="1" ref="H42" ca="1">'Tablica IO'!H198*INDEX(Model!$C$93:$CA$93,Model!$A42) + IF(wplyw_cen_import_wlaczony,'Tablica IO'!H276*INDEX(Model!$C$2:$CA$2,Model!$A42),'Tablica IO'!H276*1)</f>
        <v>1.7970756181924029E-2</v>
      </c>
      <c r="I42" s="222" cm="1">
        <f t="array" aca="1" ref="I42" ca="1">'Tablica IO'!I198*INDEX(Model!$C$93:$CA$93,Model!$A42) + IF(wplyw_cen_import_wlaczony,'Tablica IO'!I276*INDEX(Model!$C$2:$CA$2,Model!$A42),'Tablica IO'!I276*1)</f>
        <v>2.4002066990351251E-2</v>
      </c>
      <c r="J42" s="222" cm="1">
        <f t="array" aca="1" ref="J42" ca="1">'Tablica IO'!J198*INDEX(Model!$C$93:$CA$93,Model!$A42) + IF(wplyw_cen_import_wlaczony,'Tablica IO'!J276*INDEX(Model!$C$2:$CA$2,Model!$A42),'Tablica IO'!J276*1)</f>
        <v>1.1386410946119472E-2</v>
      </c>
      <c r="K42" s="222" cm="1">
        <f t="array" aca="1" ref="K42" ca="1">'Tablica IO'!K198*INDEX(Model!$C$93:$CA$93,Model!$A42) + IF(wplyw_cen_import_wlaczony,'Tablica IO'!K276*INDEX(Model!$C$2:$CA$2,Model!$A42),'Tablica IO'!K276*1)</f>
        <v>2.8184659202569174E-2</v>
      </c>
      <c r="L42" s="222" cm="1">
        <f t="array" aca="1" ref="L42" ca="1">'Tablica IO'!L198*INDEX(Model!$C$93:$CA$93,Model!$A42) + IF(wplyw_cen_import_wlaczony,'Tablica IO'!L276*INDEX(Model!$C$2:$CA$2,Model!$A42),'Tablica IO'!L276*1)</f>
        <v>1.9597899708851785E-2</v>
      </c>
      <c r="M42" s="222" cm="1">
        <f t="array" aca="1" ref="M42" ca="1">'Tablica IO'!M198*INDEX(Model!$C$93:$CA$93,Model!$A42) + IF(wplyw_cen_import_wlaczony,'Tablica IO'!M276*INDEX(Model!$C$2:$CA$2,Model!$A42),'Tablica IO'!M276*1)</f>
        <v>1.1715916017570818E-2</v>
      </c>
      <c r="N42" s="222" cm="1">
        <f t="array" aca="1" ref="N42" ca="1">'Tablica IO'!N198*INDEX(Model!$C$93:$CA$93,Model!$A42) + IF(wplyw_cen_import_wlaczony,'Tablica IO'!N276*INDEX(Model!$C$2:$CA$2,Model!$A42),'Tablica IO'!N276*1)</f>
        <v>2.8966510036698846E-2</v>
      </c>
      <c r="O42" s="222" cm="1">
        <f t="array" aca="1" ref="O42" ca="1">'Tablica IO'!O198*INDEX(Model!$C$93:$CA$93,Model!$A42) + IF(wplyw_cen_import_wlaczony,'Tablica IO'!O276*INDEX(Model!$C$2:$CA$2,Model!$A42),'Tablica IO'!O276*1)</f>
        <v>2.8277604751433195E-2</v>
      </c>
      <c r="P42" s="222" cm="1">
        <f t="array" aca="1" ref="P42" ca="1">'Tablica IO'!P198*INDEX(Model!$C$93:$CA$93,Model!$A42) + IF(wplyw_cen_import_wlaczony,'Tablica IO'!P276*INDEX(Model!$C$2:$CA$2,Model!$A42),'Tablica IO'!P276*1)</f>
        <v>1.8694144222510409E-2</v>
      </c>
      <c r="Q42" s="222" cm="1">
        <f t="array" aca="1" ref="Q42" ca="1">'Tablica IO'!Q198*INDEX(Model!$C$93:$CA$93,Model!$A42) + IF(wplyw_cen_import_wlaczony,'Tablica IO'!Q276*INDEX(Model!$C$2:$CA$2,Model!$A42),'Tablica IO'!Q276*1)</f>
        <v>7.7832371196452496E-3</v>
      </c>
      <c r="R42" s="222" cm="1">
        <f t="array" aca="1" ref="R42" ca="1">'Tablica IO'!R198*INDEX(Model!$C$93:$CA$93,Model!$A42) + IF(wplyw_cen_import_wlaczony,'Tablica IO'!R276*INDEX(Model!$C$2:$CA$2,Model!$A42),'Tablica IO'!R276*1)</f>
        <v>3.473123191733693E-2</v>
      </c>
      <c r="S42" s="222" cm="1">
        <f t="array" aca="1" ref="S42" ca="1">'Tablica IO'!S198*INDEX(Model!$C$93:$CA$93,Model!$A42) + IF(wplyw_cen_import_wlaczony,'Tablica IO'!S276*INDEX(Model!$C$2:$CA$2,Model!$A42),'Tablica IO'!S276*1)</f>
        <v>1.309674486287383E-2</v>
      </c>
      <c r="T42" s="222" cm="1">
        <f t="array" aca="1" ref="T42" ca="1">'Tablica IO'!T198*INDEX(Model!$C$93:$CA$93,Model!$A42) + IF(wplyw_cen_import_wlaczony,'Tablica IO'!T276*INDEX(Model!$C$2:$CA$2,Model!$A42),'Tablica IO'!T276*1)</f>
        <v>2.7839764129530924E-2</v>
      </c>
      <c r="U42" s="222" cm="1">
        <f t="array" aca="1" ref="U42" ca="1">'Tablica IO'!U198*INDEX(Model!$C$93:$CA$93,Model!$A42) + IF(wplyw_cen_import_wlaczony,'Tablica IO'!U276*INDEX(Model!$C$2:$CA$2,Model!$A42),'Tablica IO'!U276*1)</f>
        <v>5.5992533452610613E-2</v>
      </c>
      <c r="V42" s="222" cm="1">
        <f t="array" aca="1" ref="V42" ca="1">'Tablica IO'!V198*INDEX(Model!$C$93:$CA$93,Model!$A42) + IF(wplyw_cen_import_wlaczony,'Tablica IO'!V276*INDEX(Model!$C$2:$CA$2,Model!$A42),'Tablica IO'!V276*1)</f>
        <v>6.71914590780094E-2</v>
      </c>
      <c r="W42" s="222" cm="1">
        <f t="array" aca="1" ref="W42" ca="1">'Tablica IO'!W198*INDEX(Model!$C$93:$CA$93,Model!$A42) + IF(wplyw_cen_import_wlaczony,'Tablica IO'!W276*INDEX(Model!$C$2:$CA$2,Model!$A42),'Tablica IO'!W276*1)</f>
        <v>1.8009790737813513E-2</v>
      </c>
      <c r="X42" s="222" cm="1">
        <f t="array" aca="1" ref="X42" ca="1">'Tablica IO'!X198*INDEX(Model!$C$93:$CA$93,Model!$A42) + IF(wplyw_cen_import_wlaczony,'Tablica IO'!X276*INDEX(Model!$C$2:$CA$2,Model!$A42),'Tablica IO'!X276*1)</f>
        <v>5.0120538610278556E-3</v>
      </c>
      <c r="Y42" s="222" cm="1">
        <f t="array" aca="1" ref="Y42" ca="1">'Tablica IO'!Y198*INDEX(Model!$C$93:$CA$93,Model!$A42) + IF(wplyw_cen_import_wlaczony,'Tablica IO'!Y276*INDEX(Model!$C$2:$CA$2,Model!$A42),'Tablica IO'!Y276*1)</f>
        <v>1.3151535668335211E-2</v>
      </c>
      <c r="Z42" s="222" cm="1">
        <f t="array" aca="1" ref="Z42" ca="1">'Tablica IO'!Z198*INDEX(Model!$C$93:$CA$93,Model!$A42) + IF(wplyw_cen_import_wlaczony,'Tablica IO'!Z276*INDEX(Model!$C$2:$CA$2,Model!$A42),'Tablica IO'!Z276*1)</f>
        <v>1.6672057357980014E-2</v>
      </c>
      <c r="AA42" s="222" cm="1">
        <f t="array" aca="1" ref="AA42" ca="1">'Tablica IO'!AA198*INDEX(Model!$C$93:$CA$93,Model!$A42) + IF(wplyw_cen_import_wlaczony,'Tablica IO'!AA276*INDEX(Model!$C$2:$CA$2,Model!$A42),'Tablica IO'!AA276*1)</f>
        <v>1.0335954552148682E-2</v>
      </c>
      <c r="AB42" s="222" cm="1">
        <f t="array" aca="1" ref="AB42" ca="1">'Tablica IO'!AB198*INDEX(Model!$C$93:$CA$93,Model!$A42) + IF(wplyw_cen_import_wlaczony,'Tablica IO'!AB276*INDEX(Model!$C$2:$CA$2,Model!$A42),'Tablica IO'!AB276*1)</f>
        <v>1.2805584467033147E-2</v>
      </c>
      <c r="AC42" s="222" cm="1">
        <f t="array" aca="1" ref="AC42" ca="1">'Tablica IO'!AC198*INDEX(Model!$C$93:$CA$93,Model!$A42) + IF(wplyw_cen_import_wlaczony,'Tablica IO'!AC276*INDEX(Model!$C$2:$CA$2,Model!$A42),'Tablica IO'!AC276*1)</f>
        <v>1.3799523365175563E-2</v>
      </c>
      <c r="AD42" s="222" cm="1">
        <f t="array" aca="1" ref="AD42" ca="1">'Tablica IO'!AD198*INDEX(Model!$C$93:$CA$93,Model!$A42) + IF(wplyw_cen_import_wlaczony,'Tablica IO'!AD276*INDEX(Model!$C$2:$CA$2,Model!$A42),'Tablica IO'!AD276*1)</f>
        <v>1.1868448827472552E-2</v>
      </c>
      <c r="AE42" s="222" cm="1">
        <f t="array" aca="1" ref="AE42" ca="1">'Tablica IO'!AE198*INDEX(Model!$C$93:$CA$93,Model!$A42) + IF(wplyw_cen_import_wlaczony,'Tablica IO'!AE276*INDEX(Model!$C$2:$CA$2,Model!$A42),'Tablica IO'!AE276*1)</f>
        <v>7.0254390426483342E-3</v>
      </c>
      <c r="AF42" s="222" cm="1">
        <f t="array" aca="1" ref="AF42" ca="1">'Tablica IO'!AF198*INDEX(Model!$C$93:$CA$93,Model!$A42) + IF(wplyw_cen_import_wlaczony,'Tablica IO'!AF276*INDEX(Model!$C$2:$CA$2,Model!$A42),'Tablica IO'!AF276*1)</f>
        <v>4.6139893595446575E-2</v>
      </c>
      <c r="AG42" s="222" cm="1">
        <f t="array" aca="1" ref="AG42" ca="1">'Tablica IO'!AG198*INDEX(Model!$C$93:$CA$93,Model!$A42) + IF(wplyw_cen_import_wlaczony,'Tablica IO'!AG276*INDEX(Model!$C$2:$CA$2,Model!$A42),'Tablica IO'!AG276*1)</f>
        <v>5.9211751289634053E-2</v>
      </c>
      <c r="AH42" s="222" cm="1">
        <f t="array" aca="1" ref="AH42" ca="1">'Tablica IO'!AH198*INDEX(Model!$C$93:$CA$93,Model!$A42) + IF(wplyw_cen_import_wlaczony,'Tablica IO'!AH276*INDEX(Model!$C$2:$CA$2,Model!$A42),'Tablica IO'!AH276*1)</f>
        <v>1.7169306095027211E-2</v>
      </c>
      <c r="AI42" s="222" cm="1">
        <f t="array" aca="1" ref="AI42" ca="1">'Tablica IO'!AI198*INDEX(Model!$C$93:$CA$93,Model!$A42) + IF(wplyw_cen_import_wlaczony,'Tablica IO'!AI276*INDEX(Model!$C$2:$CA$2,Model!$A42),'Tablica IO'!AI276*1)</f>
        <v>5.7870400025075354E-2</v>
      </c>
      <c r="AJ42" s="222" cm="1">
        <f t="array" aca="1" ref="AJ42" ca="1">'Tablica IO'!AJ198*INDEX(Model!$C$93:$CA$93,Model!$A42) + IF(wplyw_cen_import_wlaczony,'Tablica IO'!AJ276*INDEX(Model!$C$2:$CA$2,Model!$A42),'Tablica IO'!AJ276*1)</f>
        <v>6.5773531837339519E-3</v>
      </c>
      <c r="AK42" s="222" cm="1">
        <f t="array" aca="1" ref="AK42" ca="1">'Tablica IO'!AK198*INDEX(Model!$C$93:$CA$93,Model!$A42) + IF(wplyw_cen_import_wlaczony,'Tablica IO'!AK276*INDEX(Model!$C$2:$CA$2,Model!$A42),'Tablica IO'!AK276*1)</f>
        <v>6.2415861536930855E-3</v>
      </c>
      <c r="AL42" s="222" cm="1">
        <f t="array" aca="1" ref="AL42" ca="1">'Tablica IO'!AL198*INDEX(Model!$C$93:$CA$93,Model!$A42) + IF(wplyw_cen_import_wlaczony,'Tablica IO'!AL276*INDEX(Model!$C$2:$CA$2,Model!$A42),'Tablica IO'!AL276*1)</f>
        <v>8.3003913466291514E-3</v>
      </c>
      <c r="AM42" s="222" cm="1">
        <f t="array" aca="1" ref="AM42" ca="1">'Tablica IO'!AM198*INDEX(Model!$C$93:$CA$93,Model!$A42) + IF(wplyw_cen_import_wlaczony,'Tablica IO'!AM276*INDEX(Model!$C$2:$CA$2,Model!$A42),'Tablica IO'!AM276*1)</f>
        <v>1.6937344156403591E-2</v>
      </c>
      <c r="AN42" s="222" cm="1">
        <f t="array" aca="1" ref="AN42" ca="1">'Tablica IO'!AN198*INDEX(Model!$C$93:$CA$93,Model!$A42) + IF(wplyw_cen_import_wlaczony,'Tablica IO'!AN276*INDEX(Model!$C$2:$CA$2,Model!$A42),'Tablica IO'!AN276*1)</f>
        <v>2.329716243617995E-2</v>
      </c>
      <c r="AO42" s="222" cm="1">
        <f t="array" aca="1" ref="AO42" ca="1">'Tablica IO'!AO198*INDEX(Model!$C$93:$CA$93,Model!$A42) + IF(wplyw_cen_import_wlaczony,'Tablica IO'!AO276*INDEX(Model!$C$2:$CA$2,Model!$A42),'Tablica IO'!AO276*1)</f>
        <v>2.1943129010135501E-3</v>
      </c>
      <c r="AP42" s="222" cm="1">
        <f t="array" aca="1" ref="AP42" ca="1">'Tablica IO'!AP198*INDEX(Model!$C$93:$CA$93,Model!$A42) + IF(wplyw_cen_import_wlaczony,'Tablica IO'!AP276*INDEX(Model!$C$2:$CA$2,Model!$A42),'Tablica IO'!AP276*1)</f>
        <v>2.2999416258764043E-2</v>
      </c>
      <c r="AQ42" s="222" cm="1">
        <f t="array" aca="1" ref="AQ42" ca="1">'Tablica IO'!AQ198*INDEX(Model!$C$93:$CA$93,Model!$A42) + IF(wplyw_cen_import_wlaczony,'Tablica IO'!AQ276*INDEX(Model!$C$2:$CA$2,Model!$A42),'Tablica IO'!AQ276*1)</f>
        <v>4.2700150616989362E-2</v>
      </c>
      <c r="AR42" s="222" cm="1">
        <f t="array" aca="1" ref="AR42" ca="1">'Tablica IO'!AR198*INDEX(Model!$C$93:$CA$93,Model!$A42) + IF(wplyw_cen_import_wlaczony,'Tablica IO'!AR276*INDEX(Model!$C$2:$CA$2,Model!$A42),'Tablica IO'!AR276*1)</f>
        <v>2.7386188249855951E-2</v>
      </c>
      <c r="AS42" s="222" cm="1">
        <f t="array" aca="1" ref="AS42" ca="1">'Tablica IO'!AS198*INDEX(Model!$C$93:$CA$93,Model!$A42) + IF(wplyw_cen_import_wlaczony,'Tablica IO'!AS276*INDEX(Model!$C$2:$CA$2,Model!$A42),'Tablica IO'!AS276*1)</f>
        <v>8.7979874036366694E-3</v>
      </c>
      <c r="AT42" s="222" cm="1">
        <f t="array" aca="1" ref="AT42" ca="1">'Tablica IO'!AT198*INDEX(Model!$C$93:$CA$93,Model!$A42) + IF(wplyw_cen_import_wlaczony,'Tablica IO'!AT276*INDEX(Model!$C$2:$CA$2,Model!$A42),'Tablica IO'!AT276*1)</f>
        <v>9.4135663329568218E-3</v>
      </c>
      <c r="AU42" s="222" cm="1">
        <f t="array" aca="1" ref="AU42" ca="1">'Tablica IO'!AU198*INDEX(Model!$C$93:$CA$93,Model!$A42) + IF(wplyw_cen_import_wlaczony,'Tablica IO'!AU276*INDEX(Model!$C$2:$CA$2,Model!$A42),'Tablica IO'!AU276*1)</f>
        <v>7.639344631840031E-3</v>
      </c>
      <c r="AV42" s="222" cm="1">
        <f t="array" aca="1" ref="AV42" ca="1">'Tablica IO'!AV198*INDEX(Model!$C$93:$CA$93,Model!$A42) + IF(wplyw_cen_import_wlaczony,'Tablica IO'!AV276*INDEX(Model!$C$2:$CA$2,Model!$A42),'Tablica IO'!AV276*1)</f>
        <v>1.3274068606068492E-2</v>
      </c>
      <c r="AW42" s="222" cm="1">
        <f t="array" aca="1" ref="AW42" ca="1">'Tablica IO'!AW198*INDEX(Model!$C$93:$CA$93,Model!$A42) + IF(wplyw_cen_import_wlaczony,'Tablica IO'!AW276*INDEX(Model!$C$2:$CA$2,Model!$A42),'Tablica IO'!AW276*1)</f>
        <v>2.9035144811491221E-3</v>
      </c>
      <c r="AX42" s="222" cm="1">
        <f t="array" aca="1" ref="AX42" ca="1">'Tablica IO'!AX198*INDEX(Model!$C$93:$CA$93,Model!$A42) + IF(wplyw_cen_import_wlaczony,'Tablica IO'!AX276*INDEX(Model!$C$2:$CA$2,Model!$A42),'Tablica IO'!AX276*1)</f>
        <v>6.1812395063281182E-3</v>
      </c>
      <c r="AY42" s="222" cm="1">
        <f t="array" aca="1" ref="AY42" ca="1">'Tablica IO'!AY198*INDEX(Model!$C$93:$CA$93,Model!$A42) + IF(wplyw_cen_import_wlaczony,'Tablica IO'!AY276*INDEX(Model!$C$2:$CA$2,Model!$A42),'Tablica IO'!AY276*1)</f>
        <v>2.8282220814835704E-3</v>
      </c>
      <c r="AZ42" s="222" cm="1">
        <f t="array" aca="1" ref="AZ42" ca="1">'Tablica IO'!AZ198*INDEX(Model!$C$93:$CA$93,Model!$A42) + IF(wplyw_cen_import_wlaczony,'Tablica IO'!AZ276*INDEX(Model!$C$2:$CA$2,Model!$A42),'Tablica IO'!AZ276*1)</f>
        <v>4.7049623545567562E-4</v>
      </c>
      <c r="BA42" s="222" cm="1">
        <f t="array" aca="1" ref="BA42" ca="1">'Tablica IO'!BA198*INDEX(Model!$C$93:$CA$93,Model!$A42) + IF(wplyw_cen_import_wlaczony,'Tablica IO'!BA276*INDEX(Model!$C$2:$CA$2,Model!$A42),'Tablica IO'!BA276*1)</f>
        <v>1.9559646061435192E-3</v>
      </c>
      <c r="BB42" s="222" cm="1">
        <f t="array" aca="1" ref="BB42" ca="1">'Tablica IO'!BB198*INDEX(Model!$C$93:$CA$93,Model!$A42) + IF(wplyw_cen_import_wlaczony,'Tablica IO'!BB276*INDEX(Model!$C$2:$CA$2,Model!$A42),'Tablica IO'!BB276*1)</f>
        <v>0.11616291040721827</v>
      </c>
      <c r="BC42" s="222" cm="1">
        <f t="array" aca="1" ref="BC42" ca="1">'Tablica IO'!BC198*INDEX(Model!$C$93:$CA$93,Model!$A42) + IF(wplyw_cen_import_wlaczony,'Tablica IO'!BC276*INDEX(Model!$C$2:$CA$2,Model!$A42),'Tablica IO'!BC276*1)</f>
        <v>3.0038473889181959E-3</v>
      </c>
      <c r="BD42" s="222" cm="1">
        <f t="array" aca="1" ref="BD42" ca="1">'Tablica IO'!BD198*INDEX(Model!$C$93:$CA$93,Model!$A42) + IF(wplyw_cen_import_wlaczony,'Tablica IO'!BD276*INDEX(Model!$C$2:$CA$2,Model!$A42),'Tablica IO'!BD276*1)</f>
        <v>8.2050529701670899E-3</v>
      </c>
      <c r="BE42" s="222" cm="1">
        <f t="array" aca="1" ref="BE42" ca="1">'Tablica IO'!BE198*INDEX(Model!$C$93:$CA$93,Model!$A42) + IF(wplyw_cen_import_wlaczony,'Tablica IO'!BE276*INDEX(Model!$C$2:$CA$2,Model!$A42),'Tablica IO'!BE276*1)</f>
        <v>4.4957108225336505E-3</v>
      </c>
      <c r="BF42" s="222" cm="1">
        <f t="array" aca="1" ref="BF42" ca="1">'Tablica IO'!BF198*INDEX(Model!$C$93:$CA$93,Model!$A42) + IF(wplyw_cen_import_wlaczony,'Tablica IO'!BF276*INDEX(Model!$C$2:$CA$2,Model!$A42),'Tablica IO'!BF276*1)</f>
        <v>1.7567038613520828E-2</v>
      </c>
      <c r="BG42" s="222" cm="1">
        <f t="array" aca="1" ref="BG42" ca="1">'Tablica IO'!BG198*INDEX(Model!$C$93:$CA$93,Model!$A42) + IF(wplyw_cen_import_wlaczony,'Tablica IO'!BG276*INDEX(Model!$C$2:$CA$2,Model!$A42),'Tablica IO'!BG276*1)</f>
        <v>5.3962893807443981E-3</v>
      </c>
      <c r="BH42" s="222" cm="1">
        <f t="array" aca="1" ref="BH42" ca="1">'Tablica IO'!BH198*INDEX(Model!$C$93:$CA$93,Model!$A42) + IF(wplyw_cen_import_wlaczony,'Tablica IO'!BH276*INDEX(Model!$C$2:$CA$2,Model!$A42),'Tablica IO'!BH276*1)</f>
        <v>3.0074728584773614E-3</v>
      </c>
      <c r="BI42" s="222" cm="1">
        <f t="array" aca="1" ref="BI42" ca="1">'Tablica IO'!BI198*INDEX(Model!$C$93:$CA$93,Model!$A42) + IF(wplyw_cen_import_wlaczony,'Tablica IO'!BI276*INDEX(Model!$C$2:$CA$2,Model!$A42),'Tablica IO'!BI276*1)</f>
        <v>1.8051116534501376E-2</v>
      </c>
      <c r="BJ42" s="222" cm="1">
        <f t="array" aca="1" ref="BJ42" ca="1">'Tablica IO'!BJ198*INDEX(Model!$C$93:$CA$93,Model!$A42) + IF(wplyw_cen_import_wlaczony,'Tablica IO'!BJ276*INDEX(Model!$C$2:$CA$2,Model!$A42),'Tablica IO'!BJ276*1)</f>
        <v>1.1149245108031773E-2</v>
      </c>
      <c r="BK42" s="222" cm="1">
        <f t="array" aca="1" ref="BK42" ca="1">'Tablica IO'!BK198*INDEX(Model!$C$93:$CA$93,Model!$A42) + IF(wplyw_cen_import_wlaczony,'Tablica IO'!BK276*INDEX(Model!$C$2:$CA$2,Model!$A42),'Tablica IO'!BK276*1)</f>
        <v>1.1327415157753515E-3</v>
      </c>
      <c r="BL42" s="222" cm="1">
        <f t="array" aca="1" ref="BL42" ca="1">'Tablica IO'!BL198*INDEX(Model!$C$93:$CA$93,Model!$A42) + IF(wplyw_cen_import_wlaczony,'Tablica IO'!BL276*INDEX(Model!$C$2:$CA$2,Model!$A42),'Tablica IO'!BL276*1)</f>
        <v>1.5086077186115003E-3</v>
      </c>
      <c r="BM42" s="222" cm="1">
        <f t="array" aca="1" ref="BM42" ca="1">'Tablica IO'!BM198*INDEX(Model!$C$93:$CA$93,Model!$A42) + IF(wplyw_cen_import_wlaczony,'Tablica IO'!BM276*INDEX(Model!$C$2:$CA$2,Model!$A42),'Tablica IO'!BM276*1)</f>
        <v>3.7601452835232902E-3</v>
      </c>
      <c r="BN42" s="222" cm="1">
        <f t="array" aca="1" ref="BN42" ca="1">'Tablica IO'!BN198*INDEX(Model!$C$93:$CA$93,Model!$A42) + IF(wplyw_cen_import_wlaczony,'Tablica IO'!BN276*INDEX(Model!$C$2:$CA$2,Model!$A42),'Tablica IO'!BN276*1)</f>
        <v>8.7987846723638335E-3</v>
      </c>
      <c r="BO42" s="222" cm="1">
        <f t="array" aca="1" ref="BO42" ca="1">'Tablica IO'!BO198*INDEX(Model!$C$93:$CA$93,Model!$A42) + IF(wplyw_cen_import_wlaczony,'Tablica IO'!BO276*INDEX(Model!$C$2:$CA$2,Model!$A42),'Tablica IO'!BO276*1)</f>
        <v>1.3895894718733431E-2</v>
      </c>
      <c r="BP42" s="222" cm="1">
        <f t="array" aca="1" ref="BP42" ca="1">'Tablica IO'!BP198*INDEX(Model!$C$93:$CA$93,Model!$A42) + IF(wplyw_cen_import_wlaczony,'Tablica IO'!BP276*INDEX(Model!$C$2:$CA$2,Model!$A42),'Tablica IO'!BP276*1)</f>
        <v>1.2717939191073977E-2</v>
      </c>
      <c r="BQ42" s="222" cm="1">
        <f t="array" aca="1" ref="BQ42" ca="1">'Tablica IO'!BQ198*INDEX(Model!$C$93:$CA$93,Model!$A42) + IF(wplyw_cen_import_wlaczony,'Tablica IO'!BQ276*INDEX(Model!$C$2:$CA$2,Model!$A42),'Tablica IO'!BQ276*1)</f>
        <v>2.2532510807866401E-2</v>
      </c>
      <c r="BR42" s="222" cm="1">
        <f t="array" aca="1" ref="BR42" ca="1">'Tablica IO'!BR198*INDEX(Model!$C$93:$CA$93,Model!$A42) + IF(wplyw_cen_import_wlaczony,'Tablica IO'!BR276*INDEX(Model!$C$2:$CA$2,Model!$A42),'Tablica IO'!BR276*1)</f>
        <v>1.6215547030172882E-2</v>
      </c>
      <c r="BS42" s="222" cm="1">
        <f t="array" aca="1" ref="BS42" ca="1">'Tablica IO'!BS198*INDEX(Model!$C$93:$CA$93,Model!$A42) + IF(wplyw_cen_import_wlaczony,'Tablica IO'!BS276*INDEX(Model!$C$2:$CA$2,Model!$A42),'Tablica IO'!BS276*1)</f>
        <v>1.8822683154042397E-2</v>
      </c>
      <c r="BT42" s="222" cm="1">
        <f t="array" aca="1" ref="BT42" ca="1">'Tablica IO'!BT198*INDEX(Model!$C$93:$CA$93,Model!$A42) + IF(wplyw_cen_import_wlaczony,'Tablica IO'!BT276*INDEX(Model!$C$2:$CA$2,Model!$A42),'Tablica IO'!BT276*1)</f>
        <v>2.3329472929369141E-2</v>
      </c>
      <c r="BU42" s="222" cm="1">
        <f t="array" aca="1" ref="BU42" ca="1">'Tablica IO'!BU198*INDEX(Model!$C$93:$CA$93,Model!$A42) + IF(wplyw_cen_import_wlaczony,'Tablica IO'!BU276*INDEX(Model!$C$2:$CA$2,Model!$A42),'Tablica IO'!BU276*1)</f>
        <v>2.3552638314687527E-2</v>
      </c>
      <c r="BV42" s="222" cm="1">
        <f t="array" aca="1" ref="BV42" ca="1">'Tablica IO'!BV198*INDEX(Model!$C$93:$CA$93,Model!$A42) + IF(wplyw_cen_import_wlaczony,'Tablica IO'!BV276*INDEX(Model!$C$2:$CA$2,Model!$A42),'Tablica IO'!BV276*1)</f>
        <v>1.1787578362585106E-2</v>
      </c>
      <c r="BW42" s="222" cm="1">
        <f t="array" aca="1" ref="BW42" ca="1">'Tablica IO'!BW198*INDEX(Model!$C$93:$CA$93,Model!$A42) + IF(wplyw_cen_import_wlaczony,'Tablica IO'!BW276*INDEX(Model!$C$2:$CA$2,Model!$A42),'Tablica IO'!BW276*1)</f>
        <v>6.9141955579124822E-2</v>
      </c>
      <c r="BX42" s="222" cm="1">
        <f t="array" aca="1" ref="BX42" ca="1">'Tablica IO'!BX198*INDEX(Model!$C$93:$CA$93,Model!$A42) + IF(wplyw_cen_import_wlaczony,'Tablica IO'!BX276*INDEX(Model!$C$2:$CA$2,Model!$A42),'Tablica IO'!BX276*1)</f>
        <v>3.2449710172636516E-3</v>
      </c>
      <c r="BY42" s="222" cm="1">
        <f t="array" aca="1" ref="BY42" ca="1">'Tablica IO'!BY198*INDEX(Model!$C$93:$CA$93,Model!$A42) + IF(wplyw_cen_import_wlaczony,'Tablica IO'!BY276*INDEX(Model!$C$2:$CA$2,Model!$A42),'Tablica IO'!BY276*1)</f>
        <v>2.7903695191832697E-3</v>
      </c>
      <c r="BZ42" s="222" cm="1">
        <f t="array" aca="1" ref="BZ42" ca="1">'Tablica IO'!BZ198*INDEX(Model!$C$93:$CA$93,Model!$A42) + IF(wplyw_cen_import_wlaczony,'Tablica IO'!BZ276*INDEX(Model!$C$2:$CA$2,Model!$A42),'Tablica IO'!BZ276*1)</f>
        <v>1.2295173267646672E-2</v>
      </c>
      <c r="CA42" s="222" cm="1">
        <f t="array" aca="1" ref="CA42" ca="1">'Tablica IO'!CA198*INDEX(Model!$C$93:$CA$93,Model!$A42) + IF(wplyw_cen_import_wlaczony,'Tablica IO'!CA276*INDEX(Model!$C$2:$CA$2,Model!$A42),'Tablica IO'!CA276*1)</f>
        <v>0</v>
      </c>
      <c r="CB42" s="247">
        <f ca="1">'Tablica IO'!CD198*INDEX(Model!$C$93:$CA$93,Model!$A42)+'Tablica IO'!CD276*INDEX(Model!$C$2:$CA$2,Model!$A42)</f>
        <v>4.6418937407229015E-2</v>
      </c>
      <c r="CC42" s="188">
        <f ca="1">'Tablica IO'!CE198*INDEX(Model!$C$93:$CA$93,Model!$A42)+'Tablica IO'!CE276*INDEX(Model!$C$2:$CA$2,Model!$A42)</f>
        <v>1.7030869899222525E-4</v>
      </c>
      <c r="CD42" s="188">
        <f ca="1">'Tablica IO'!CF198*INDEX(Model!$C$93:$CA$93,Model!$A42)+'Tablica IO'!CF276*INDEX(Model!$C$2:$CA$2,Model!$A42)</f>
        <v>6.6070312774243849E-4</v>
      </c>
      <c r="CE42" s="189">
        <f ca="1">'Tablica IO'!CG198*INDEX(Model!$C$93:$CA$93,Model!$A42)+'Tablica IO'!CG276*INDEX(Model!$C$2:$CA$2,Model!$A42)</f>
        <v>2.7673501409423472E-3</v>
      </c>
    </row>
    <row r="43" spans="1:83" x14ac:dyDescent="0.25">
      <c r="A43" s="164">
        <v>31</v>
      </c>
      <c r="B43" s="172" t="s">
        <v>30</v>
      </c>
      <c r="C43" s="221" cm="1">
        <f t="array" aca="1" ref="C43" ca="1">'Tablica IO'!C199*INDEX(Model!$C$93:$CA$93,Model!$A43) + IF(wplyw_cen_import_wlaczony,'Tablica IO'!C277*INDEX(Model!$C$2:$CA$2,Model!$A43),'Tablica IO'!C277*1)</f>
        <v>1.1729133319242338E-3</v>
      </c>
      <c r="D43" s="222" cm="1">
        <f t="array" aca="1" ref="D43" ca="1">'Tablica IO'!D199*INDEX(Model!$C$93:$CA$93,Model!$A43) + IF(wplyw_cen_import_wlaczony,'Tablica IO'!D277*INDEX(Model!$C$2:$CA$2,Model!$A43),'Tablica IO'!D277*1)</f>
        <v>2.9352548419188051E-3</v>
      </c>
      <c r="E43" s="222" cm="1">
        <f t="array" aca="1" ref="E43" ca="1">'Tablica IO'!E199*INDEX(Model!$C$93:$CA$93,Model!$A43) + IF(wplyw_cen_import_wlaczony,'Tablica IO'!E277*INDEX(Model!$C$2:$CA$2,Model!$A43),'Tablica IO'!E277*1)</f>
        <v>8.2272754805945338E-4</v>
      </c>
      <c r="F43" s="222" cm="1">
        <f t="array" aca="1" ref="F43" ca="1">'Tablica IO'!F199*INDEX(Model!$C$93:$CA$93,Model!$A43) + IF(wplyw_cen_import_wlaczony,'Tablica IO'!F277*INDEX(Model!$C$2:$CA$2,Model!$A43),'Tablica IO'!F277*1)</f>
        <v>2.5294213549841263E-3</v>
      </c>
      <c r="G43" s="222" cm="1">
        <f t="array" aca="1" ref="G43" ca="1">'Tablica IO'!G199*INDEX(Model!$C$93:$CA$93,Model!$A43) + IF(wplyw_cen_import_wlaczony,'Tablica IO'!G277*INDEX(Model!$C$2:$CA$2,Model!$A43),'Tablica IO'!G277*1)</f>
        <v>1.2411466898318037E-3</v>
      </c>
      <c r="H43" s="222" cm="1">
        <f t="array" aca="1" ref="H43" ca="1">'Tablica IO'!H199*INDEX(Model!$C$93:$CA$93,Model!$A43) + IF(wplyw_cen_import_wlaczony,'Tablica IO'!H277*INDEX(Model!$C$2:$CA$2,Model!$A43),'Tablica IO'!H277*1)</f>
        <v>2.0452444838882952E-3</v>
      </c>
      <c r="I43" s="222" cm="1">
        <f t="array" aca="1" ref="I43" ca="1">'Tablica IO'!I199*INDEX(Model!$C$93:$CA$93,Model!$A43) + IF(wplyw_cen_import_wlaczony,'Tablica IO'!I277*INDEX(Model!$C$2:$CA$2,Model!$A43),'Tablica IO'!I277*1)</f>
        <v>1.6957484978422409E-3</v>
      </c>
      <c r="J43" s="222" cm="1">
        <f t="array" aca="1" ref="J43" ca="1">'Tablica IO'!J199*INDEX(Model!$C$93:$CA$93,Model!$A43) + IF(wplyw_cen_import_wlaczony,'Tablica IO'!J277*INDEX(Model!$C$2:$CA$2,Model!$A43),'Tablica IO'!J277*1)</f>
        <v>7.5854203318770114E-4</v>
      </c>
      <c r="K43" s="222" cm="1">
        <f t="array" aca="1" ref="K43" ca="1">'Tablica IO'!K199*INDEX(Model!$C$93:$CA$93,Model!$A43) + IF(wplyw_cen_import_wlaczony,'Tablica IO'!K277*INDEX(Model!$C$2:$CA$2,Model!$A43),'Tablica IO'!K277*1)</f>
        <v>2.9119615796993677E-3</v>
      </c>
      <c r="L43" s="222" cm="1">
        <f t="array" aca="1" ref="L43" ca="1">'Tablica IO'!L199*INDEX(Model!$C$93:$CA$93,Model!$A43) + IF(wplyw_cen_import_wlaczony,'Tablica IO'!L277*INDEX(Model!$C$2:$CA$2,Model!$A43),'Tablica IO'!L277*1)</f>
        <v>1.4009027547555179E-3</v>
      </c>
      <c r="M43" s="222" cm="1">
        <f t="array" aca="1" ref="M43" ca="1">'Tablica IO'!M199*INDEX(Model!$C$93:$CA$93,Model!$A43) + IF(wplyw_cen_import_wlaczony,'Tablica IO'!M277*INDEX(Model!$C$2:$CA$2,Model!$A43),'Tablica IO'!M277*1)</f>
        <v>2.8472683707531561E-3</v>
      </c>
      <c r="N43" s="222" cm="1">
        <f t="array" aca="1" ref="N43" ca="1">'Tablica IO'!N199*INDEX(Model!$C$93:$CA$93,Model!$A43) + IF(wplyw_cen_import_wlaczony,'Tablica IO'!N277*INDEX(Model!$C$2:$CA$2,Model!$A43),'Tablica IO'!N277*1)</f>
        <v>7.961772171715336E-4</v>
      </c>
      <c r="O43" s="222" cm="1">
        <f t="array" aca="1" ref="O43" ca="1">'Tablica IO'!O199*INDEX(Model!$C$93:$CA$93,Model!$A43) + IF(wplyw_cen_import_wlaczony,'Tablica IO'!O277*INDEX(Model!$C$2:$CA$2,Model!$A43),'Tablica IO'!O277*1)</f>
        <v>1.2622765696011027E-3</v>
      </c>
      <c r="P43" s="222" cm="1">
        <f t="array" aca="1" ref="P43" ca="1">'Tablica IO'!P199*INDEX(Model!$C$93:$CA$93,Model!$A43) + IF(wplyw_cen_import_wlaczony,'Tablica IO'!P277*INDEX(Model!$C$2:$CA$2,Model!$A43),'Tablica IO'!P277*1)</f>
        <v>2.3999065061621984E-3</v>
      </c>
      <c r="Q43" s="222" cm="1">
        <f t="array" aca="1" ref="Q43" ca="1">'Tablica IO'!Q199*INDEX(Model!$C$93:$CA$93,Model!$A43) + IF(wplyw_cen_import_wlaczony,'Tablica IO'!Q277*INDEX(Model!$C$2:$CA$2,Model!$A43),'Tablica IO'!Q277*1)</f>
        <v>2.8494534526420258E-4</v>
      </c>
      <c r="R43" s="222" cm="1">
        <f t="array" aca="1" ref="R43" ca="1">'Tablica IO'!R199*INDEX(Model!$C$93:$CA$93,Model!$A43) + IF(wplyw_cen_import_wlaczony,'Tablica IO'!R277*INDEX(Model!$C$2:$CA$2,Model!$A43),'Tablica IO'!R277*1)</f>
        <v>1.8523867917890737E-3</v>
      </c>
      <c r="S43" s="222" cm="1">
        <f t="array" aca="1" ref="S43" ca="1">'Tablica IO'!S199*INDEX(Model!$C$93:$CA$93,Model!$A43) + IF(wplyw_cen_import_wlaczony,'Tablica IO'!S277*INDEX(Model!$C$2:$CA$2,Model!$A43),'Tablica IO'!S277*1)</f>
        <v>2.1348591123243723E-3</v>
      </c>
      <c r="T43" s="222" cm="1">
        <f t="array" aca="1" ref="T43" ca="1">'Tablica IO'!T199*INDEX(Model!$C$93:$CA$93,Model!$A43) + IF(wplyw_cen_import_wlaczony,'Tablica IO'!T277*INDEX(Model!$C$2:$CA$2,Model!$A43),'Tablica IO'!T277*1)</f>
        <v>1.2082406399127948E-3</v>
      </c>
      <c r="U43" s="222" cm="1">
        <f t="array" aca="1" ref="U43" ca="1">'Tablica IO'!U199*INDEX(Model!$C$93:$CA$93,Model!$A43) + IF(wplyw_cen_import_wlaczony,'Tablica IO'!U277*INDEX(Model!$C$2:$CA$2,Model!$A43),'Tablica IO'!U277*1)</f>
        <v>2.1399478627606907E-3</v>
      </c>
      <c r="V43" s="222" cm="1">
        <f t="array" aca="1" ref="V43" ca="1">'Tablica IO'!V199*INDEX(Model!$C$93:$CA$93,Model!$A43) + IF(wplyw_cen_import_wlaczony,'Tablica IO'!V277*INDEX(Model!$C$2:$CA$2,Model!$A43),'Tablica IO'!V277*1)</f>
        <v>2.4167066983825031E-3</v>
      </c>
      <c r="W43" s="222" cm="1">
        <f t="array" aca="1" ref="W43" ca="1">'Tablica IO'!W199*INDEX(Model!$C$93:$CA$93,Model!$A43) + IF(wplyw_cen_import_wlaczony,'Tablica IO'!W277*INDEX(Model!$C$2:$CA$2,Model!$A43),'Tablica IO'!W277*1)</f>
        <v>1.6540901031589922E-3</v>
      </c>
      <c r="X43" s="222" cm="1">
        <f t="array" aca="1" ref="X43" ca="1">'Tablica IO'!X199*INDEX(Model!$C$93:$CA$93,Model!$A43) + IF(wplyw_cen_import_wlaczony,'Tablica IO'!X277*INDEX(Model!$C$2:$CA$2,Model!$A43),'Tablica IO'!X277*1)</f>
        <v>9.5995170620895417E-4</v>
      </c>
      <c r="Y43" s="222" cm="1">
        <f t="array" aca="1" ref="Y43" ca="1">'Tablica IO'!Y199*INDEX(Model!$C$93:$CA$93,Model!$A43) + IF(wplyw_cen_import_wlaczony,'Tablica IO'!Y277*INDEX(Model!$C$2:$CA$2,Model!$A43),'Tablica IO'!Y277*1)</f>
        <v>9.4971497779071552E-4</v>
      </c>
      <c r="Z43" s="222" cm="1">
        <f t="array" aca="1" ref="Z43" ca="1">'Tablica IO'!Z199*INDEX(Model!$C$93:$CA$93,Model!$A43) + IF(wplyw_cen_import_wlaczony,'Tablica IO'!Z277*INDEX(Model!$C$2:$CA$2,Model!$A43),'Tablica IO'!Z277*1)</f>
        <v>1.7560377377726305E-3</v>
      </c>
      <c r="AA43" s="222" cm="1">
        <f t="array" aca="1" ref="AA43" ca="1">'Tablica IO'!AA199*INDEX(Model!$C$93:$CA$93,Model!$A43) + IF(wplyw_cen_import_wlaczony,'Tablica IO'!AA277*INDEX(Model!$C$2:$CA$2,Model!$A43),'Tablica IO'!AA277*1)</f>
        <v>1.1642792056062023E-3</v>
      </c>
      <c r="AB43" s="222" cm="1">
        <f t="array" aca="1" ref="AB43" ca="1">'Tablica IO'!AB199*INDEX(Model!$C$93:$CA$93,Model!$A43) + IF(wplyw_cen_import_wlaczony,'Tablica IO'!AB277*INDEX(Model!$C$2:$CA$2,Model!$A43),'Tablica IO'!AB277*1)</f>
        <v>1.525508903595225E-3</v>
      </c>
      <c r="AC43" s="222" cm="1">
        <f t="array" aca="1" ref="AC43" ca="1">'Tablica IO'!AC199*INDEX(Model!$C$93:$CA$93,Model!$A43) + IF(wplyw_cen_import_wlaczony,'Tablica IO'!AC277*INDEX(Model!$C$2:$CA$2,Model!$A43),'Tablica IO'!AC277*1)</f>
        <v>9.0587317176725967E-4</v>
      </c>
      <c r="AD43" s="222" cm="1">
        <f t="array" aca="1" ref="AD43" ca="1">'Tablica IO'!AD199*INDEX(Model!$C$93:$CA$93,Model!$A43) + IF(wplyw_cen_import_wlaczony,'Tablica IO'!AD277*INDEX(Model!$C$2:$CA$2,Model!$A43),'Tablica IO'!AD277*1)</f>
        <v>6.0268627044851228E-4</v>
      </c>
      <c r="AE43" s="222" cm="1">
        <f t="array" aca="1" ref="AE43" ca="1">'Tablica IO'!AE199*INDEX(Model!$C$93:$CA$93,Model!$A43) + IF(wplyw_cen_import_wlaczony,'Tablica IO'!AE277*INDEX(Model!$C$2:$CA$2,Model!$A43),'Tablica IO'!AE277*1)</f>
        <v>7.3700550534661785E-4</v>
      </c>
      <c r="AF43" s="222" cm="1">
        <f t="array" aca="1" ref="AF43" ca="1">'Tablica IO'!AF199*INDEX(Model!$C$93:$CA$93,Model!$A43) + IF(wplyw_cen_import_wlaczony,'Tablica IO'!AF277*INDEX(Model!$C$2:$CA$2,Model!$A43),'Tablica IO'!AF277*1)</f>
        <v>1.7917311669890974E-3</v>
      </c>
      <c r="AG43" s="222" cm="1">
        <f t="array" aca="1" ref="AG43" ca="1">'Tablica IO'!AG199*INDEX(Model!$C$93:$CA$93,Model!$A43) + IF(wplyw_cen_import_wlaczony,'Tablica IO'!AG277*INDEX(Model!$C$2:$CA$2,Model!$A43),'Tablica IO'!AG277*1)</f>
        <v>4.0303209178651003E-2</v>
      </c>
      <c r="AH43" s="222" cm="1">
        <f t="array" aca="1" ref="AH43" ca="1">'Tablica IO'!AH199*INDEX(Model!$C$93:$CA$93,Model!$A43) + IF(wplyw_cen_import_wlaczony,'Tablica IO'!AH277*INDEX(Model!$C$2:$CA$2,Model!$A43),'Tablica IO'!AH277*1)</f>
        <v>1.4837928388612362E-3</v>
      </c>
      <c r="AI43" s="222" cm="1">
        <f t="array" aca="1" ref="AI43" ca="1">'Tablica IO'!AI199*INDEX(Model!$C$93:$CA$93,Model!$A43) + IF(wplyw_cen_import_wlaczony,'Tablica IO'!AI277*INDEX(Model!$C$2:$CA$2,Model!$A43),'Tablica IO'!AI277*1)</f>
        <v>2.2469776618023681E-2</v>
      </c>
      <c r="AJ43" s="222" cm="1">
        <f t="array" aca="1" ref="AJ43" ca="1">'Tablica IO'!AJ199*INDEX(Model!$C$93:$CA$93,Model!$A43) + IF(wplyw_cen_import_wlaczony,'Tablica IO'!AJ277*INDEX(Model!$C$2:$CA$2,Model!$A43),'Tablica IO'!AJ277*1)</f>
        <v>6.1912051171995571E-4</v>
      </c>
      <c r="AK43" s="222" cm="1">
        <f t="array" aca="1" ref="AK43" ca="1">'Tablica IO'!AK199*INDEX(Model!$C$93:$CA$93,Model!$A43) + IF(wplyw_cen_import_wlaczony,'Tablica IO'!AK277*INDEX(Model!$C$2:$CA$2,Model!$A43),'Tablica IO'!AK277*1)</f>
        <v>1.5392536981632798E-3</v>
      </c>
      <c r="AL43" s="222" cm="1">
        <f t="array" aca="1" ref="AL43" ca="1">'Tablica IO'!AL199*INDEX(Model!$C$93:$CA$93,Model!$A43) + IF(wplyw_cen_import_wlaczony,'Tablica IO'!AL277*INDEX(Model!$C$2:$CA$2,Model!$A43),'Tablica IO'!AL277*1)</f>
        <v>9.3602023265489944E-4</v>
      </c>
      <c r="AM43" s="222" cm="1">
        <f t="array" aca="1" ref="AM43" ca="1">'Tablica IO'!AM199*INDEX(Model!$C$93:$CA$93,Model!$A43) + IF(wplyw_cen_import_wlaczony,'Tablica IO'!AM277*INDEX(Model!$C$2:$CA$2,Model!$A43),'Tablica IO'!AM277*1)</f>
        <v>7.2774384414237892E-4</v>
      </c>
      <c r="AN43" s="222" cm="1">
        <f t="array" aca="1" ref="AN43" ca="1">'Tablica IO'!AN199*INDEX(Model!$C$93:$CA$93,Model!$A43) + IF(wplyw_cen_import_wlaczony,'Tablica IO'!AN277*INDEX(Model!$C$2:$CA$2,Model!$A43),'Tablica IO'!AN277*1)</f>
        <v>2.10389322393525E-3</v>
      </c>
      <c r="AO43" s="222" cm="1">
        <f t="array" aca="1" ref="AO43" ca="1">'Tablica IO'!AO199*INDEX(Model!$C$93:$CA$93,Model!$A43) + IF(wplyw_cen_import_wlaczony,'Tablica IO'!AO277*INDEX(Model!$C$2:$CA$2,Model!$A43),'Tablica IO'!AO277*1)</f>
        <v>3.4705849305949918E-4</v>
      </c>
      <c r="AP43" s="222" cm="1">
        <f t="array" aca="1" ref="AP43" ca="1">'Tablica IO'!AP199*INDEX(Model!$C$93:$CA$93,Model!$A43) + IF(wplyw_cen_import_wlaczony,'Tablica IO'!AP277*INDEX(Model!$C$2:$CA$2,Model!$A43),'Tablica IO'!AP277*1)</f>
        <v>6.4493852370386799E-4</v>
      </c>
      <c r="AQ43" s="222" cm="1">
        <f t="array" aca="1" ref="AQ43" ca="1">'Tablica IO'!AQ199*INDEX(Model!$C$93:$CA$93,Model!$A43) + IF(wplyw_cen_import_wlaczony,'Tablica IO'!AQ277*INDEX(Model!$C$2:$CA$2,Model!$A43),'Tablica IO'!AQ277*1)</f>
        <v>1.0573537443104276E-2</v>
      </c>
      <c r="AR43" s="222" cm="1">
        <f t="array" aca="1" ref="AR43" ca="1">'Tablica IO'!AR199*INDEX(Model!$C$93:$CA$93,Model!$A43) + IF(wplyw_cen_import_wlaczony,'Tablica IO'!AR277*INDEX(Model!$C$2:$CA$2,Model!$A43),'Tablica IO'!AR277*1)</f>
        <v>4.3773785003900631E-3</v>
      </c>
      <c r="AS43" s="222" cm="1">
        <f t="array" aca="1" ref="AS43" ca="1">'Tablica IO'!AS199*INDEX(Model!$C$93:$CA$93,Model!$A43) + IF(wplyw_cen_import_wlaczony,'Tablica IO'!AS277*INDEX(Model!$C$2:$CA$2,Model!$A43),'Tablica IO'!AS277*1)</f>
        <v>7.6130667150777192E-4</v>
      </c>
      <c r="AT43" s="222" cm="1">
        <f t="array" aca="1" ref="AT43" ca="1">'Tablica IO'!AT199*INDEX(Model!$C$93:$CA$93,Model!$A43) + IF(wplyw_cen_import_wlaczony,'Tablica IO'!AT277*INDEX(Model!$C$2:$CA$2,Model!$A43),'Tablica IO'!AT277*1)</f>
        <v>2.9484174943351475E-3</v>
      </c>
      <c r="AU43" s="222" cm="1">
        <f t="array" aca="1" ref="AU43" ca="1">'Tablica IO'!AU199*INDEX(Model!$C$93:$CA$93,Model!$A43) + IF(wplyw_cen_import_wlaczony,'Tablica IO'!AU277*INDEX(Model!$C$2:$CA$2,Model!$A43),'Tablica IO'!AU277*1)</f>
        <v>1.8922335093132672E-4</v>
      </c>
      <c r="AV43" s="222" cm="1">
        <f t="array" aca="1" ref="AV43" ca="1">'Tablica IO'!AV199*INDEX(Model!$C$93:$CA$93,Model!$A43) + IF(wplyw_cen_import_wlaczony,'Tablica IO'!AV277*INDEX(Model!$C$2:$CA$2,Model!$A43),'Tablica IO'!AV277*1)</f>
        <v>6.6099327968016023E-4</v>
      </c>
      <c r="AW43" s="222" cm="1">
        <f t="array" aca="1" ref="AW43" ca="1">'Tablica IO'!AW199*INDEX(Model!$C$93:$CA$93,Model!$A43) + IF(wplyw_cen_import_wlaczony,'Tablica IO'!AW277*INDEX(Model!$C$2:$CA$2,Model!$A43),'Tablica IO'!AW277*1)</f>
        <v>9.8523325535724128E-4</v>
      </c>
      <c r="AX43" s="222" cm="1">
        <f t="array" aca="1" ref="AX43" ca="1">'Tablica IO'!AX199*INDEX(Model!$C$93:$CA$93,Model!$A43) + IF(wplyw_cen_import_wlaczony,'Tablica IO'!AX277*INDEX(Model!$C$2:$CA$2,Model!$A43),'Tablica IO'!AX277*1)</f>
        <v>5.3719963033663123E-4</v>
      </c>
      <c r="AY43" s="222" cm="1">
        <f t="array" aca="1" ref="AY43" ca="1">'Tablica IO'!AY199*INDEX(Model!$C$93:$CA$93,Model!$A43) + IF(wplyw_cen_import_wlaczony,'Tablica IO'!AY277*INDEX(Model!$C$2:$CA$2,Model!$A43),'Tablica IO'!AY277*1)</f>
        <v>8.9734866576967709E-4</v>
      </c>
      <c r="AZ43" s="222" cm="1">
        <f t="array" aca="1" ref="AZ43" ca="1">'Tablica IO'!AZ199*INDEX(Model!$C$93:$CA$93,Model!$A43) + IF(wplyw_cen_import_wlaczony,'Tablica IO'!AZ277*INDEX(Model!$C$2:$CA$2,Model!$A43),'Tablica IO'!AZ277*1)</f>
        <v>1.5202225453892948E-3</v>
      </c>
      <c r="BA43" s="222" cm="1">
        <f t="array" aca="1" ref="BA43" ca="1">'Tablica IO'!BA199*INDEX(Model!$C$93:$CA$93,Model!$A43) + IF(wplyw_cen_import_wlaczony,'Tablica IO'!BA277*INDEX(Model!$C$2:$CA$2,Model!$A43),'Tablica IO'!BA277*1)</f>
        <v>1.0493284566705352E-4</v>
      </c>
      <c r="BB43" s="222" cm="1">
        <f t="array" aca="1" ref="BB43" ca="1">'Tablica IO'!BB199*INDEX(Model!$C$93:$CA$93,Model!$A43) + IF(wplyw_cen_import_wlaczony,'Tablica IO'!BB277*INDEX(Model!$C$2:$CA$2,Model!$A43),'Tablica IO'!BB277*1)</f>
        <v>1.3057306565757239E-2</v>
      </c>
      <c r="BC43" s="222" cm="1">
        <f t="array" aca="1" ref="BC43" ca="1">'Tablica IO'!BC199*INDEX(Model!$C$93:$CA$93,Model!$A43) + IF(wplyw_cen_import_wlaczony,'Tablica IO'!BC277*INDEX(Model!$C$2:$CA$2,Model!$A43),'Tablica IO'!BC277*1)</f>
        <v>2.7683915800113705E-4</v>
      </c>
      <c r="BD43" s="222" cm="1">
        <f t="array" aca="1" ref="BD43" ca="1">'Tablica IO'!BD199*INDEX(Model!$C$93:$CA$93,Model!$A43) + IF(wplyw_cen_import_wlaczony,'Tablica IO'!BD277*INDEX(Model!$C$2:$CA$2,Model!$A43),'Tablica IO'!BD277*1)</f>
        <v>1.101556875174086E-3</v>
      </c>
      <c r="BE43" s="222" cm="1">
        <f t="array" aca="1" ref="BE43" ca="1">'Tablica IO'!BE199*INDEX(Model!$C$93:$CA$93,Model!$A43) + IF(wplyw_cen_import_wlaczony,'Tablica IO'!BE277*INDEX(Model!$C$2:$CA$2,Model!$A43),'Tablica IO'!BE277*1)</f>
        <v>3.5244975846398532E-3</v>
      </c>
      <c r="BF43" s="222" cm="1">
        <f t="array" aca="1" ref="BF43" ca="1">'Tablica IO'!BF199*INDEX(Model!$C$93:$CA$93,Model!$A43) + IF(wplyw_cen_import_wlaczony,'Tablica IO'!BF277*INDEX(Model!$C$2:$CA$2,Model!$A43),'Tablica IO'!BF277*1)</f>
        <v>3.2803027777494891E-3</v>
      </c>
      <c r="BG43" s="222" cm="1">
        <f t="array" aca="1" ref="BG43" ca="1">'Tablica IO'!BG199*INDEX(Model!$C$93:$CA$93,Model!$A43) + IF(wplyw_cen_import_wlaczony,'Tablica IO'!BG277*INDEX(Model!$C$2:$CA$2,Model!$A43),'Tablica IO'!BG277*1)</f>
        <v>6.448847943191635E-5</v>
      </c>
      <c r="BH43" s="222" cm="1">
        <f t="array" aca="1" ref="BH43" ca="1">'Tablica IO'!BH199*INDEX(Model!$C$93:$CA$93,Model!$A43) + IF(wplyw_cen_import_wlaczony,'Tablica IO'!BH277*INDEX(Model!$C$2:$CA$2,Model!$A43),'Tablica IO'!BH277*1)</f>
        <v>2.6293078217162741E-4</v>
      </c>
      <c r="BI43" s="222" cm="1">
        <f t="array" aca="1" ref="BI43" ca="1">'Tablica IO'!BI199*INDEX(Model!$C$93:$CA$93,Model!$A43) + IF(wplyw_cen_import_wlaczony,'Tablica IO'!BI277*INDEX(Model!$C$2:$CA$2,Model!$A43),'Tablica IO'!BI277*1)</f>
        <v>9.3140266400101366E-5</v>
      </c>
      <c r="BJ43" s="222" cm="1">
        <f t="array" aca="1" ref="BJ43" ca="1">'Tablica IO'!BJ199*INDEX(Model!$C$93:$CA$93,Model!$A43) + IF(wplyw_cen_import_wlaczony,'Tablica IO'!BJ277*INDEX(Model!$C$2:$CA$2,Model!$A43),'Tablica IO'!BJ277*1)</f>
        <v>1.3065872206324055E-3</v>
      </c>
      <c r="BK43" s="222" cm="1">
        <f t="array" aca="1" ref="BK43" ca="1">'Tablica IO'!BK199*INDEX(Model!$C$93:$CA$93,Model!$A43) + IF(wplyw_cen_import_wlaczony,'Tablica IO'!BK277*INDEX(Model!$C$2:$CA$2,Model!$A43),'Tablica IO'!BK277*1)</f>
        <v>4.7458325665524918E-4</v>
      </c>
      <c r="BL43" s="222" cm="1">
        <f t="array" aca="1" ref="BL43" ca="1">'Tablica IO'!BL199*INDEX(Model!$C$93:$CA$93,Model!$A43) + IF(wplyw_cen_import_wlaczony,'Tablica IO'!BL277*INDEX(Model!$C$2:$CA$2,Model!$A43),'Tablica IO'!BL277*1)</f>
        <v>9.6719140665039343E-4</v>
      </c>
      <c r="BM43" s="222" cm="1">
        <f t="array" aca="1" ref="BM43" ca="1">'Tablica IO'!BM199*INDEX(Model!$C$93:$CA$93,Model!$A43) + IF(wplyw_cen_import_wlaczony,'Tablica IO'!BM277*INDEX(Model!$C$2:$CA$2,Model!$A43),'Tablica IO'!BM277*1)</f>
        <v>6.8105112713906112E-4</v>
      </c>
      <c r="BN43" s="222" cm="1">
        <f t="array" aca="1" ref="BN43" ca="1">'Tablica IO'!BN199*INDEX(Model!$C$93:$CA$93,Model!$A43) + IF(wplyw_cen_import_wlaczony,'Tablica IO'!BN277*INDEX(Model!$C$2:$CA$2,Model!$A43),'Tablica IO'!BN277*1)</f>
        <v>1.8661819784870678E-2</v>
      </c>
      <c r="BO43" s="222" cm="1">
        <f t="array" aca="1" ref="BO43" ca="1">'Tablica IO'!BO199*INDEX(Model!$C$93:$CA$93,Model!$A43) + IF(wplyw_cen_import_wlaczony,'Tablica IO'!BO277*INDEX(Model!$C$2:$CA$2,Model!$A43),'Tablica IO'!BO277*1)</f>
        <v>4.9743767566778451E-4</v>
      </c>
      <c r="BP43" s="222" cm="1">
        <f t="array" aca="1" ref="BP43" ca="1">'Tablica IO'!BP199*INDEX(Model!$C$93:$CA$93,Model!$A43) + IF(wplyw_cen_import_wlaczony,'Tablica IO'!BP277*INDEX(Model!$C$2:$CA$2,Model!$A43),'Tablica IO'!BP277*1)</f>
        <v>5.8343259631558919E-4</v>
      </c>
      <c r="BQ43" s="222" cm="1">
        <f t="array" aca="1" ref="BQ43" ca="1">'Tablica IO'!BQ199*INDEX(Model!$C$93:$CA$93,Model!$A43) + IF(wplyw_cen_import_wlaczony,'Tablica IO'!BQ277*INDEX(Model!$C$2:$CA$2,Model!$A43),'Tablica IO'!BQ277*1)</f>
        <v>1.0815149038365191E-3</v>
      </c>
      <c r="BR43" s="222" cm="1">
        <f t="array" aca="1" ref="BR43" ca="1">'Tablica IO'!BR199*INDEX(Model!$C$93:$CA$93,Model!$A43) + IF(wplyw_cen_import_wlaczony,'Tablica IO'!BR277*INDEX(Model!$C$2:$CA$2,Model!$A43),'Tablica IO'!BR277*1)</f>
        <v>1.2630224477287451E-3</v>
      </c>
      <c r="BS43" s="222" cm="1">
        <f t="array" aca="1" ref="BS43" ca="1">'Tablica IO'!BS199*INDEX(Model!$C$93:$CA$93,Model!$A43) + IF(wplyw_cen_import_wlaczony,'Tablica IO'!BS277*INDEX(Model!$C$2:$CA$2,Model!$A43),'Tablica IO'!BS277*1)</f>
        <v>2.5882826953671874E-3</v>
      </c>
      <c r="BT43" s="222" cm="1">
        <f t="array" aca="1" ref="BT43" ca="1">'Tablica IO'!BT199*INDEX(Model!$C$93:$CA$93,Model!$A43) + IF(wplyw_cen_import_wlaczony,'Tablica IO'!BT277*INDEX(Model!$C$2:$CA$2,Model!$A43),'Tablica IO'!BT277*1)</f>
        <v>2.7555711947684879E-3</v>
      </c>
      <c r="BU43" s="222" cm="1">
        <f t="array" aca="1" ref="BU43" ca="1">'Tablica IO'!BU199*INDEX(Model!$C$93:$CA$93,Model!$A43) + IF(wplyw_cen_import_wlaczony,'Tablica IO'!BU277*INDEX(Model!$C$2:$CA$2,Model!$A43),'Tablica IO'!BU277*1)</f>
        <v>2.9391919482907583E-3</v>
      </c>
      <c r="BV43" s="222" cm="1">
        <f t="array" aca="1" ref="BV43" ca="1">'Tablica IO'!BV199*INDEX(Model!$C$93:$CA$93,Model!$A43) + IF(wplyw_cen_import_wlaczony,'Tablica IO'!BV277*INDEX(Model!$C$2:$CA$2,Model!$A43),'Tablica IO'!BV277*1)</f>
        <v>5.3277913815407644E-4</v>
      </c>
      <c r="BW43" s="222" cm="1">
        <f t="array" aca="1" ref="BW43" ca="1">'Tablica IO'!BW199*INDEX(Model!$C$93:$CA$93,Model!$A43) + IF(wplyw_cen_import_wlaczony,'Tablica IO'!BW277*INDEX(Model!$C$2:$CA$2,Model!$A43),'Tablica IO'!BW277*1)</f>
        <v>3.55634293304391E-3</v>
      </c>
      <c r="BX43" s="222" cm="1">
        <f t="array" aca="1" ref="BX43" ca="1">'Tablica IO'!BX199*INDEX(Model!$C$93:$CA$93,Model!$A43) + IF(wplyw_cen_import_wlaczony,'Tablica IO'!BX277*INDEX(Model!$C$2:$CA$2,Model!$A43),'Tablica IO'!BX277*1)</f>
        <v>4.4908464616621622E-4</v>
      </c>
      <c r="BY43" s="222" cm="1">
        <f t="array" aca="1" ref="BY43" ca="1">'Tablica IO'!BY199*INDEX(Model!$C$93:$CA$93,Model!$A43) + IF(wplyw_cen_import_wlaczony,'Tablica IO'!BY277*INDEX(Model!$C$2:$CA$2,Model!$A43),'Tablica IO'!BY277*1)</f>
        <v>1.048465275659811E-4</v>
      </c>
      <c r="BZ43" s="222" cm="1">
        <f t="array" aca="1" ref="BZ43" ca="1">'Tablica IO'!BZ199*INDEX(Model!$C$93:$CA$93,Model!$A43) + IF(wplyw_cen_import_wlaczony,'Tablica IO'!BZ277*INDEX(Model!$C$2:$CA$2,Model!$A43),'Tablica IO'!BZ277*1)</f>
        <v>3.0279993712822718E-3</v>
      </c>
      <c r="CA43" s="222" cm="1">
        <f t="array" aca="1" ref="CA43" ca="1">'Tablica IO'!CA199*INDEX(Model!$C$93:$CA$93,Model!$A43) + IF(wplyw_cen_import_wlaczony,'Tablica IO'!CA277*INDEX(Model!$C$2:$CA$2,Model!$A43),'Tablica IO'!CA277*1)</f>
        <v>0</v>
      </c>
      <c r="CB43" s="247">
        <f ca="1">'Tablica IO'!CD199*INDEX(Model!$C$93:$CA$93,Model!$A43)+'Tablica IO'!CD277*INDEX(Model!$C$2:$CA$2,Model!$A43)</f>
        <v>4.7561177808935718E-4</v>
      </c>
      <c r="CC43" s="188">
        <f ca="1">'Tablica IO'!CE199*INDEX(Model!$C$93:$CA$93,Model!$A43)+'Tablica IO'!CE277*INDEX(Model!$C$2:$CA$2,Model!$A43)</f>
        <v>2.7678506750428329E-3</v>
      </c>
      <c r="CD43" s="188">
        <f ca="1">'Tablica IO'!CF199*INDEX(Model!$C$93:$CA$93,Model!$A43)+'Tablica IO'!CF277*INDEX(Model!$C$2:$CA$2,Model!$A43)</f>
        <v>-2.8693355805605906E-5</v>
      </c>
      <c r="CE43" s="189">
        <f ca="1">'Tablica IO'!CG199*INDEX(Model!$C$93:$CA$93,Model!$A43)+'Tablica IO'!CG277*INDEX(Model!$C$2:$CA$2,Model!$A43)</f>
        <v>0</v>
      </c>
    </row>
    <row r="44" spans="1:83" x14ac:dyDescent="0.25">
      <c r="A44" s="164">
        <v>32</v>
      </c>
      <c r="B44" s="172" t="s">
        <v>31</v>
      </c>
      <c r="C44" s="221" cm="1">
        <f t="array" aca="1" ref="C44" ca="1">'Tablica IO'!C200*INDEX(Model!$C$93:$CA$93,Model!$A44) + IF(wplyw_cen_import_wlaczony,'Tablica IO'!C278*INDEX(Model!$C$2:$CA$2,Model!$A44),'Tablica IO'!C278*1)</f>
        <v>8.1712938170127545E-6</v>
      </c>
      <c r="D44" s="222" cm="1">
        <f t="array" aca="1" ref="D44" ca="1">'Tablica IO'!D200*INDEX(Model!$C$93:$CA$93,Model!$A44) + IF(wplyw_cen_import_wlaczony,'Tablica IO'!D278*INDEX(Model!$C$2:$CA$2,Model!$A44),'Tablica IO'!D278*1)</f>
        <v>7.875663806452979E-4</v>
      </c>
      <c r="E44" s="222" cm="1">
        <f t="array" aca="1" ref="E44" ca="1">'Tablica IO'!E200*INDEX(Model!$C$93:$CA$93,Model!$A44) + IF(wplyw_cen_import_wlaczony,'Tablica IO'!E278*INDEX(Model!$C$2:$CA$2,Model!$A44),'Tablica IO'!E278*1)</f>
        <v>2.9482355450951279E-4</v>
      </c>
      <c r="F44" s="222" cm="1">
        <f t="array" aca="1" ref="F44" ca="1">'Tablica IO'!F200*INDEX(Model!$C$93:$CA$93,Model!$A44) + IF(wplyw_cen_import_wlaczony,'Tablica IO'!F278*INDEX(Model!$C$2:$CA$2,Model!$A44),'Tablica IO'!F278*1)</f>
        <v>4.4607234002653103E-3</v>
      </c>
      <c r="G44" s="222" cm="1">
        <f t="array" aca="1" ref="G44" ca="1">'Tablica IO'!G200*INDEX(Model!$C$93:$CA$93,Model!$A44) + IF(wplyw_cen_import_wlaczony,'Tablica IO'!G278*INDEX(Model!$C$2:$CA$2,Model!$A44),'Tablica IO'!G278*1)</f>
        <v>6.3941146327954959E-4</v>
      </c>
      <c r="H44" s="222" cm="1">
        <f t="array" aca="1" ref="H44" ca="1">'Tablica IO'!H200*INDEX(Model!$C$93:$CA$93,Model!$A44) + IF(wplyw_cen_import_wlaczony,'Tablica IO'!H278*INDEX(Model!$C$2:$CA$2,Model!$A44),'Tablica IO'!H278*1)</f>
        <v>9.8148432882635235E-4</v>
      </c>
      <c r="I44" s="222" cm="1">
        <f t="array" aca="1" ref="I44" ca="1">'Tablica IO'!I200*INDEX(Model!$C$93:$CA$93,Model!$A44) + IF(wplyw_cen_import_wlaczony,'Tablica IO'!I278*INDEX(Model!$C$2:$CA$2,Model!$A44),'Tablica IO'!I278*1)</f>
        <v>9.0038571618159501E-4</v>
      </c>
      <c r="J44" s="222" cm="1">
        <f t="array" aca="1" ref="J44" ca="1">'Tablica IO'!J200*INDEX(Model!$C$93:$CA$93,Model!$A44) + IF(wplyw_cen_import_wlaczony,'Tablica IO'!J278*INDEX(Model!$C$2:$CA$2,Model!$A44),'Tablica IO'!J278*1)</f>
        <v>7.6540103995379022E-5</v>
      </c>
      <c r="K44" s="222" cm="1">
        <f t="array" aca="1" ref="K44" ca="1">'Tablica IO'!K200*INDEX(Model!$C$93:$CA$93,Model!$A44) + IF(wplyw_cen_import_wlaczony,'Tablica IO'!K278*INDEX(Model!$C$2:$CA$2,Model!$A44),'Tablica IO'!K278*1)</f>
        <v>6.3956123467738546E-3</v>
      </c>
      <c r="L44" s="222" cm="1">
        <f t="array" aca="1" ref="L44" ca="1">'Tablica IO'!L200*INDEX(Model!$C$93:$CA$93,Model!$A44) + IF(wplyw_cen_import_wlaczony,'Tablica IO'!L278*INDEX(Model!$C$2:$CA$2,Model!$A44),'Tablica IO'!L278*1)</f>
        <v>5.3240247985028349E-4</v>
      </c>
      <c r="M44" s="222" cm="1">
        <f t="array" aca="1" ref="M44" ca="1">'Tablica IO'!M200*INDEX(Model!$C$93:$CA$93,Model!$A44) + IF(wplyw_cen_import_wlaczony,'Tablica IO'!M278*INDEX(Model!$C$2:$CA$2,Model!$A44),'Tablica IO'!M278*1)</f>
        <v>2.5941827357117662E-3</v>
      </c>
      <c r="N44" s="222" cm="1">
        <f t="array" aca="1" ref="N44" ca="1">'Tablica IO'!N200*INDEX(Model!$C$93:$CA$93,Model!$A44) + IF(wplyw_cen_import_wlaczony,'Tablica IO'!N278*INDEX(Model!$C$2:$CA$2,Model!$A44),'Tablica IO'!N278*1)</f>
        <v>9.0938337137824439E-4</v>
      </c>
      <c r="O44" s="222" cm="1">
        <f t="array" aca="1" ref="O44" ca="1">'Tablica IO'!O200*INDEX(Model!$C$93:$CA$93,Model!$A44) + IF(wplyw_cen_import_wlaczony,'Tablica IO'!O278*INDEX(Model!$C$2:$CA$2,Model!$A44),'Tablica IO'!O278*1)</f>
        <v>6.4365660401255048E-3</v>
      </c>
      <c r="P44" s="222" cm="1">
        <f t="array" aca="1" ref="P44" ca="1">'Tablica IO'!P200*INDEX(Model!$C$93:$CA$93,Model!$A44) + IF(wplyw_cen_import_wlaczony,'Tablica IO'!P278*INDEX(Model!$C$2:$CA$2,Model!$A44),'Tablica IO'!P278*1)</f>
        <v>5.8064511587702192E-4</v>
      </c>
      <c r="Q44" s="222" cm="1">
        <f t="array" aca="1" ref="Q44" ca="1">'Tablica IO'!Q200*INDEX(Model!$C$93:$CA$93,Model!$A44) + IF(wplyw_cen_import_wlaczony,'Tablica IO'!Q278*INDEX(Model!$C$2:$CA$2,Model!$A44),'Tablica IO'!Q278*1)</f>
        <v>6.9399405633102597E-4</v>
      </c>
      <c r="R44" s="222" cm="1">
        <f t="array" aca="1" ref="R44" ca="1">'Tablica IO'!R200*INDEX(Model!$C$93:$CA$93,Model!$A44) + IF(wplyw_cen_import_wlaczony,'Tablica IO'!R278*INDEX(Model!$C$2:$CA$2,Model!$A44),'Tablica IO'!R278*1)</f>
        <v>1.0843928556293965E-3</v>
      </c>
      <c r="S44" s="222" cm="1">
        <f t="array" aca="1" ref="S44" ca="1">'Tablica IO'!S200*INDEX(Model!$C$93:$CA$93,Model!$A44) + IF(wplyw_cen_import_wlaczony,'Tablica IO'!S278*INDEX(Model!$C$2:$CA$2,Model!$A44),'Tablica IO'!S278*1)</f>
        <v>9.2083953814139561E-4</v>
      </c>
      <c r="T44" s="222" cm="1">
        <f t="array" aca="1" ref="T44" ca="1">'Tablica IO'!T200*INDEX(Model!$C$93:$CA$93,Model!$A44) + IF(wplyw_cen_import_wlaczony,'Tablica IO'!T278*INDEX(Model!$C$2:$CA$2,Model!$A44),'Tablica IO'!T278*1)</f>
        <v>1.149248325908581E-3</v>
      </c>
      <c r="U44" s="222" cm="1">
        <f t="array" aca="1" ref="U44" ca="1">'Tablica IO'!U200*INDEX(Model!$C$93:$CA$93,Model!$A44) + IF(wplyw_cen_import_wlaczony,'Tablica IO'!U278*INDEX(Model!$C$2:$CA$2,Model!$A44),'Tablica IO'!U278*1)</f>
        <v>1.2171112521113693E-2</v>
      </c>
      <c r="V44" s="222" cm="1">
        <f t="array" aca="1" ref="V44" ca="1">'Tablica IO'!V200*INDEX(Model!$C$93:$CA$93,Model!$A44) + IF(wplyw_cen_import_wlaczony,'Tablica IO'!V278*INDEX(Model!$C$2:$CA$2,Model!$A44),'Tablica IO'!V278*1)</f>
        <v>1.9752328321260424E-2</v>
      </c>
      <c r="W44" s="222" cm="1">
        <f t="array" aca="1" ref="W44" ca="1">'Tablica IO'!W200*INDEX(Model!$C$93:$CA$93,Model!$A44) + IF(wplyw_cen_import_wlaczony,'Tablica IO'!W278*INDEX(Model!$C$2:$CA$2,Model!$A44),'Tablica IO'!W278*1)</f>
        <v>9.4472550467568119E-3</v>
      </c>
      <c r="X44" s="222" cm="1">
        <f t="array" aca="1" ref="X44" ca="1">'Tablica IO'!X200*INDEX(Model!$C$93:$CA$93,Model!$A44) + IF(wplyw_cen_import_wlaczony,'Tablica IO'!X278*INDEX(Model!$C$2:$CA$2,Model!$A44),'Tablica IO'!X278*1)</f>
        <v>3.2850209050808252E-4</v>
      </c>
      <c r="Y44" s="222" cm="1">
        <f t="array" aca="1" ref="Y44" ca="1">'Tablica IO'!Y200*INDEX(Model!$C$93:$CA$93,Model!$A44) + IF(wplyw_cen_import_wlaczony,'Tablica IO'!Y278*INDEX(Model!$C$2:$CA$2,Model!$A44),'Tablica IO'!Y278*1)</f>
        <v>1.6930265690827835E-3</v>
      </c>
      <c r="Z44" s="222" cm="1">
        <f t="array" aca="1" ref="Z44" ca="1">'Tablica IO'!Z200*INDEX(Model!$C$93:$CA$93,Model!$A44) + IF(wplyw_cen_import_wlaczony,'Tablica IO'!Z278*INDEX(Model!$C$2:$CA$2,Model!$A44),'Tablica IO'!Z278*1)</f>
        <v>1.9806101585082138E-3</v>
      </c>
      <c r="AA44" s="222" cm="1">
        <f t="array" aca="1" ref="AA44" ca="1">'Tablica IO'!AA200*INDEX(Model!$C$93:$CA$93,Model!$A44) + IF(wplyw_cen_import_wlaczony,'Tablica IO'!AA278*INDEX(Model!$C$2:$CA$2,Model!$A44),'Tablica IO'!AA278*1)</f>
        <v>4.5802084046601483E-4</v>
      </c>
      <c r="AB44" s="222" cm="1">
        <f t="array" aca="1" ref="AB44" ca="1">'Tablica IO'!AB200*INDEX(Model!$C$93:$CA$93,Model!$A44) + IF(wplyw_cen_import_wlaczony,'Tablica IO'!AB278*INDEX(Model!$C$2:$CA$2,Model!$A44),'Tablica IO'!AB278*1)</f>
        <v>2.0000678285019002E-3</v>
      </c>
      <c r="AC44" s="222" cm="1">
        <f t="array" aca="1" ref="AC44" ca="1">'Tablica IO'!AC200*INDEX(Model!$C$93:$CA$93,Model!$A44) + IF(wplyw_cen_import_wlaczony,'Tablica IO'!AC278*INDEX(Model!$C$2:$CA$2,Model!$A44),'Tablica IO'!AC278*1)</f>
        <v>3.5673003691263135E-4</v>
      </c>
      <c r="AD44" s="222" cm="1">
        <f t="array" aca="1" ref="AD44" ca="1">'Tablica IO'!AD200*INDEX(Model!$C$93:$CA$93,Model!$A44) + IF(wplyw_cen_import_wlaczony,'Tablica IO'!AD278*INDEX(Model!$C$2:$CA$2,Model!$A44),'Tablica IO'!AD278*1)</f>
        <v>1.0812356228657037E-3</v>
      </c>
      <c r="AE44" s="222" cm="1">
        <f t="array" aca="1" ref="AE44" ca="1">'Tablica IO'!AE200*INDEX(Model!$C$93:$CA$93,Model!$A44) + IF(wplyw_cen_import_wlaczony,'Tablica IO'!AE278*INDEX(Model!$C$2:$CA$2,Model!$A44),'Tablica IO'!AE278*1)</f>
        <v>1.1438368189348592E-3</v>
      </c>
      <c r="AF44" s="222" cm="1">
        <f t="array" aca="1" ref="AF44" ca="1">'Tablica IO'!AF200*INDEX(Model!$C$93:$CA$93,Model!$A44) + IF(wplyw_cen_import_wlaczony,'Tablica IO'!AF278*INDEX(Model!$C$2:$CA$2,Model!$A44),'Tablica IO'!AF278*1)</f>
        <v>2.1886419782836384E-3</v>
      </c>
      <c r="AG44" s="222" cm="1">
        <f t="array" aca="1" ref="AG44" ca="1">'Tablica IO'!AG200*INDEX(Model!$C$93:$CA$93,Model!$A44) + IF(wplyw_cen_import_wlaczony,'Tablica IO'!AG278*INDEX(Model!$C$2:$CA$2,Model!$A44),'Tablica IO'!AG278*1)</f>
        <v>1.3848551363614698E-3</v>
      </c>
      <c r="AH44" s="222" cm="1">
        <f t="array" aca="1" ref="AH44" ca="1">'Tablica IO'!AH200*INDEX(Model!$C$93:$CA$93,Model!$A44) + IF(wplyw_cen_import_wlaczony,'Tablica IO'!AH278*INDEX(Model!$C$2:$CA$2,Model!$A44),'Tablica IO'!AH278*1)</f>
        <v>0.13339969876184754</v>
      </c>
      <c r="AI44" s="222" cm="1">
        <f t="array" aca="1" ref="AI44" ca="1">'Tablica IO'!AI200*INDEX(Model!$C$93:$CA$93,Model!$A44) + IF(wplyw_cen_import_wlaczony,'Tablica IO'!AI278*INDEX(Model!$C$2:$CA$2,Model!$A44),'Tablica IO'!AI278*1)</f>
        <v>3.3960262911991071E-2</v>
      </c>
      <c r="AJ44" s="222" cm="1">
        <f t="array" aca="1" ref="AJ44" ca="1">'Tablica IO'!AJ200*INDEX(Model!$C$93:$CA$93,Model!$A44) + IF(wplyw_cen_import_wlaczony,'Tablica IO'!AJ278*INDEX(Model!$C$2:$CA$2,Model!$A44),'Tablica IO'!AJ278*1)</f>
        <v>2.4847092454204278E-3</v>
      </c>
      <c r="AK44" s="222" cm="1">
        <f t="array" aca="1" ref="AK44" ca="1">'Tablica IO'!AK200*INDEX(Model!$C$93:$CA$93,Model!$A44) + IF(wplyw_cen_import_wlaczony,'Tablica IO'!AK278*INDEX(Model!$C$2:$CA$2,Model!$A44),'Tablica IO'!AK278*1)</f>
        <v>1.3757103583089938E-3</v>
      </c>
      <c r="AL44" s="222" cm="1">
        <f t="array" aca="1" ref="AL44" ca="1">'Tablica IO'!AL200*INDEX(Model!$C$93:$CA$93,Model!$A44) + IF(wplyw_cen_import_wlaczony,'Tablica IO'!AL278*INDEX(Model!$C$2:$CA$2,Model!$A44),'Tablica IO'!AL278*1)</f>
        <v>3.1002697813901177E-3</v>
      </c>
      <c r="AM44" s="222" cm="1">
        <f t="array" aca="1" ref="AM44" ca="1">'Tablica IO'!AM200*INDEX(Model!$C$93:$CA$93,Model!$A44) + IF(wplyw_cen_import_wlaczony,'Tablica IO'!AM278*INDEX(Model!$C$2:$CA$2,Model!$A44),'Tablica IO'!AM278*1)</f>
        <v>5.0374158736027374E-4</v>
      </c>
      <c r="AN44" s="222" cm="1">
        <f t="array" aca="1" ref="AN44" ca="1">'Tablica IO'!AN200*INDEX(Model!$C$93:$CA$93,Model!$A44) + IF(wplyw_cen_import_wlaczony,'Tablica IO'!AN278*INDEX(Model!$C$2:$CA$2,Model!$A44),'Tablica IO'!AN278*1)</f>
        <v>5.9835518968158919E-4</v>
      </c>
      <c r="AO44" s="222" cm="1">
        <f t="array" aca="1" ref="AO44" ca="1">'Tablica IO'!AO200*INDEX(Model!$C$93:$CA$93,Model!$A44) + IF(wplyw_cen_import_wlaczony,'Tablica IO'!AO278*INDEX(Model!$C$2:$CA$2,Model!$A44),'Tablica IO'!AO278*1)</f>
        <v>1.2957821127939606E-4</v>
      </c>
      <c r="AP44" s="222" cm="1">
        <f t="array" aca="1" ref="AP44" ca="1">'Tablica IO'!AP200*INDEX(Model!$C$93:$CA$93,Model!$A44) + IF(wplyw_cen_import_wlaczony,'Tablica IO'!AP278*INDEX(Model!$C$2:$CA$2,Model!$A44),'Tablica IO'!AP278*1)</f>
        <v>5.3543578155256432E-4</v>
      </c>
      <c r="AQ44" s="222" cm="1">
        <f t="array" aca="1" ref="AQ44" ca="1">'Tablica IO'!AQ200*INDEX(Model!$C$93:$CA$93,Model!$A44) + IF(wplyw_cen_import_wlaczony,'Tablica IO'!AQ278*INDEX(Model!$C$2:$CA$2,Model!$A44),'Tablica IO'!AQ278*1)</f>
        <v>1.5703361380975881E-3</v>
      </c>
      <c r="AR44" s="222" cm="1">
        <f t="array" aca="1" ref="AR44" ca="1">'Tablica IO'!AR200*INDEX(Model!$C$93:$CA$93,Model!$A44) + IF(wplyw_cen_import_wlaczony,'Tablica IO'!AR278*INDEX(Model!$C$2:$CA$2,Model!$A44),'Tablica IO'!AR278*1)</f>
        <v>5.985989426067678E-4</v>
      </c>
      <c r="AS44" s="222" cm="1">
        <f t="array" aca="1" ref="AS44" ca="1">'Tablica IO'!AS200*INDEX(Model!$C$93:$CA$93,Model!$A44) + IF(wplyw_cen_import_wlaczony,'Tablica IO'!AS278*INDEX(Model!$C$2:$CA$2,Model!$A44),'Tablica IO'!AS278*1)</f>
        <v>4.9354688551160391E-4</v>
      </c>
      <c r="AT44" s="222" cm="1">
        <f t="array" aca="1" ref="AT44" ca="1">'Tablica IO'!AT200*INDEX(Model!$C$93:$CA$93,Model!$A44) + IF(wplyw_cen_import_wlaczony,'Tablica IO'!AT278*INDEX(Model!$C$2:$CA$2,Model!$A44),'Tablica IO'!AT278*1)</f>
        <v>3.0716961930786144E-4</v>
      </c>
      <c r="AU44" s="222" cm="1">
        <f t="array" aca="1" ref="AU44" ca="1">'Tablica IO'!AU200*INDEX(Model!$C$93:$CA$93,Model!$A44) + IF(wplyw_cen_import_wlaczony,'Tablica IO'!AU278*INDEX(Model!$C$2:$CA$2,Model!$A44),'Tablica IO'!AU278*1)</f>
        <v>4.0640914626591638E-5</v>
      </c>
      <c r="AV44" s="222" cm="1">
        <f t="array" aca="1" ref="AV44" ca="1">'Tablica IO'!AV200*INDEX(Model!$C$93:$CA$93,Model!$A44) + IF(wplyw_cen_import_wlaczony,'Tablica IO'!AV278*INDEX(Model!$C$2:$CA$2,Model!$A44),'Tablica IO'!AV278*1)</f>
        <v>3.6301619559148151E-4</v>
      </c>
      <c r="AW44" s="222" cm="1">
        <f t="array" aca="1" ref="AW44" ca="1">'Tablica IO'!AW200*INDEX(Model!$C$93:$CA$93,Model!$A44) + IF(wplyw_cen_import_wlaczony,'Tablica IO'!AW278*INDEX(Model!$C$2:$CA$2,Model!$A44),'Tablica IO'!AW278*1)</f>
        <v>1.8225698928802351E-4</v>
      </c>
      <c r="AX44" s="222" cm="1">
        <f t="array" aca="1" ref="AX44" ca="1">'Tablica IO'!AX200*INDEX(Model!$C$93:$CA$93,Model!$A44) + IF(wplyw_cen_import_wlaczony,'Tablica IO'!AX278*INDEX(Model!$C$2:$CA$2,Model!$A44),'Tablica IO'!AX278*1)</f>
        <v>2.1027305452958709E-4</v>
      </c>
      <c r="AY44" s="222" cm="1">
        <f t="array" aca="1" ref="AY44" ca="1">'Tablica IO'!AY200*INDEX(Model!$C$93:$CA$93,Model!$A44) + IF(wplyw_cen_import_wlaczony,'Tablica IO'!AY278*INDEX(Model!$C$2:$CA$2,Model!$A44),'Tablica IO'!AY278*1)</f>
        <v>0</v>
      </c>
      <c r="AZ44" s="222" cm="1">
        <f t="array" aca="1" ref="AZ44" ca="1">'Tablica IO'!AZ200*INDEX(Model!$C$93:$CA$93,Model!$A44) + IF(wplyw_cen_import_wlaczony,'Tablica IO'!AZ278*INDEX(Model!$C$2:$CA$2,Model!$A44),'Tablica IO'!AZ278*1)</f>
        <v>0</v>
      </c>
      <c r="BA44" s="222" cm="1">
        <f t="array" aca="1" ref="BA44" ca="1">'Tablica IO'!BA200*INDEX(Model!$C$93:$CA$93,Model!$A44) + IF(wplyw_cen_import_wlaczony,'Tablica IO'!BA278*INDEX(Model!$C$2:$CA$2,Model!$A44),'Tablica IO'!BA278*1)</f>
        <v>0</v>
      </c>
      <c r="BB44" s="222" cm="1">
        <f t="array" aca="1" ref="BB44" ca="1">'Tablica IO'!BB200*INDEX(Model!$C$93:$CA$93,Model!$A44) + IF(wplyw_cen_import_wlaczony,'Tablica IO'!BB278*INDEX(Model!$C$2:$CA$2,Model!$A44),'Tablica IO'!BB278*1)</f>
        <v>2.4016809930339045E-2</v>
      </c>
      <c r="BC44" s="222" cm="1">
        <f t="array" aca="1" ref="BC44" ca="1">'Tablica IO'!BC200*INDEX(Model!$C$93:$CA$93,Model!$A44) + IF(wplyw_cen_import_wlaczony,'Tablica IO'!BC278*INDEX(Model!$C$2:$CA$2,Model!$A44),'Tablica IO'!BC278*1)</f>
        <v>3.2196402184089385E-5</v>
      </c>
      <c r="BD44" s="222" cm="1">
        <f t="array" aca="1" ref="BD44" ca="1">'Tablica IO'!BD200*INDEX(Model!$C$93:$CA$93,Model!$A44) + IF(wplyw_cen_import_wlaczony,'Tablica IO'!BD278*INDEX(Model!$C$2:$CA$2,Model!$A44),'Tablica IO'!BD278*1)</f>
        <v>2.9136248660328271E-3</v>
      </c>
      <c r="BE44" s="222" cm="1">
        <f t="array" aca="1" ref="BE44" ca="1">'Tablica IO'!BE200*INDEX(Model!$C$93:$CA$93,Model!$A44) + IF(wplyw_cen_import_wlaczony,'Tablica IO'!BE278*INDEX(Model!$C$2:$CA$2,Model!$A44),'Tablica IO'!BE278*1)</f>
        <v>2.5026466963053254E-4</v>
      </c>
      <c r="BF44" s="222" cm="1">
        <f t="array" aca="1" ref="BF44" ca="1">'Tablica IO'!BF200*INDEX(Model!$C$93:$CA$93,Model!$A44) + IF(wplyw_cen_import_wlaczony,'Tablica IO'!BF278*INDEX(Model!$C$2:$CA$2,Model!$A44),'Tablica IO'!BF278*1)</f>
        <v>2.0047830217732755E-3</v>
      </c>
      <c r="BG44" s="222" cm="1">
        <f t="array" aca="1" ref="BG44" ca="1">'Tablica IO'!BG200*INDEX(Model!$C$93:$CA$93,Model!$A44) + IF(wplyw_cen_import_wlaczony,'Tablica IO'!BG278*INDEX(Model!$C$2:$CA$2,Model!$A44),'Tablica IO'!BG278*1)</f>
        <v>1.977042940926578E-5</v>
      </c>
      <c r="BH44" s="222" cm="1">
        <f t="array" aca="1" ref="BH44" ca="1">'Tablica IO'!BH200*INDEX(Model!$C$93:$CA$93,Model!$A44) + IF(wplyw_cen_import_wlaczony,'Tablica IO'!BH278*INDEX(Model!$C$2:$CA$2,Model!$A44),'Tablica IO'!BH278*1)</f>
        <v>1.0051665870744655E-4</v>
      </c>
      <c r="BI44" s="222" cm="1">
        <f t="array" aca="1" ref="BI44" ca="1">'Tablica IO'!BI200*INDEX(Model!$C$93:$CA$93,Model!$A44) + IF(wplyw_cen_import_wlaczony,'Tablica IO'!BI278*INDEX(Model!$C$2:$CA$2,Model!$A44),'Tablica IO'!BI278*1)</f>
        <v>3.5419080497162952E-5</v>
      </c>
      <c r="BJ44" s="222" cm="1">
        <f t="array" aca="1" ref="BJ44" ca="1">'Tablica IO'!BJ200*INDEX(Model!$C$93:$CA$93,Model!$A44) + IF(wplyw_cen_import_wlaczony,'Tablica IO'!BJ278*INDEX(Model!$C$2:$CA$2,Model!$A44),'Tablica IO'!BJ278*1)</f>
        <v>4.7532200226535378E-4</v>
      </c>
      <c r="BK44" s="222" cm="1">
        <f t="array" aca="1" ref="BK44" ca="1">'Tablica IO'!BK200*INDEX(Model!$C$93:$CA$93,Model!$A44) + IF(wplyw_cen_import_wlaczony,'Tablica IO'!BK278*INDEX(Model!$C$2:$CA$2,Model!$A44),'Tablica IO'!BK278*1)</f>
        <v>9.8136369224840504E-5</v>
      </c>
      <c r="BL44" s="222" cm="1">
        <f t="array" aca="1" ref="BL44" ca="1">'Tablica IO'!BL200*INDEX(Model!$C$93:$CA$93,Model!$A44) + IF(wplyw_cen_import_wlaczony,'Tablica IO'!BL278*INDEX(Model!$C$2:$CA$2,Model!$A44),'Tablica IO'!BL278*1)</f>
        <v>1.2062761717634324E-4</v>
      </c>
      <c r="BM44" s="222" cm="1">
        <f t="array" aca="1" ref="BM44" ca="1">'Tablica IO'!BM200*INDEX(Model!$C$93:$CA$93,Model!$A44) + IF(wplyw_cen_import_wlaczony,'Tablica IO'!BM278*INDEX(Model!$C$2:$CA$2,Model!$A44),'Tablica IO'!BM278*1)</f>
        <v>1.8312600418124702E-4</v>
      </c>
      <c r="BN44" s="222" cm="1">
        <f t="array" aca="1" ref="BN44" ca="1">'Tablica IO'!BN200*INDEX(Model!$C$93:$CA$93,Model!$A44) + IF(wplyw_cen_import_wlaczony,'Tablica IO'!BN278*INDEX(Model!$C$2:$CA$2,Model!$A44),'Tablica IO'!BN278*1)</f>
        <v>2.2581546912117355E-2</v>
      </c>
      <c r="BO44" s="222" cm="1">
        <f t="array" aca="1" ref="BO44" ca="1">'Tablica IO'!BO200*INDEX(Model!$C$93:$CA$93,Model!$A44) + IF(wplyw_cen_import_wlaczony,'Tablica IO'!BO278*INDEX(Model!$C$2:$CA$2,Model!$A44),'Tablica IO'!BO278*1)</f>
        <v>9.7550328091307412E-4</v>
      </c>
      <c r="BP44" s="222" cm="1">
        <f t="array" aca="1" ref="BP44" ca="1">'Tablica IO'!BP200*INDEX(Model!$C$93:$CA$93,Model!$A44) + IF(wplyw_cen_import_wlaczony,'Tablica IO'!BP278*INDEX(Model!$C$2:$CA$2,Model!$A44),'Tablica IO'!BP278*1)</f>
        <v>2.1502357941682445E-3</v>
      </c>
      <c r="BQ44" s="222" cm="1">
        <f t="array" aca="1" ref="BQ44" ca="1">'Tablica IO'!BQ200*INDEX(Model!$C$93:$CA$93,Model!$A44) + IF(wplyw_cen_import_wlaczony,'Tablica IO'!BQ278*INDEX(Model!$C$2:$CA$2,Model!$A44),'Tablica IO'!BQ278*1)</f>
        <v>8.6859331226468966E-4</v>
      </c>
      <c r="BR44" s="222" cm="1">
        <f t="array" aca="1" ref="BR44" ca="1">'Tablica IO'!BR200*INDEX(Model!$C$93:$CA$93,Model!$A44) + IF(wplyw_cen_import_wlaczony,'Tablica IO'!BR278*INDEX(Model!$C$2:$CA$2,Model!$A44),'Tablica IO'!BR278*1)</f>
        <v>1.0909820542438281E-3</v>
      </c>
      <c r="BS44" s="222" cm="1">
        <f t="array" aca="1" ref="BS44" ca="1">'Tablica IO'!BS200*INDEX(Model!$C$93:$CA$93,Model!$A44) + IF(wplyw_cen_import_wlaczony,'Tablica IO'!BS278*INDEX(Model!$C$2:$CA$2,Model!$A44),'Tablica IO'!BS278*1)</f>
        <v>7.6159381411325345E-4</v>
      </c>
      <c r="BT44" s="222" cm="1">
        <f t="array" aca="1" ref="BT44" ca="1">'Tablica IO'!BT200*INDEX(Model!$C$93:$CA$93,Model!$A44) + IF(wplyw_cen_import_wlaczony,'Tablica IO'!BT278*INDEX(Model!$C$2:$CA$2,Model!$A44),'Tablica IO'!BT278*1)</f>
        <v>6.6286972913956813E-4</v>
      </c>
      <c r="BU44" s="222" cm="1">
        <f t="array" aca="1" ref="BU44" ca="1">'Tablica IO'!BU200*INDEX(Model!$C$93:$CA$93,Model!$A44) + IF(wplyw_cen_import_wlaczony,'Tablica IO'!BU278*INDEX(Model!$C$2:$CA$2,Model!$A44),'Tablica IO'!BU278*1)</f>
        <v>1.4120100591373105E-3</v>
      </c>
      <c r="BV44" s="222" cm="1">
        <f t="array" aca="1" ref="BV44" ca="1">'Tablica IO'!BV200*INDEX(Model!$C$93:$CA$93,Model!$A44) + IF(wplyw_cen_import_wlaczony,'Tablica IO'!BV278*INDEX(Model!$C$2:$CA$2,Model!$A44),'Tablica IO'!BV278*1)</f>
        <v>1.0748736067159796E-4</v>
      </c>
      <c r="BW44" s="222" cm="1">
        <f t="array" aca="1" ref="BW44" ca="1">'Tablica IO'!BW200*INDEX(Model!$C$93:$CA$93,Model!$A44) + IF(wplyw_cen_import_wlaczony,'Tablica IO'!BW278*INDEX(Model!$C$2:$CA$2,Model!$A44),'Tablica IO'!BW278*1)</f>
        <v>8.1524234455979539E-4</v>
      </c>
      <c r="BX44" s="222" cm="1">
        <f t="array" aca="1" ref="BX44" ca="1">'Tablica IO'!BX200*INDEX(Model!$C$93:$CA$93,Model!$A44) + IF(wplyw_cen_import_wlaczony,'Tablica IO'!BX278*INDEX(Model!$C$2:$CA$2,Model!$A44),'Tablica IO'!BX278*1)</f>
        <v>1.0306420581557879E-3</v>
      </c>
      <c r="BY44" s="222" cm="1">
        <f t="array" aca="1" ref="BY44" ca="1">'Tablica IO'!BY200*INDEX(Model!$C$93:$CA$93,Model!$A44) + IF(wplyw_cen_import_wlaczony,'Tablica IO'!BY278*INDEX(Model!$C$2:$CA$2,Model!$A44),'Tablica IO'!BY278*1)</f>
        <v>3.4124534694630172E-4</v>
      </c>
      <c r="BZ44" s="222" cm="1">
        <f t="array" aca="1" ref="BZ44" ca="1">'Tablica IO'!BZ200*INDEX(Model!$C$93:$CA$93,Model!$A44) + IF(wplyw_cen_import_wlaczony,'Tablica IO'!BZ278*INDEX(Model!$C$2:$CA$2,Model!$A44),'Tablica IO'!BZ278*1)</f>
        <v>3.4943485353573786E-3</v>
      </c>
      <c r="CA44" s="222" cm="1">
        <f t="array" aca="1" ref="CA44" ca="1">'Tablica IO'!CA200*INDEX(Model!$C$93:$CA$93,Model!$A44) + IF(wplyw_cen_import_wlaczony,'Tablica IO'!CA278*INDEX(Model!$C$2:$CA$2,Model!$A44),'Tablica IO'!CA278*1)</f>
        <v>0</v>
      </c>
      <c r="CB44" s="247">
        <f ca="1">'Tablica IO'!CD200*INDEX(Model!$C$93:$CA$93,Model!$A44)+'Tablica IO'!CD278*INDEX(Model!$C$2:$CA$2,Model!$A44)</f>
        <v>5.3631631054182043E-3</v>
      </c>
      <c r="CC44" s="188">
        <f ca="1">'Tablica IO'!CE200*INDEX(Model!$C$93:$CA$93,Model!$A44)+'Tablica IO'!CE278*INDEX(Model!$C$2:$CA$2,Model!$A44)</f>
        <v>1.0800086941083859E-3</v>
      </c>
      <c r="CD44" s="188">
        <f ca="1">'Tablica IO'!CF200*INDEX(Model!$C$93:$CA$93,Model!$A44)+'Tablica IO'!CF278*INDEX(Model!$C$2:$CA$2,Model!$A44)</f>
        <v>-9.4634941193665616E-6</v>
      </c>
      <c r="CE44" s="189">
        <f ca="1">'Tablica IO'!CG200*INDEX(Model!$C$93:$CA$93,Model!$A44)+'Tablica IO'!CG278*INDEX(Model!$C$2:$CA$2,Model!$A44)</f>
        <v>6.4252396982394993E-3</v>
      </c>
    </row>
    <row r="45" spans="1:83" ht="27.6" x14ac:dyDescent="0.25">
      <c r="A45" s="164">
        <v>33</v>
      </c>
      <c r="B45" s="172" t="s">
        <v>32</v>
      </c>
      <c r="C45" s="221" cm="1">
        <f t="array" aca="1" ref="C45" ca="1">'Tablica IO'!C201*INDEX(Model!$C$93:$CA$93,Model!$A45) + IF(wplyw_cen_import_wlaczony,'Tablica IO'!C279*INDEX(Model!$C$2:$CA$2,Model!$A45),'Tablica IO'!C279*1)</f>
        <v>2.8906564201521234E-4</v>
      </c>
      <c r="D45" s="222" cm="1">
        <f t="array" aca="1" ref="D45" ca="1">'Tablica IO'!D201*INDEX(Model!$C$93:$CA$93,Model!$A45) + IF(wplyw_cen_import_wlaczony,'Tablica IO'!D279*INDEX(Model!$C$2:$CA$2,Model!$A45),'Tablica IO'!D279*1)</f>
        <v>1.3986049985269412E-3</v>
      </c>
      <c r="E45" s="222" cm="1">
        <f t="array" aca="1" ref="E45" ca="1">'Tablica IO'!E201*INDEX(Model!$C$93:$CA$93,Model!$A45) + IF(wplyw_cen_import_wlaczony,'Tablica IO'!E279*INDEX(Model!$C$2:$CA$2,Model!$A45),'Tablica IO'!E279*1)</f>
        <v>2.4842990284192204E-4</v>
      </c>
      <c r="F45" s="222" cm="1">
        <f t="array" aca="1" ref="F45" ca="1">'Tablica IO'!F201*INDEX(Model!$C$93:$CA$93,Model!$A45) + IF(wplyw_cen_import_wlaczony,'Tablica IO'!F279*INDEX(Model!$C$2:$CA$2,Model!$A45),'Tablica IO'!F279*1)</f>
        <v>5.3067976990437945E-3</v>
      </c>
      <c r="G45" s="222" cm="1">
        <f t="array" aca="1" ref="G45" ca="1">'Tablica IO'!G201*INDEX(Model!$C$93:$CA$93,Model!$A45) + IF(wplyw_cen_import_wlaczony,'Tablica IO'!G279*INDEX(Model!$C$2:$CA$2,Model!$A45),'Tablica IO'!G279*1)</f>
        <v>4.3284939960153736E-3</v>
      </c>
      <c r="H45" s="222" cm="1">
        <f t="array" aca="1" ref="H45" ca="1">'Tablica IO'!H201*INDEX(Model!$C$93:$CA$93,Model!$A45) + IF(wplyw_cen_import_wlaczony,'Tablica IO'!H279*INDEX(Model!$C$2:$CA$2,Model!$A45),'Tablica IO'!H279*1)</f>
        <v>1.1135034985768058E-3</v>
      </c>
      <c r="I45" s="222" cm="1">
        <f t="array" aca="1" ref="I45" ca="1">'Tablica IO'!I201*INDEX(Model!$C$93:$CA$93,Model!$A45) + IF(wplyw_cen_import_wlaczony,'Tablica IO'!I279*INDEX(Model!$C$2:$CA$2,Model!$A45),'Tablica IO'!I279*1)</f>
        <v>2.0114314426592024E-3</v>
      </c>
      <c r="J45" s="222" cm="1">
        <f t="array" aca="1" ref="J45" ca="1">'Tablica IO'!J201*INDEX(Model!$C$93:$CA$93,Model!$A45) + IF(wplyw_cen_import_wlaczony,'Tablica IO'!J279*INDEX(Model!$C$2:$CA$2,Model!$A45),'Tablica IO'!J279*1)</f>
        <v>6.4543779040587693E-4</v>
      </c>
      <c r="K45" s="222" cm="1">
        <f t="array" aca="1" ref="K45" ca="1">'Tablica IO'!K201*INDEX(Model!$C$93:$CA$93,Model!$A45) + IF(wplyw_cen_import_wlaczony,'Tablica IO'!K279*INDEX(Model!$C$2:$CA$2,Model!$A45),'Tablica IO'!K279*1)</f>
        <v>3.5501649630516057E-3</v>
      </c>
      <c r="L45" s="222" cm="1">
        <f t="array" aca="1" ref="L45" ca="1">'Tablica IO'!L201*INDEX(Model!$C$93:$CA$93,Model!$A45) + IF(wplyw_cen_import_wlaczony,'Tablica IO'!L279*INDEX(Model!$C$2:$CA$2,Model!$A45),'Tablica IO'!L279*1)</f>
        <v>8.5249854435462923E-4</v>
      </c>
      <c r="M45" s="222" cm="1">
        <f t="array" aca="1" ref="M45" ca="1">'Tablica IO'!M201*INDEX(Model!$C$93:$CA$93,Model!$A45) + IF(wplyw_cen_import_wlaczony,'Tablica IO'!M279*INDEX(Model!$C$2:$CA$2,Model!$A45),'Tablica IO'!M279*1)</f>
        <v>3.3909079471721357E-3</v>
      </c>
      <c r="N45" s="222" cm="1">
        <f t="array" aca="1" ref="N45" ca="1">'Tablica IO'!N201*INDEX(Model!$C$93:$CA$93,Model!$A45) + IF(wplyw_cen_import_wlaczony,'Tablica IO'!N279*INDEX(Model!$C$2:$CA$2,Model!$A45),'Tablica IO'!N279*1)</f>
        <v>6.7668115694058156E-4</v>
      </c>
      <c r="O45" s="222" cm="1">
        <f t="array" aca="1" ref="O45" ca="1">'Tablica IO'!O201*INDEX(Model!$C$93:$CA$93,Model!$A45) + IF(wplyw_cen_import_wlaczony,'Tablica IO'!O279*INDEX(Model!$C$2:$CA$2,Model!$A45),'Tablica IO'!O279*1)</f>
        <v>1.8264813422872975E-3</v>
      </c>
      <c r="P45" s="222" cm="1">
        <f t="array" aca="1" ref="P45" ca="1">'Tablica IO'!P201*INDEX(Model!$C$93:$CA$93,Model!$A45) + IF(wplyw_cen_import_wlaczony,'Tablica IO'!P279*INDEX(Model!$C$2:$CA$2,Model!$A45),'Tablica IO'!P279*1)</f>
        <v>1.2850227356252313E-3</v>
      </c>
      <c r="Q45" s="222" cm="1">
        <f t="array" aca="1" ref="Q45" ca="1">'Tablica IO'!Q201*INDEX(Model!$C$93:$CA$93,Model!$A45) + IF(wplyw_cen_import_wlaczony,'Tablica IO'!Q279*INDEX(Model!$C$2:$CA$2,Model!$A45),'Tablica IO'!Q279*1)</f>
        <v>1.6150396629125126E-3</v>
      </c>
      <c r="R45" s="222" cm="1">
        <f t="array" aca="1" ref="R45" ca="1">'Tablica IO'!R201*INDEX(Model!$C$93:$CA$93,Model!$A45) + IF(wplyw_cen_import_wlaczony,'Tablica IO'!R279*INDEX(Model!$C$2:$CA$2,Model!$A45),'Tablica IO'!R279*1)</f>
        <v>1.7210628194212834E-3</v>
      </c>
      <c r="S45" s="222" cm="1">
        <f t="array" aca="1" ref="S45" ca="1">'Tablica IO'!S201*INDEX(Model!$C$93:$CA$93,Model!$A45) + IF(wplyw_cen_import_wlaczony,'Tablica IO'!S279*INDEX(Model!$C$2:$CA$2,Model!$A45),'Tablica IO'!S279*1)</f>
        <v>2.3771499502519187E-3</v>
      </c>
      <c r="T45" s="222" cm="1">
        <f t="array" aca="1" ref="T45" ca="1">'Tablica IO'!T201*INDEX(Model!$C$93:$CA$93,Model!$A45) + IF(wplyw_cen_import_wlaczony,'Tablica IO'!T279*INDEX(Model!$C$2:$CA$2,Model!$A45),'Tablica IO'!T279*1)</f>
        <v>1.3226094327075763E-3</v>
      </c>
      <c r="U45" s="222" cm="1">
        <f t="array" aca="1" ref="U45" ca="1">'Tablica IO'!U201*INDEX(Model!$C$93:$CA$93,Model!$A45) + IF(wplyw_cen_import_wlaczony,'Tablica IO'!U279*INDEX(Model!$C$2:$CA$2,Model!$A45),'Tablica IO'!U279*1)</f>
        <v>2.8219773609572387E-3</v>
      </c>
      <c r="V45" s="222" cm="1">
        <f t="array" aca="1" ref="V45" ca="1">'Tablica IO'!V201*INDEX(Model!$C$93:$CA$93,Model!$A45) + IF(wplyw_cen_import_wlaczony,'Tablica IO'!V279*INDEX(Model!$C$2:$CA$2,Model!$A45),'Tablica IO'!V279*1)</f>
        <v>2.3591797301744225E-3</v>
      </c>
      <c r="W45" s="222" cm="1">
        <f t="array" aca="1" ref="W45" ca="1">'Tablica IO'!W201*INDEX(Model!$C$93:$CA$93,Model!$A45) + IF(wplyw_cen_import_wlaczony,'Tablica IO'!W279*INDEX(Model!$C$2:$CA$2,Model!$A45),'Tablica IO'!W279*1)</f>
        <v>8.9980438827520434E-4</v>
      </c>
      <c r="X45" s="222" cm="1">
        <f t="array" aca="1" ref="X45" ca="1">'Tablica IO'!X201*INDEX(Model!$C$93:$CA$93,Model!$A45) + IF(wplyw_cen_import_wlaczony,'Tablica IO'!X279*INDEX(Model!$C$2:$CA$2,Model!$A45),'Tablica IO'!X279*1)</f>
        <v>6.2171207076919623E-4</v>
      </c>
      <c r="Y45" s="222" cm="1">
        <f t="array" aca="1" ref="Y45" ca="1">'Tablica IO'!Y201*INDEX(Model!$C$93:$CA$93,Model!$A45) + IF(wplyw_cen_import_wlaczony,'Tablica IO'!Y279*INDEX(Model!$C$2:$CA$2,Model!$A45),'Tablica IO'!Y279*1)</f>
        <v>1.0084998139749109E-3</v>
      </c>
      <c r="Z45" s="222" cm="1">
        <f t="array" aca="1" ref="Z45" ca="1">'Tablica IO'!Z201*INDEX(Model!$C$93:$CA$93,Model!$A45) + IF(wplyw_cen_import_wlaczony,'Tablica IO'!Z279*INDEX(Model!$C$2:$CA$2,Model!$A45),'Tablica IO'!Z279*1)</f>
        <v>1.686206017026528E-3</v>
      </c>
      <c r="AA45" s="222" cm="1">
        <f t="array" aca="1" ref="AA45" ca="1">'Tablica IO'!AA201*INDEX(Model!$C$93:$CA$93,Model!$A45) + IF(wplyw_cen_import_wlaczony,'Tablica IO'!AA279*INDEX(Model!$C$2:$CA$2,Model!$A45),'Tablica IO'!AA279*1)</f>
        <v>5.7657310069847943E-4</v>
      </c>
      <c r="AB45" s="222" cm="1">
        <f t="array" aca="1" ref="AB45" ca="1">'Tablica IO'!AB201*INDEX(Model!$C$93:$CA$93,Model!$A45) + IF(wplyw_cen_import_wlaczony,'Tablica IO'!AB279*INDEX(Model!$C$2:$CA$2,Model!$A45),'Tablica IO'!AB279*1)</f>
        <v>1.5643100363297586E-3</v>
      </c>
      <c r="AC45" s="222" cm="1">
        <f t="array" aca="1" ref="AC45" ca="1">'Tablica IO'!AC201*INDEX(Model!$C$93:$CA$93,Model!$A45) + IF(wplyw_cen_import_wlaczony,'Tablica IO'!AC279*INDEX(Model!$C$2:$CA$2,Model!$A45),'Tablica IO'!AC279*1)</f>
        <v>9.7647380495916492E-4</v>
      </c>
      <c r="AD45" s="222" cm="1">
        <f t="array" aca="1" ref="AD45" ca="1">'Tablica IO'!AD201*INDEX(Model!$C$93:$CA$93,Model!$A45) + IF(wplyw_cen_import_wlaczony,'Tablica IO'!AD279*INDEX(Model!$C$2:$CA$2,Model!$A45),'Tablica IO'!AD279*1)</f>
        <v>7.0392517337505302E-4</v>
      </c>
      <c r="AE45" s="222" cm="1">
        <f t="array" aca="1" ref="AE45" ca="1">'Tablica IO'!AE201*INDEX(Model!$C$93:$CA$93,Model!$A45) + IF(wplyw_cen_import_wlaczony,'Tablica IO'!AE279*INDEX(Model!$C$2:$CA$2,Model!$A45),'Tablica IO'!AE279*1)</f>
        <v>9.0619920326650172E-4</v>
      </c>
      <c r="AF45" s="222" cm="1">
        <f t="array" aca="1" ref="AF45" ca="1">'Tablica IO'!AF201*INDEX(Model!$C$93:$CA$93,Model!$A45) + IF(wplyw_cen_import_wlaczony,'Tablica IO'!AF279*INDEX(Model!$C$2:$CA$2,Model!$A45),'Tablica IO'!AF279*1)</f>
        <v>2.7072445875692135E-3</v>
      </c>
      <c r="AG45" s="222" cm="1">
        <f t="array" aca="1" ref="AG45" ca="1">'Tablica IO'!AG201*INDEX(Model!$C$93:$CA$93,Model!$A45) + IF(wplyw_cen_import_wlaczony,'Tablica IO'!AG279*INDEX(Model!$C$2:$CA$2,Model!$A45),'Tablica IO'!AG279*1)</f>
        <v>4.2830140201340433E-2</v>
      </c>
      <c r="AH45" s="222" cm="1">
        <f t="array" aca="1" ref="AH45" ca="1">'Tablica IO'!AH201*INDEX(Model!$C$93:$CA$93,Model!$A45) + IF(wplyw_cen_import_wlaczony,'Tablica IO'!AH279*INDEX(Model!$C$2:$CA$2,Model!$A45),'Tablica IO'!AH279*1)</f>
        <v>1.2014620141258659E-2</v>
      </c>
      <c r="AI45" s="222" cm="1">
        <f t="array" aca="1" ref="AI45" ca="1">'Tablica IO'!AI201*INDEX(Model!$C$93:$CA$93,Model!$A45) + IF(wplyw_cen_import_wlaczony,'Tablica IO'!AI279*INDEX(Model!$C$2:$CA$2,Model!$A45),'Tablica IO'!AI279*1)</f>
        <v>3.4916443558370286E-2</v>
      </c>
      <c r="AJ45" s="222" cm="1">
        <f t="array" aca="1" ref="AJ45" ca="1">'Tablica IO'!AJ201*INDEX(Model!$C$93:$CA$93,Model!$A45) + IF(wplyw_cen_import_wlaczony,'Tablica IO'!AJ279*INDEX(Model!$C$2:$CA$2,Model!$A45),'Tablica IO'!AJ279*1)</f>
        <v>1.0451396520843265E-3</v>
      </c>
      <c r="AK45" s="222" cm="1">
        <f t="array" aca="1" ref="AK45" ca="1">'Tablica IO'!AK201*INDEX(Model!$C$93:$CA$93,Model!$A45) + IF(wplyw_cen_import_wlaczony,'Tablica IO'!AK279*INDEX(Model!$C$2:$CA$2,Model!$A45),'Tablica IO'!AK279*1)</f>
        <v>1.4239005154106752E-3</v>
      </c>
      <c r="AL45" s="222" cm="1">
        <f t="array" aca="1" ref="AL45" ca="1">'Tablica IO'!AL201*INDEX(Model!$C$93:$CA$93,Model!$A45) + IF(wplyw_cen_import_wlaczony,'Tablica IO'!AL279*INDEX(Model!$C$2:$CA$2,Model!$A45),'Tablica IO'!AL279*1)</f>
        <v>1.9952727667067564E-3</v>
      </c>
      <c r="AM45" s="222" cm="1">
        <f t="array" aca="1" ref="AM45" ca="1">'Tablica IO'!AM201*INDEX(Model!$C$93:$CA$93,Model!$A45) + IF(wplyw_cen_import_wlaczony,'Tablica IO'!AM279*INDEX(Model!$C$2:$CA$2,Model!$A45),'Tablica IO'!AM279*1)</f>
        <v>5.4932892002169356E-4</v>
      </c>
      <c r="AN45" s="222" cm="1">
        <f t="array" aca="1" ref="AN45" ca="1">'Tablica IO'!AN201*INDEX(Model!$C$93:$CA$93,Model!$A45) + IF(wplyw_cen_import_wlaczony,'Tablica IO'!AN279*INDEX(Model!$C$2:$CA$2,Model!$A45),'Tablica IO'!AN279*1)</f>
        <v>2.2912563359111814E-3</v>
      </c>
      <c r="AO45" s="222" cm="1">
        <f t="array" aca="1" ref="AO45" ca="1">'Tablica IO'!AO201*INDEX(Model!$C$93:$CA$93,Model!$A45) + IF(wplyw_cen_import_wlaczony,'Tablica IO'!AO279*INDEX(Model!$C$2:$CA$2,Model!$A45),'Tablica IO'!AO279*1)</f>
        <v>5.4681288134791363E-4</v>
      </c>
      <c r="AP45" s="222" cm="1">
        <f t="array" aca="1" ref="AP45" ca="1">'Tablica IO'!AP201*INDEX(Model!$C$93:$CA$93,Model!$A45) + IF(wplyw_cen_import_wlaczony,'Tablica IO'!AP279*INDEX(Model!$C$2:$CA$2,Model!$A45),'Tablica IO'!AP279*1)</f>
        <v>1.2546736346463574E-3</v>
      </c>
      <c r="AQ45" s="222" cm="1">
        <f t="array" aca="1" ref="AQ45" ca="1">'Tablica IO'!AQ201*INDEX(Model!$C$93:$CA$93,Model!$A45) + IF(wplyw_cen_import_wlaczony,'Tablica IO'!AQ279*INDEX(Model!$C$2:$CA$2,Model!$A45),'Tablica IO'!AQ279*1)</f>
        <v>6.5808522509996524E-3</v>
      </c>
      <c r="AR45" s="222" cm="1">
        <f t="array" aca="1" ref="AR45" ca="1">'Tablica IO'!AR201*INDEX(Model!$C$93:$CA$93,Model!$A45) + IF(wplyw_cen_import_wlaczony,'Tablica IO'!AR279*INDEX(Model!$C$2:$CA$2,Model!$A45),'Tablica IO'!AR279*1)</f>
        <v>2.2464485268450692E-3</v>
      </c>
      <c r="AS45" s="222" cm="1">
        <f t="array" aca="1" ref="AS45" ca="1">'Tablica IO'!AS201*INDEX(Model!$C$93:$CA$93,Model!$A45) + IF(wplyw_cen_import_wlaczony,'Tablica IO'!AS279*INDEX(Model!$C$2:$CA$2,Model!$A45),'Tablica IO'!AS279*1)</f>
        <v>6.5556108937388094E-4</v>
      </c>
      <c r="AT45" s="222" cm="1">
        <f t="array" aca="1" ref="AT45" ca="1">'Tablica IO'!AT201*INDEX(Model!$C$93:$CA$93,Model!$A45) + IF(wplyw_cen_import_wlaczony,'Tablica IO'!AT279*INDEX(Model!$C$2:$CA$2,Model!$A45),'Tablica IO'!AT279*1)</f>
        <v>7.7707726022948243E-4</v>
      </c>
      <c r="AU45" s="222" cm="1">
        <f t="array" aca="1" ref="AU45" ca="1">'Tablica IO'!AU201*INDEX(Model!$C$93:$CA$93,Model!$A45) + IF(wplyw_cen_import_wlaczony,'Tablica IO'!AU279*INDEX(Model!$C$2:$CA$2,Model!$A45),'Tablica IO'!AU279*1)</f>
        <v>1.4710050996211634E-4</v>
      </c>
      <c r="AV45" s="222" cm="1">
        <f t="array" aca="1" ref="AV45" ca="1">'Tablica IO'!AV201*INDEX(Model!$C$93:$CA$93,Model!$A45) + IF(wplyw_cen_import_wlaczony,'Tablica IO'!AV279*INDEX(Model!$C$2:$CA$2,Model!$A45),'Tablica IO'!AV279*1)</f>
        <v>2.2620565690338723E-4</v>
      </c>
      <c r="AW45" s="222" cm="1">
        <f t="array" aca="1" ref="AW45" ca="1">'Tablica IO'!AW201*INDEX(Model!$C$93:$CA$93,Model!$A45) + IF(wplyw_cen_import_wlaczony,'Tablica IO'!AW279*INDEX(Model!$C$2:$CA$2,Model!$A45),'Tablica IO'!AW279*1)</f>
        <v>1.3810131393521548E-3</v>
      </c>
      <c r="AX45" s="222" cm="1">
        <f t="array" aca="1" ref="AX45" ca="1">'Tablica IO'!AX201*INDEX(Model!$C$93:$CA$93,Model!$A45) + IF(wplyw_cen_import_wlaczony,'Tablica IO'!AX279*INDEX(Model!$C$2:$CA$2,Model!$A45),'Tablica IO'!AX279*1)</f>
        <v>7.0608461326615178E-4</v>
      </c>
      <c r="AY45" s="222" cm="1">
        <f t="array" aca="1" ref="AY45" ca="1">'Tablica IO'!AY201*INDEX(Model!$C$93:$CA$93,Model!$A45) + IF(wplyw_cen_import_wlaczony,'Tablica IO'!AY279*INDEX(Model!$C$2:$CA$2,Model!$A45),'Tablica IO'!AY279*1)</f>
        <v>1.1111575114341842E-4</v>
      </c>
      <c r="AZ45" s="222" cm="1">
        <f t="array" aca="1" ref="AZ45" ca="1">'Tablica IO'!AZ201*INDEX(Model!$C$93:$CA$93,Model!$A45) + IF(wplyw_cen_import_wlaczony,'Tablica IO'!AZ279*INDEX(Model!$C$2:$CA$2,Model!$A45),'Tablica IO'!AZ279*1)</f>
        <v>8.4450743979471284E-5</v>
      </c>
      <c r="BA45" s="222" cm="1">
        <f t="array" aca="1" ref="BA45" ca="1">'Tablica IO'!BA201*INDEX(Model!$C$93:$CA$93,Model!$A45) + IF(wplyw_cen_import_wlaczony,'Tablica IO'!BA279*INDEX(Model!$C$2:$CA$2,Model!$A45),'Tablica IO'!BA279*1)</f>
        <v>1.2648774750156043E-4</v>
      </c>
      <c r="BB45" s="222" cm="1">
        <f t="array" aca="1" ref="BB45" ca="1">'Tablica IO'!BB201*INDEX(Model!$C$93:$CA$93,Model!$A45) + IF(wplyw_cen_import_wlaczony,'Tablica IO'!BB279*INDEX(Model!$C$2:$CA$2,Model!$A45),'Tablica IO'!BB279*1)</f>
        <v>1.1690125865278594E-2</v>
      </c>
      <c r="BC45" s="222" cm="1">
        <f t="array" aca="1" ref="BC45" ca="1">'Tablica IO'!BC201*INDEX(Model!$C$93:$CA$93,Model!$A45) + IF(wplyw_cen_import_wlaczony,'Tablica IO'!BC279*INDEX(Model!$C$2:$CA$2,Model!$A45),'Tablica IO'!BC279*1)</f>
        <v>3.7553878732356612E-4</v>
      </c>
      <c r="BD45" s="222" cm="1">
        <f t="array" aca="1" ref="BD45" ca="1">'Tablica IO'!BD201*INDEX(Model!$C$93:$CA$93,Model!$A45) + IF(wplyw_cen_import_wlaczony,'Tablica IO'!BD279*INDEX(Model!$C$2:$CA$2,Model!$A45),'Tablica IO'!BD279*1)</f>
        <v>4.3232656932428994E-4</v>
      </c>
      <c r="BE45" s="222" cm="1">
        <f t="array" aca="1" ref="BE45" ca="1">'Tablica IO'!BE201*INDEX(Model!$C$93:$CA$93,Model!$A45) + IF(wplyw_cen_import_wlaczony,'Tablica IO'!BE279*INDEX(Model!$C$2:$CA$2,Model!$A45),'Tablica IO'!BE279*1)</f>
        <v>1.884578060783971E-3</v>
      </c>
      <c r="BF45" s="222" cm="1">
        <f t="array" aca="1" ref="BF45" ca="1">'Tablica IO'!BF201*INDEX(Model!$C$93:$CA$93,Model!$A45) + IF(wplyw_cen_import_wlaczony,'Tablica IO'!BF279*INDEX(Model!$C$2:$CA$2,Model!$A45),'Tablica IO'!BF279*1)</f>
        <v>3.2108526362165206E-3</v>
      </c>
      <c r="BG45" s="222" cm="1">
        <f t="array" aca="1" ref="BG45" ca="1">'Tablica IO'!BG201*INDEX(Model!$C$93:$CA$93,Model!$A45) + IF(wplyw_cen_import_wlaczony,'Tablica IO'!BG279*INDEX(Model!$C$2:$CA$2,Model!$A45),'Tablica IO'!BG279*1)</f>
        <v>6.3555552036416644E-5</v>
      </c>
      <c r="BH45" s="222" cm="1">
        <f t="array" aca="1" ref="BH45" ca="1">'Tablica IO'!BH201*INDEX(Model!$C$93:$CA$93,Model!$A45) + IF(wplyw_cen_import_wlaczony,'Tablica IO'!BH279*INDEX(Model!$C$2:$CA$2,Model!$A45),'Tablica IO'!BH279*1)</f>
        <v>3.2892827084000497E-4</v>
      </c>
      <c r="BI45" s="222" cm="1">
        <f t="array" aca="1" ref="BI45" ca="1">'Tablica IO'!BI201*INDEX(Model!$C$93:$CA$93,Model!$A45) + IF(wplyw_cen_import_wlaczony,'Tablica IO'!BI279*INDEX(Model!$C$2:$CA$2,Model!$A45),'Tablica IO'!BI279*1)</f>
        <v>1.232737178030611E-4</v>
      </c>
      <c r="BJ45" s="222" cm="1">
        <f t="array" aca="1" ref="BJ45" ca="1">'Tablica IO'!BJ201*INDEX(Model!$C$93:$CA$93,Model!$A45) + IF(wplyw_cen_import_wlaczony,'Tablica IO'!BJ279*INDEX(Model!$C$2:$CA$2,Model!$A45),'Tablica IO'!BJ279*1)</f>
        <v>2.0586767429190841E-3</v>
      </c>
      <c r="BK45" s="222" cm="1">
        <f t="array" aca="1" ref="BK45" ca="1">'Tablica IO'!BK201*INDEX(Model!$C$93:$CA$93,Model!$A45) + IF(wplyw_cen_import_wlaczony,'Tablica IO'!BK279*INDEX(Model!$C$2:$CA$2,Model!$A45),'Tablica IO'!BK279*1)</f>
        <v>6.023922184766596E-4</v>
      </c>
      <c r="BL45" s="222" cm="1">
        <f t="array" aca="1" ref="BL45" ca="1">'Tablica IO'!BL201*INDEX(Model!$C$93:$CA$93,Model!$A45) + IF(wplyw_cen_import_wlaczony,'Tablica IO'!BL279*INDEX(Model!$C$2:$CA$2,Model!$A45),'Tablica IO'!BL279*1)</f>
        <v>4.7164614408151465E-3</v>
      </c>
      <c r="BM45" s="222" cm="1">
        <f t="array" aca="1" ref="BM45" ca="1">'Tablica IO'!BM201*INDEX(Model!$C$93:$CA$93,Model!$A45) + IF(wplyw_cen_import_wlaczony,'Tablica IO'!BM279*INDEX(Model!$C$2:$CA$2,Model!$A45),'Tablica IO'!BM279*1)</f>
        <v>7.0730590970641911E-4</v>
      </c>
      <c r="BN45" s="222" cm="1">
        <f t="array" aca="1" ref="BN45" ca="1">'Tablica IO'!BN201*INDEX(Model!$C$93:$CA$93,Model!$A45) + IF(wplyw_cen_import_wlaczony,'Tablica IO'!BN279*INDEX(Model!$C$2:$CA$2,Model!$A45),'Tablica IO'!BN279*1)</f>
        <v>1.5698089955146866E-2</v>
      </c>
      <c r="BO45" s="222" cm="1">
        <f t="array" aca="1" ref="BO45" ca="1">'Tablica IO'!BO201*INDEX(Model!$C$93:$CA$93,Model!$A45) + IF(wplyw_cen_import_wlaczony,'Tablica IO'!BO279*INDEX(Model!$C$2:$CA$2,Model!$A45),'Tablica IO'!BO279*1)</f>
        <v>9.3220016195558056E-4</v>
      </c>
      <c r="BP45" s="222" cm="1">
        <f t="array" aca="1" ref="BP45" ca="1">'Tablica IO'!BP201*INDEX(Model!$C$93:$CA$93,Model!$A45) + IF(wplyw_cen_import_wlaczony,'Tablica IO'!BP279*INDEX(Model!$C$2:$CA$2,Model!$A45),'Tablica IO'!BP279*1)</f>
        <v>6.0374145657134538E-4</v>
      </c>
      <c r="BQ45" s="222" cm="1">
        <f t="array" aca="1" ref="BQ45" ca="1">'Tablica IO'!BQ201*INDEX(Model!$C$93:$CA$93,Model!$A45) + IF(wplyw_cen_import_wlaczony,'Tablica IO'!BQ279*INDEX(Model!$C$2:$CA$2,Model!$A45),'Tablica IO'!BQ279*1)</f>
        <v>1.0984114284146669E-3</v>
      </c>
      <c r="BR45" s="222" cm="1">
        <f t="array" aca="1" ref="BR45" ca="1">'Tablica IO'!BR201*INDEX(Model!$C$93:$CA$93,Model!$A45) + IF(wplyw_cen_import_wlaczony,'Tablica IO'!BR279*INDEX(Model!$C$2:$CA$2,Model!$A45),'Tablica IO'!BR279*1)</f>
        <v>1.183748625362913E-3</v>
      </c>
      <c r="BS45" s="222" cm="1">
        <f t="array" aca="1" ref="BS45" ca="1">'Tablica IO'!BS201*INDEX(Model!$C$93:$CA$93,Model!$A45) + IF(wplyw_cen_import_wlaczony,'Tablica IO'!BS279*INDEX(Model!$C$2:$CA$2,Model!$A45),'Tablica IO'!BS279*1)</f>
        <v>3.1130142091444538E-3</v>
      </c>
      <c r="BT45" s="222" cm="1">
        <f t="array" aca="1" ref="BT45" ca="1">'Tablica IO'!BT201*INDEX(Model!$C$93:$CA$93,Model!$A45) + IF(wplyw_cen_import_wlaczony,'Tablica IO'!BT279*INDEX(Model!$C$2:$CA$2,Model!$A45),'Tablica IO'!BT279*1)</f>
        <v>3.3813129910956956E-3</v>
      </c>
      <c r="BU45" s="222" cm="1">
        <f t="array" aca="1" ref="BU45" ca="1">'Tablica IO'!BU201*INDEX(Model!$C$93:$CA$93,Model!$A45) + IF(wplyw_cen_import_wlaczony,'Tablica IO'!BU279*INDEX(Model!$C$2:$CA$2,Model!$A45),'Tablica IO'!BU279*1)</f>
        <v>5.3749254478537506E-3</v>
      </c>
      <c r="BV45" s="222" cm="1">
        <f t="array" aca="1" ref="BV45" ca="1">'Tablica IO'!BV201*INDEX(Model!$C$93:$CA$93,Model!$A45) + IF(wplyw_cen_import_wlaczony,'Tablica IO'!BV279*INDEX(Model!$C$2:$CA$2,Model!$A45),'Tablica IO'!BV279*1)</f>
        <v>2.5940273096479086E-4</v>
      </c>
      <c r="BW45" s="222" cm="1">
        <f t="array" aca="1" ref="BW45" ca="1">'Tablica IO'!BW201*INDEX(Model!$C$93:$CA$93,Model!$A45) + IF(wplyw_cen_import_wlaczony,'Tablica IO'!BW279*INDEX(Model!$C$2:$CA$2,Model!$A45),'Tablica IO'!BW279*1)</f>
        <v>5.8886096722864803E-3</v>
      </c>
      <c r="BX45" s="222" cm="1">
        <f t="array" aca="1" ref="BX45" ca="1">'Tablica IO'!BX201*INDEX(Model!$C$93:$CA$93,Model!$A45) + IF(wplyw_cen_import_wlaczony,'Tablica IO'!BX279*INDEX(Model!$C$2:$CA$2,Model!$A45),'Tablica IO'!BX279*1)</f>
        <v>2.4270092542965308E-3</v>
      </c>
      <c r="BY45" s="222" cm="1">
        <f t="array" aca="1" ref="BY45" ca="1">'Tablica IO'!BY201*INDEX(Model!$C$93:$CA$93,Model!$A45) + IF(wplyw_cen_import_wlaczony,'Tablica IO'!BY279*INDEX(Model!$C$2:$CA$2,Model!$A45),'Tablica IO'!BY279*1)</f>
        <v>2.9620764385320842E-4</v>
      </c>
      <c r="BZ45" s="222" cm="1">
        <f t="array" aca="1" ref="BZ45" ca="1">'Tablica IO'!BZ201*INDEX(Model!$C$93:$CA$93,Model!$A45) + IF(wplyw_cen_import_wlaczony,'Tablica IO'!BZ279*INDEX(Model!$C$2:$CA$2,Model!$A45),'Tablica IO'!BZ279*1)</f>
        <v>2.4158094923903335E-3</v>
      </c>
      <c r="CA45" s="222" cm="1">
        <f t="array" aca="1" ref="CA45" ca="1">'Tablica IO'!CA201*INDEX(Model!$C$93:$CA$93,Model!$A45) + IF(wplyw_cen_import_wlaczony,'Tablica IO'!CA279*INDEX(Model!$C$2:$CA$2,Model!$A45),'Tablica IO'!CA279*1)</f>
        <v>0</v>
      </c>
      <c r="CB45" s="247">
        <f ca="1">'Tablica IO'!CD201*INDEX(Model!$C$93:$CA$93,Model!$A45)+'Tablica IO'!CD279*INDEX(Model!$C$2:$CA$2,Model!$A45)</f>
        <v>2.9986376337552832E-3</v>
      </c>
      <c r="CC45" s="188">
        <f ca="1">'Tablica IO'!CE201*INDEX(Model!$C$93:$CA$93,Model!$A45)+'Tablica IO'!CE279*INDEX(Model!$C$2:$CA$2,Model!$A45)</f>
        <v>4.771119001091428E-3</v>
      </c>
      <c r="CD45" s="188">
        <f ca="1">'Tablica IO'!CF201*INDEX(Model!$C$93:$CA$93,Model!$A45)+'Tablica IO'!CF279*INDEX(Model!$C$2:$CA$2,Model!$A45)</f>
        <v>8.6962560989739073E-6</v>
      </c>
      <c r="CE45" s="189">
        <f ca="1">'Tablica IO'!CG201*INDEX(Model!$C$93:$CA$93,Model!$A45)+'Tablica IO'!CG279*INDEX(Model!$C$2:$CA$2,Model!$A45)</f>
        <v>3.2514130172230157E-6</v>
      </c>
    </row>
    <row r="46" spans="1:83" x14ac:dyDescent="0.25">
      <c r="A46" s="164">
        <v>34</v>
      </c>
      <c r="B46" s="172" t="s">
        <v>33</v>
      </c>
      <c r="C46" s="221" cm="1">
        <f t="array" aca="1" ref="C46" ca="1">'Tablica IO'!C202*INDEX(Model!$C$93:$CA$93,Model!$A46) + IF(wplyw_cen_import_wlaczony,'Tablica IO'!C280*INDEX(Model!$C$2:$CA$2,Model!$A46),'Tablica IO'!C280*1)</f>
        <v>3.6506634524170133E-3</v>
      </c>
      <c r="D46" s="222" cm="1">
        <f t="array" aca="1" ref="D46" ca="1">'Tablica IO'!D202*INDEX(Model!$C$93:$CA$93,Model!$A46) + IF(wplyw_cen_import_wlaczony,'Tablica IO'!D280*INDEX(Model!$C$2:$CA$2,Model!$A46),'Tablica IO'!D280*1)</f>
        <v>1.849213229450071E-2</v>
      </c>
      <c r="E46" s="222" cm="1">
        <f t="array" aca="1" ref="E46" ca="1">'Tablica IO'!E202*INDEX(Model!$C$93:$CA$93,Model!$A46) + IF(wplyw_cen_import_wlaczony,'Tablica IO'!E280*INDEX(Model!$C$2:$CA$2,Model!$A46),'Tablica IO'!E280*1)</f>
        <v>1.4645721354469474E-3</v>
      </c>
      <c r="F46" s="222" cm="1">
        <f t="array" aca="1" ref="F46" ca="1">'Tablica IO'!F202*INDEX(Model!$C$93:$CA$93,Model!$A46) + IF(wplyw_cen_import_wlaczony,'Tablica IO'!F280*INDEX(Model!$C$2:$CA$2,Model!$A46),'Tablica IO'!F280*1)</f>
        <v>8.386133026179193E-3</v>
      </c>
      <c r="G46" s="222" cm="1">
        <f t="array" aca="1" ref="G46" ca="1">'Tablica IO'!G202*INDEX(Model!$C$93:$CA$93,Model!$A46) + IF(wplyw_cen_import_wlaczony,'Tablica IO'!G280*INDEX(Model!$C$2:$CA$2,Model!$A46),'Tablica IO'!G280*1)</f>
        <v>1.0904381040942861E-2</v>
      </c>
      <c r="H46" s="222" cm="1">
        <f t="array" aca="1" ref="H46" ca="1">'Tablica IO'!H202*INDEX(Model!$C$93:$CA$93,Model!$A46) + IF(wplyw_cen_import_wlaczony,'Tablica IO'!H280*INDEX(Model!$C$2:$CA$2,Model!$A46),'Tablica IO'!H280*1)</f>
        <v>3.0725278741435091E-3</v>
      </c>
      <c r="I46" s="222" cm="1">
        <f t="array" aca="1" ref="I46" ca="1">'Tablica IO'!I202*INDEX(Model!$C$93:$CA$93,Model!$A46) + IF(wplyw_cen_import_wlaczony,'Tablica IO'!I280*INDEX(Model!$C$2:$CA$2,Model!$A46),'Tablica IO'!I280*1)</f>
        <v>1.8102608757462767E-3</v>
      </c>
      <c r="J46" s="222" cm="1">
        <f t="array" aca="1" ref="J46" ca="1">'Tablica IO'!J202*INDEX(Model!$C$93:$CA$93,Model!$A46) + IF(wplyw_cen_import_wlaczony,'Tablica IO'!J280*INDEX(Model!$C$2:$CA$2,Model!$A46),'Tablica IO'!J280*1)</f>
        <v>3.1354388634252327E-3</v>
      </c>
      <c r="K46" s="222" cm="1">
        <f t="array" aca="1" ref="K46" ca="1">'Tablica IO'!K202*INDEX(Model!$C$93:$CA$93,Model!$A46) + IF(wplyw_cen_import_wlaczony,'Tablica IO'!K280*INDEX(Model!$C$2:$CA$2,Model!$A46),'Tablica IO'!K280*1)</f>
        <v>5.6086565335783994E-3</v>
      </c>
      <c r="L46" s="222" cm="1">
        <f t="array" aca="1" ref="L46" ca="1">'Tablica IO'!L202*INDEX(Model!$C$93:$CA$93,Model!$A46) + IF(wplyw_cen_import_wlaczony,'Tablica IO'!L280*INDEX(Model!$C$2:$CA$2,Model!$A46),'Tablica IO'!L280*1)</f>
        <v>3.5682467372375702E-3</v>
      </c>
      <c r="M46" s="222" cm="1">
        <f t="array" aca="1" ref="M46" ca="1">'Tablica IO'!M202*INDEX(Model!$C$93:$CA$93,Model!$A46) + IF(wplyw_cen_import_wlaczony,'Tablica IO'!M280*INDEX(Model!$C$2:$CA$2,Model!$A46),'Tablica IO'!M280*1)</f>
        <v>4.4756283887105184E-3</v>
      </c>
      <c r="N46" s="222" cm="1">
        <f t="array" aca="1" ref="N46" ca="1">'Tablica IO'!N202*INDEX(Model!$C$93:$CA$93,Model!$A46) + IF(wplyw_cen_import_wlaczony,'Tablica IO'!N280*INDEX(Model!$C$2:$CA$2,Model!$A46),'Tablica IO'!N280*1)</f>
        <v>6.8109411313551308E-3</v>
      </c>
      <c r="O46" s="222" cm="1">
        <f t="array" aca="1" ref="O46" ca="1">'Tablica IO'!O202*INDEX(Model!$C$93:$CA$93,Model!$A46) + IF(wplyw_cen_import_wlaczony,'Tablica IO'!O280*INDEX(Model!$C$2:$CA$2,Model!$A46),'Tablica IO'!O280*1)</f>
        <v>8.4116048044861596E-3</v>
      </c>
      <c r="P46" s="222" cm="1">
        <f t="array" aca="1" ref="P46" ca="1">'Tablica IO'!P202*INDEX(Model!$C$93:$CA$93,Model!$A46) + IF(wplyw_cen_import_wlaczony,'Tablica IO'!P280*INDEX(Model!$C$2:$CA$2,Model!$A46),'Tablica IO'!P280*1)</f>
        <v>3.8629155761653491E-3</v>
      </c>
      <c r="Q46" s="222" cm="1">
        <f t="array" aca="1" ref="Q46" ca="1">'Tablica IO'!Q202*INDEX(Model!$C$93:$CA$93,Model!$A46) + IF(wplyw_cen_import_wlaczony,'Tablica IO'!Q280*INDEX(Model!$C$2:$CA$2,Model!$A46),'Tablica IO'!Q280*1)</f>
        <v>3.1653877912905253E-3</v>
      </c>
      <c r="R46" s="222" cm="1">
        <f t="array" aca="1" ref="R46" ca="1">'Tablica IO'!R202*INDEX(Model!$C$93:$CA$93,Model!$A46) + IF(wplyw_cen_import_wlaczony,'Tablica IO'!R280*INDEX(Model!$C$2:$CA$2,Model!$A46),'Tablica IO'!R280*1)</f>
        <v>8.1450419786049961E-3</v>
      </c>
      <c r="S46" s="222" cm="1">
        <f t="array" aca="1" ref="S46" ca="1">'Tablica IO'!S202*INDEX(Model!$C$93:$CA$93,Model!$A46) + IF(wplyw_cen_import_wlaczony,'Tablica IO'!S280*INDEX(Model!$C$2:$CA$2,Model!$A46),'Tablica IO'!S280*1)</f>
        <v>1.8501723580532502E-3</v>
      </c>
      <c r="T46" s="222" cm="1">
        <f t="array" aca="1" ref="T46" ca="1">'Tablica IO'!T202*INDEX(Model!$C$93:$CA$93,Model!$A46) + IF(wplyw_cen_import_wlaczony,'Tablica IO'!T280*INDEX(Model!$C$2:$CA$2,Model!$A46),'Tablica IO'!T280*1)</f>
        <v>9.5054225593490145E-3</v>
      </c>
      <c r="U46" s="222" cm="1">
        <f t="array" aca="1" ref="U46" ca="1">'Tablica IO'!U202*INDEX(Model!$C$93:$CA$93,Model!$A46) + IF(wplyw_cen_import_wlaczony,'Tablica IO'!U280*INDEX(Model!$C$2:$CA$2,Model!$A46),'Tablica IO'!U280*1)</f>
        <v>1.474273620256039E-2</v>
      </c>
      <c r="V46" s="222" cm="1">
        <f t="array" aca="1" ref="V46" ca="1">'Tablica IO'!V202*INDEX(Model!$C$93:$CA$93,Model!$A46) + IF(wplyw_cen_import_wlaczony,'Tablica IO'!V280*INDEX(Model!$C$2:$CA$2,Model!$A46),'Tablica IO'!V280*1)</f>
        <v>3.9063085065673703E-3</v>
      </c>
      <c r="W46" s="222" cm="1">
        <f t="array" aca="1" ref="W46" ca="1">'Tablica IO'!W202*INDEX(Model!$C$93:$CA$93,Model!$A46) + IF(wplyw_cen_import_wlaczony,'Tablica IO'!W280*INDEX(Model!$C$2:$CA$2,Model!$A46),'Tablica IO'!W280*1)</f>
        <v>1.4988969864395112E-2</v>
      </c>
      <c r="X46" s="222" cm="1">
        <f t="array" aca="1" ref="X46" ca="1">'Tablica IO'!X202*INDEX(Model!$C$93:$CA$93,Model!$A46) + IF(wplyw_cen_import_wlaczony,'Tablica IO'!X280*INDEX(Model!$C$2:$CA$2,Model!$A46),'Tablica IO'!X280*1)</f>
        <v>2.0353239644493111E-3</v>
      </c>
      <c r="Y46" s="222" cm="1">
        <f t="array" aca="1" ref="Y46" ca="1">'Tablica IO'!Y202*INDEX(Model!$C$93:$CA$93,Model!$A46) + IF(wplyw_cen_import_wlaczony,'Tablica IO'!Y280*INDEX(Model!$C$2:$CA$2,Model!$A46),'Tablica IO'!Y280*1)</f>
        <v>1.9017807641774371E-2</v>
      </c>
      <c r="Z46" s="222" cm="1">
        <f t="array" aca="1" ref="Z46" ca="1">'Tablica IO'!Z202*INDEX(Model!$C$93:$CA$93,Model!$A46) + IF(wplyw_cen_import_wlaczony,'Tablica IO'!Z280*INDEX(Model!$C$2:$CA$2,Model!$A46),'Tablica IO'!Z280*1)</f>
        <v>1.1421324172999694E-2</v>
      </c>
      <c r="AA46" s="222" cm="1">
        <f t="array" aca="1" ref="AA46" ca="1">'Tablica IO'!AA202*INDEX(Model!$C$93:$CA$93,Model!$A46) + IF(wplyw_cen_import_wlaczony,'Tablica IO'!AA280*INDEX(Model!$C$2:$CA$2,Model!$A46),'Tablica IO'!AA280*1)</f>
        <v>3.3738103600210873E-3</v>
      </c>
      <c r="AB46" s="222" cm="1">
        <f t="array" aca="1" ref="AB46" ca="1">'Tablica IO'!AB202*INDEX(Model!$C$93:$CA$93,Model!$A46) + IF(wplyw_cen_import_wlaczony,'Tablica IO'!AB280*INDEX(Model!$C$2:$CA$2,Model!$A46),'Tablica IO'!AB280*1)</f>
        <v>9.3466089068026861E-3</v>
      </c>
      <c r="AC46" s="222" cm="1">
        <f t="array" aca="1" ref="AC46" ca="1">'Tablica IO'!AC202*INDEX(Model!$C$93:$CA$93,Model!$A46) + IF(wplyw_cen_import_wlaczony,'Tablica IO'!AC280*INDEX(Model!$C$2:$CA$2,Model!$A46),'Tablica IO'!AC280*1)</f>
        <v>4.7549459823469069E-3</v>
      </c>
      <c r="AD46" s="222" cm="1">
        <f t="array" aca="1" ref="AD46" ca="1">'Tablica IO'!AD202*INDEX(Model!$C$93:$CA$93,Model!$A46) + IF(wplyw_cen_import_wlaczony,'Tablica IO'!AD280*INDEX(Model!$C$2:$CA$2,Model!$A46),'Tablica IO'!AD280*1)</f>
        <v>1.6320632176757221E-3</v>
      </c>
      <c r="AE46" s="222" cm="1">
        <f t="array" aca="1" ref="AE46" ca="1">'Tablica IO'!AE202*INDEX(Model!$C$93:$CA$93,Model!$A46) + IF(wplyw_cen_import_wlaczony,'Tablica IO'!AE280*INDEX(Model!$C$2:$CA$2,Model!$A46),'Tablica IO'!AE280*1)</f>
        <v>2.7379147340784088E-2</v>
      </c>
      <c r="AF46" s="222" cm="1">
        <f t="array" aca="1" ref="AF46" ca="1">'Tablica IO'!AF202*INDEX(Model!$C$93:$CA$93,Model!$A46) + IF(wplyw_cen_import_wlaczony,'Tablica IO'!AF280*INDEX(Model!$C$2:$CA$2,Model!$A46),'Tablica IO'!AF280*1)</f>
        <v>0.12399883453064189</v>
      </c>
      <c r="AG46" s="222" cm="1">
        <f t="array" aca="1" ref="AG46" ca="1">'Tablica IO'!AG202*INDEX(Model!$C$93:$CA$93,Model!$A46) + IF(wplyw_cen_import_wlaczony,'Tablica IO'!AG280*INDEX(Model!$C$2:$CA$2,Model!$A46),'Tablica IO'!AG280*1)</f>
        <v>2.7443913391391496E-2</v>
      </c>
      <c r="AH46" s="222" cm="1">
        <f t="array" aca="1" ref="AH46" ca="1">'Tablica IO'!AH202*INDEX(Model!$C$93:$CA$93,Model!$A46) + IF(wplyw_cen_import_wlaczony,'Tablica IO'!AH280*INDEX(Model!$C$2:$CA$2,Model!$A46),'Tablica IO'!AH280*1)</f>
        <v>1.3613731810220762E-2</v>
      </c>
      <c r="AI46" s="222" cm="1">
        <f t="array" aca="1" ref="AI46" ca="1">'Tablica IO'!AI202*INDEX(Model!$C$93:$CA$93,Model!$A46) + IF(wplyw_cen_import_wlaczony,'Tablica IO'!AI280*INDEX(Model!$C$2:$CA$2,Model!$A46),'Tablica IO'!AI280*1)</f>
        <v>2.3431426480827092E-2</v>
      </c>
      <c r="AJ46" s="222" cm="1">
        <f t="array" aca="1" ref="AJ46" ca="1">'Tablica IO'!AJ202*INDEX(Model!$C$93:$CA$93,Model!$A46) + IF(wplyw_cen_import_wlaczony,'Tablica IO'!AJ280*INDEX(Model!$C$2:$CA$2,Model!$A46),'Tablica IO'!AJ280*1)</f>
        <v>0.22139573061598405</v>
      </c>
      <c r="AK46" s="222" cm="1">
        <f t="array" aca="1" ref="AK46" ca="1">'Tablica IO'!AK202*INDEX(Model!$C$93:$CA$93,Model!$A46) + IF(wplyw_cen_import_wlaczony,'Tablica IO'!AK280*INDEX(Model!$C$2:$CA$2,Model!$A46),'Tablica IO'!AK280*1)</f>
        <v>5.9024788416807087E-3</v>
      </c>
      <c r="AL46" s="222" cm="1">
        <f t="array" aca="1" ref="AL46" ca="1">'Tablica IO'!AL202*INDEX(Model!$C$93:$CA$93,Model!$A46) + IF(wplyw_cen_import_wlaczony,'Tablica IO'!AL280*INDEX(Model!$C$2:$CA$2,Model!$A46),'Tablica IO'!AL280*1)</f>
        <v>2.0568063023839799E-2</v>
      </c>
      <c r="AM46" s="222" cm="1">
        <f t="array" aca="1" ref="AM46" ca="1">'Tablica IO'!AM202*INDEX(Model!$C$93:$CA$93,Model!$A46) + IF(wplyw_cen_import_wlaczony,'Tablica IO'!AM280*INDEX(Model!$C$2:$CA$2,Model!$A46),'Tablica IO'!AM280*1)</f>
        <v>1.0084657015279552E-2</v>
      </c>
      <c r="AN46" s="222" cm="1">
        <f t="array" aca="1" ref="AN46" ca="1">'Tablica IO'!AN202*INDEX(Model!$C$93:$CA$93,Model!$A46) + IF(wplyw_cen_import_wlaczony,'Tablica IO'!AN280*INDEX(Model!$C$2:$CA$2,Model!$A46),'Tablica IO'!AN280*1)</f>
        <v>4.5243860350605543E-3</v>
      </c>
      <c r="AO46" s="222" cm="1">
        <f t="array" aca="1" ref="AO46" ca="1">'Tablica IO'!AO202*INDEX(Model!$C$93:$CA$93,Model!$A46) + IF(wplyw_cen_import_wlaczony,'Tablica IO'!AO280*INDEX(Model!$C$2:$CA$2,Model!$A46),'Tablica IO'!AO280*1)</f>
        <v>8.9375946451162843E-4</v>
      </c>
      <c r="AP46" s="222" cm="1">
        <f t="array" aca="1" ref="AP46" ca="1">'Tablica IO'!AP202*INDEX(Model!$C$93:$CA$93,Model!$A46) + IF(wplyw_cen_import_wlaczony,'Tablica IO'!AP280*INDEX(Model!$C$2:$CA$2,Model!$A46),'Tablica IO'!AP280*1)</f>
        <v>8.7080860844654481E-2</v>
      </c>
      <c r="AQ46" s="222" cm="1">
        <f t="array" aca="1" ref="AQ46" ca="1">'Tablica IO'!AQ202*INDEX(Model!$C$93:$CA$93,Model!$A46) + IF(wplyw_cen_import_wlaczony,'Tablica IO'!AQ280*INDEX(Model!$C$2:$CA$2,Model!$A46),'Tablica IO'!AQ280*1)</f>
        <v>2.6420304204435224E-2</v>
      </c>
      <c r="AR46" s="222" cm="1">
        <f t="array" aca="1" ref="AR46" ca="1">'Tablica IO'!AR202*INDEX(Model!$C$93:$CA$93,Model!$A46) + IF(wplyw_cen_import_wlaczony,'Tablica IO'!AR280*INDEX(Model!$C$2:$CA$2,Model!$A46),'Tablica IO'!AR280*1)</f>
        <v>1.0695719361858242E-2</v>
      </c>
      <c r="AS46" s="222" cm="1">
        <f t="array" aca="1" ref="AS46" ca="1">'Tablica IO'!AS202*INDEX(Model!$C$93:$CA$93,Model!$A46) + IF(wplyw_cen_import_wlaczony,'Tablica IO'!AS280*INDEX(Model!$C$2:$CA$2,Model!$A46),'Tablica IO'!AS280*1)</f>
        <v>2.1725697897579077E-4</v>
      </c>
      <c r="AT46" s="222" cm="1">
        <f t="array" aca="1" ref="AT46" ca="1">'Tablica IO'!AT202*INDEX(Model!$C$93:$CA$93,Model!$A46) + IF(wplyw_cen_import_wlaczony,'Tablica IO'!AT280*INDEX(Model!$C$2:$CA$2,Model!$A46),'Tablica IO'!AT280*1)</f>
        <v>2.0403057555736886E-4</v>
      </c>
      <c r="AU46" s="222" cm="1">
        <f t="array" aca="1" ref="AU46" ca="1">'Tablica IO'!AU202*INDEX(Model!$C$93:$CA$93,Model!$A46) + IF(wplyw_cen_import_wlaczony,'Tablica IO'!AU280*INDEX(Model!$C$2:$CA$2,Model!$A46),'Tablica IO'!AU280*1)</f>
        <v>1.5099124754451576E-4</v>
      </c>
      <c r="AV46" s="222" cm="1">
        <f t="array" aca="1" ref="AV46" ca="1">'Tablica IO'!AV202*INDEX(Model!$C$93:$CA$93,Model!$A46) + IF(wplyw_cen_import_wlaczony,'Tablica IO'!AV280*INDEX(Model!$C$2:$CA$2,Model!$A46),'Tablica IO'!AV280*1)</f>
        <v>1.7431034088847181E-2</v>
      </c>
      <c r="AW46" s="222" cm="1">
        <f t="array" aca="1" ref="AW46" ca="1">'Tablica IO'!AW202*INDEX(Model!$C$93:$CA$93,Model!$A46) + IF(wplyw_cen_import_wlaczony,'Tablica IO'!AW280*INDEX(Model!$C$2:$CA$2,Model!$A46),'Tablica IO'!AW280*1)</f>
        <v>3.5930372926378765E-3</v>
      </c>
      <c r="AX46" s="222" cm="1">
        <f t="array" aca="1" ref="AX46" ca="1">'Tablica IO'!AX202*INDEX(Model!$C$93:$CA$93,Model!$A46) + IF(wplyw_cen_import_wlaczony,'Tablica IO'!AX280*INDEX(Model!$C$2:$CA$2,Model!$A46),'Tablica IO'!AX280*1)</f>
        <v>5.2598378928879882E-3</v>
      </c>
      <c r="AY46" s="222" cm="1">
        <f t="array" aca="1" ref="AY46" ca="1">'Tablica IO'!AY202*INDEX(Model!$C$93:$CA$93,Model!$A46) + IF(wplyw_cen_import_wlaczony,'Tablica IO'!AY280*INDEX(Model!$C$2:$CA$2,Model!$A46),'Tablica IO'!AY280*1)</f>
        <v>1.5333613680702334E-3</v>
      </c>
      <c r="AZ46" s="222" cm="1">
        <f t="array" aca="1" ref="AZ46" ca="1">'Tablica IO'!AZ202*INDEX(Model!$C$93:$CA$93,Model!$A46) + IF(wplyw_cen_import_wlaczony,'Tablica IO'!AZ280*INDEX(Model!$C$2:$CA$2,Model!$A46),'Tablica IO'!AZ280*1)</f>
        <v>2.5029882653879454E-3</v>
      </c>
      <c r="BA46" s="222" cm="1">
        <f t="array" aca="1" ref="BA46" ca="1">'Tablica IO'!BA202*INDEX(Model!$C$93:$CA$93,Model!$A46) + IF(wplyw_cen_import_wlaczony,'Tablica IO'!BA280*INDEX(Model!$C$2:$CA$2,Model!$A46),'Tablica IO'!BA280*1)</f>
        <v>2.503881255665745E-3</v>
      </c>
      <c r="BB46" s="222" cm="1">
        <f t="array" aca="1" ref="BB46" ca="1">'Tablica IO'!BB202*INDEX(Model!$C$93:$CA$93,Model!$A46) + IF(wplyw_cen_import_wlaczony,'Tablica IO'!BB280*INDEX(Model!$C$2:$CA$2,Model!$A46),'Tablica IO'!BB280*1)</f>
        <v>0.11563636259579932</v>
      </c>
      <c r="BC46" s="222" cm="1">
        <f t="array" aca="1" ref="BC46" ca="1">'Tablica IO'!BC202*INDEX(Model!$C$93:$CA$93,Model!$A46) + IF(wplyw_cen_import_wlaczony,'Tablica IO'!BC280*INDEX(Model!$C$2:$CA$2,Model!$A46),'Tablica IO'!BC280*1)</f>
        <v>1.4540448381186399E-3</v>
      </c>
      <c r="BD46" s="222" cm="1">
        <f t="array" aca="1" ref="BD46" ca="1">'Tablica IO'!BD202*INDEX(Model!$C$93:$CA$93,Model!$A46) + IF(wplyw_cen_import_wlaczony,'Tablica IO'!BD280*INDEX(Model!$C$2:$CA$2,Model!$A46),'Tablica IO'!BD280*1)</f>
        <v>1.103446187136172E-2</v>
      </c>
      <c r="BE46" s="222" cm="1">
        <f t="array" aca="1" ref="BE46" ca="1">'Tablica IO'!BE202*INDEX(Model!$C$93:$CA$93,Model!$A46) + IF(wplyw_cen_import_wlaczony,'Tablica IO'!BE280*INDEX(Model!$C$2:$CA$2,Model!$A46),'Tablica IO'!BE280*1)</f>
        <v>0.19799115980432702</v>
      </c>
      <c r="BF46" s="222" cm="1">
        <f t="array" aca="1" ref="BF46" ca="1">'Tablica IO'!BF202*INDEX(Model!$C$93:$CA$93,Model!$A46) + IF(wplyw_cen_import_wlaczony,'Tablica IO'!BF280*INDEX(Model!$C$2:$CA$2,Model!$A46),'Tablica IO'!BF280*1)</f>
        <v>4.3579864854455825E-3</v>
      </c>
      <c r="BG46" s="222" cm="1">
        <f t="array" aca="1" ref="BG46" ca="1">'Tablica IO'!BG202*INDEX(Model!$C$93:$CA$93,Model!$A46) + IF(wplyw_cen_import_wlaczony,'Tablica IO'!BG280*INDEX(Model!$C$2:$CA$2,Model!$A46),'Tablica IO'!BG280*1)</f>
        <v>6.0018154126561575E-4</v>
      </c>
      <c r="BH46" s="222" cm="1">
        <f t="array" aca="1" ref="BH46" ca="1">'Tablica IO'!BH202*INDEX(Model!$C$93:$CA$93,Model!$A46) + IF(wplyw_cen_import_wlaczony,'Tablica IO'!BH280*INDEX(Model!$C$2:$CA$2,Model!$A46),'Tablica IO'!BH280*1)</f>
        <v>1.5821324342110483E-2</v>
      </c>
      <c r="BI46" s="222" cm="1">
        <f t="array" aca="1" ref="BI46" ca="1">'Tablica IO'!BI202*INDEX(Model!$C$93:$CA$93,Model!$A46) + IF(wplyw_cen_import_wlaczony,'Tablica IO'!BI280*INDEX(Model!$C$2:$CA$2,Model!$A46),'Tablica IO'!BI280*1)</f>
        <v>0</v>
      </c>
      <c r="BJ46" s="222" cm="1">
        <f t="array" aca="1" ref="BJ46" ca="1">'Tablica IO'!BJ202*INDEX(Model!$C$93:$CA$93,Model!$A46) + IF(wplyw_cen_import_wlaczony,'Tablica IO'!BJ280*INDEX(Model!$C$2:$CA$2,Model!$A46),'Tablica IO'!BJ280*1)</f>
        <v>2.6875675274615051E-2</v>
      </c>
      <c r="BK46" s="222" cm="1">
        <f t="array" aca="1" ref="BK46" ca="1">'Tablica IO'!BK202*INDEX(Model!$C$93:$CA$93,Model!$A46) + IF(wplyw_cen_import_wlaczony,'Tablica IO'!BK280*INDEX(Model!$C$2:$CA$2,Model!$A46),'Tablica IO'!BK280*1)</f>
        <v>4.551755265848978E-4</v>
      </c>
      <c r="BL46" s="222" cm="1">
        <f t="array" aca="1" ref="BL46" ca="1">'Tablica IO'!BL202*INDEX(Model!$C$93:$CA$93,Model!$A46) + IF(wplyw_cen_import_wlaczony,'Tablica IO'!BL280*INDEX(Model!$C$2:$CA$2,Model!$A46),'Tablica IO'!BL280*1)</f>
        <v>1.1051029373766506E-2</v>
      </c>
      <c r="BM46" s="222" cm="1">
        <f t="array" aca="1" ref="BM46" ca="1">'Tablica IO'!BM202*INDEX(Model!$C$93:$CA$93,Model!$A46) + IF(wplyw_cen_import_wlaczony,'Tablica IO'!BM280*INDEX(Model!$C$2:$CA$2,Model!$A46),'Tablica IO'!BM280*1)</f>
        <v>5.9451073977967762E-3</v>
      </c>
      <c r="BN46" s="222" cm="1">
        <f t="array" aca="1" ref="BN46" ca="1">'Tablica IO'!BN202*INDEX(Model!$C$93:$CA$93,Model!$A46) + IF(wplyw_cen_import_wlaczony,'Tablica IO'!BN280*INDEX(Model!$C$2:$CA$2,Model!$A46),'Tablica IO'!BN280*1)</f>
        <v>2.0305873765421041E-2</v>
      </c>
      <c r="BO46" s="222" cm="1">
        <f t="array" aca="1" ref="BO46" ca="1">'Tablica IO'!BO202*INDEX(Model!$C$93:$CA$93,Model!$A46) + IF(wplyw_cen_import_wlaczony,'Tablica IO'!BO280*INDEX(Model!$C$2:$CA$2,Model!$A46),'Tablica IO'!BO280*1)</f>
        <v>3.7448940870869799E-3</v>
      </c>
      <c r="BP46" s="222" cm="1">
        <f t="array" aca="1" ref="BP46" ca="1">'Tablica IO'!BP202*INDEX(Model!$C$93:$CA$93,Model!$A46) + IF(wplyw_cen_import_wlaczony,'Tablica IO'!BP280*INDEX(Model!$C$2:$CA$2,Model!$A46),'Tablica IO'!BP280*1)</f>
        <v>5.961693756631848E-2</v>
      </c>
      <c r="BQ46" s="222" cm="1">
        <f t="array" aca="1" ref="BQ46" ca="1">'Tablica IO'!BQ202*INDEX(Model!$C$93:$CA$93,Model!$A46) + IF(wplyw_cen_import_wlaczony,'Tablica IO'!BQ280*INDEX(Model!$C$2:$CA$2,Model!$A46),'Tablica IO'!BQ280*1)</f>
        <v>1.5707587922040231E-2</v>
      </c>
      <c r="BR46" s="222" cm="1">
        <f t="array" aca="1" ref="BR46" ca="1">'Tablica IO'!BR202*INDEX(Model!$C$93:$CA$93,Model!$A46) + IF(wplyw_cen_import_wlaczony,'Tablica IO'!BR280*INDEX(Model!$C$2:$CA$2,Model!$A46),'Tablica IO'!BR280*1)</f>
        <v>7.5172665054681386E-3</v>
      </c>
      <c r="BS46" s="222" cm="1">
        <f t="array" aca="1" ref="BS46" ca="1">'Tablica IO'!BS202*INDEX(Model!$C$93:$CA$93,Model!$A46) + IF(wplyw_cen_import_wlaczony,'Tablica IO'!BS280*INDEX(Model!$C$2:$CA$2,Model!$A46),'Tablica IO'!BS280*1)</f>
        <v>1.4067747438730061E-2</v>
      </c>
      <c r="BT46" s="222" cm="1">
        <f t="array" aca="1" ref="BT46" ca="1">'Tablica IO'!BT202*INDEX(Model!$C$93:$CA$93,Model!$A46) + IF(wplyw_cen_import_wlaczony,'Tablica IO'!BT280*INDEX(Model!$C$2:$CA$2,Model!$A46),'Tablica IO'!BT280*1)</f>
        <v>1.0787459556052035E-2</v>
      </c>
      <c r="BU46" s="222" cm="1">
        <f t="array" aca="1" ref="BU46" ca="1">'Tablica IO'!BU202*INDEX(Model!$C$93:$CA$93,Model!$A46) + IF(wplyw_cen_import_wlaczony,'Tablica IO'!BU280*INDEX(Model!$C$2:$CA$2,Model!$A46),'Tablica IO'!BU280*1)</f>
        <v>9.993845366472838E-2</v>
      </c>
      <c r="BV46" s="222" cm="1">
        <f t="array" aca="1" ref="BV46" ca="1">'Tablica IO'!BV202*INDEX(Model!$C$93:$CA$93,Model!$A46) + IF(wplyw_cen_import_wlaczony,'Tablica IO'!BV280*INDEX(Model!$C$2:$CA$2,Model!$A46),'Tablica IO'!BV280*1)</f>
        <v>1.990000872072397E-3</v>
      </c>
      <c r="BW46" s="222" cm="1">
        <f t="array" aca="1" ref="BW46" ca="1">'Tablica IO'!BW202*INDEX(Model!$C$93:$CA$93,Model!$A46) + IF(wplyw_cen_import_wlaczony,'Tablica IO'!BW280*INDEX(Model!$C$2:$CA$2,Model!$A46),'Tablica IO'!BW280*1)</f>
        <v>7.7163245882925146E-3</v>
      </c>
      <c r="BX46" s="222" cm="1">
        <f t="array" aca="1" ref="BX46" ca="1">'Tablica IO'!BX202*INDEX(Model!$C$93:$CA$93,Model!$A46) + IF(wplyw_cen_import_wlaczony,'Tablica IO'!BX280*INDEX(Model!$C$2:$CA$2,Model!$A46),'Tablica IO'!BX280*1)</f>
        <v>1.7963333003988874E-3</v>
      </c>
      <c r="BY46" s="222" cm="1">
        <f t="array" aca="1" ref="BY46" ca="1">'Tablica IO'!BY202*INDEX(Model!$C$93:$CA$93,Model!$A46) + IF(wplyw_cen_import_wlaczony,'Tablica IO'!BY280*INDEX(Model!$C$2:$CA$2,Model!$A46),'Tablica IO'!BY280*1)</f>
        <v>2.8749225531138956E-3</v>
      </c>
      <c r="BZ46" s="222" cm="1">
        <f t="array" aca="1" ref="BZ46" ca="1">'Tablica IO'!BZ202*INDEX(Model!$C$93:$CA$93,Model!$A46) + IF(wplyw_cen_import_wlaczony,'Tablica IO'!BZ280*INDEX(Model!$C$2:$CA$2,Model!$A46),'Tablica IO'!BZ280*1)</f>
        <v>1.2436134371786492E-2</v>
      </c>
      <c r="CA46" s="222" cm="1">
        <f t="array" aca="1" ref="CA46" ca="1">'Tablica IO'!CA202*INDEX(Model!$C$93:$CA$93,Model!$A46) + IF(wplyw_cen_import_wlaczony,'Tablica IO'!CA280*INDEX(Model!$C$2:$CA$2,Model!$A46),'Tablica IO'!CA280*1)</f>
        <v>0</v>
      </c>
      <c r="CB46" s="247">
        <f ca="1">'Tablica IO'!CD202*INDEX(Model!$C$93:$CA$93,Model!$A46)+'Tablica IO'!CD280*INDEX(Model!$C$2:$CA$2,Model!$A46)</f>
        <v>3.3337271915267572E-2</v>
      </c>
      <c r="CC46" s="188">
        <f ca="1">'Tablica IO'!CE202*INDEX(Model!$C$93:$CA$93,Model!$A46)+'Tablica IO'!CE280*INDEX(Model!$C$2:$CA$2,Model!$A46)</f>
        <v>3.5245447192080981E-4</v>
      </c>
      <c r="CD46" s="188">
        <f ca="1">'Tablica IO'!CF202*INDEX(Model!$C$93:$CA$93,Model!$A46)+'Tablica IO'!CF280*INDEX(Model!$C$2:$CA$2,Model!$A46)</f>
        <v>0.47343053681953545</v>
      </c>
      <c r="CE46" s="189">
        <f ca="1">'Tablica IO'!CG202*INDEX(Model!$C$93:$CA$93,Model!$A46)+'Tablica IO'!CG280*INDEX(Model!$C$2:$CA$2,Model!$A46)</f>
        <v>2.0601583696633025E-2</v>
      </c>
    </row>
    <row r="47" spans="1:83" x14ac:dyDescent="0.25">
      <c r="A47" s="164">
        <v>35</v>
      </c>
      <c r="B47" s="172" t="s">
        <v>34</v>
      </c>
      <c r="C47" s="221" cm="1">
        <f t="array" aca="1" ref="C47" ca="1">'Tablica IO'!C203*INDEX(Model!$C$93:$CA$93,Model!$A47) + IF(wplyw_cen_import_wlaczony,'Tablica IO'!C281*INDEX(Model!$C$2:$CA$2,Model!$A47),'Tablica IO'!C281*1)</f>
        <v>6.8430143626209937E-4</v>
      </c>
      <c r="D47" s="222" cm="1">
        <f t="array" aca="1" ref="D47" ca="1">'Tablica IO'!D203*INDEX(Model!$C$93:$CA$93,Model!$A47) + IF(wplyw_cen_import_wlaczony,'Tablica IO'!D281*INDEX(Model!$C$2:$CA$2,Model!$A47),'Tablica IO'!D281*1)</f>
        <v>4.1458859235712258E-3</v>
      </c>
      <c r="E47" s="222" cm="1">
        <f t="array" aca="1" ref="E47" ca="1">'Tablica IO'!E203*INDEX(Model!$C$93:$CA$93,Model!$A47) + IF(wplyw_cen_import_wlaczony,'Tablica IO'!E281*INDEX(Model!$C$2:$CA$2,Model!$A47),'Tablica IO'!E281*1)</f>
        <v>1.9460664943974494E-3</v>
      </c>
      <c r="F47" s="222" cm="1">
        <f t="array" aca="1" ref="F47" ca="1">'Tablica IO'!F203*INDEX(Model!$C$93:$CA$93,Model!$A47) + IF(wplyw_cen_import_wlaczony,'Tablica IO'!F281*INDEX(Model!$C$2:$CA$2,Model!$A47),'Tablica IO'!F281*1)</f>
        <v>1.7351454302532762E-3</v>
      </c>
      <c r="G47" s="222" cm="1">
        <f t="array" aca="1" ref="G47" ca="1">'Tablica IO'!G203*INDEX(Model!$C$93:$CA$93,Model!$A47) + IF(wplyw_cen_import_wlaczony,'Tablica IO'!G281*INDEX(Model!$C$2:$CA$2,Model!$A47),'Tablica IO'!G281*1)</f>
        <v>3.8352942982859827E-3</v>
      </c>
      <c r="H47" s="222" cm="1">
        <f t="array" aca="1" ref="H47" ca="1">'Tablica IO'!H203*INDEX(Model!$C$93:$CA$93,Model!$A47) + IF(wplyw_cen_import_wlaczony,'Tablica IO'!H281*INDEX(Model!$C$2:$CA$2,Model!$A47),'Tablica IO'!H281*1)</f>
        <v>1.0309123232867543E-3</v>
      </c>
      <c r="I47" s="222" cm="1">
        <f t="array" aca="1" ref="I47" ca="1">'Tablica IO'!I203*INDEX(Model!$C$93:$CA$93,Model!$A47) + IF(wplyw_cen_import_wlaczony,'Tablica IO'!I281*INDEX(Model!$C$2:$CA$2,Model!$A47),'Tablica IO'!I281*1)</f>
        <v>1.3175520076081052E-3</v>
      </c>
      <c r="J47" s="222" cm="1">
        <f t="array" aca="1" ref="J47" ca="1">'Tablica IO'!J203*INDEX(Model!$C$93:$CA$93,Model!$A47) + IF(wplyw_cen_import_wlaczony,'Tablica IO'!J281*INDEX(Model!$C$2:$CA$2,Model!$A47),'Tablica IO'!J281*1)</f>
        <v>1.892962119117115E-3</v>
      </c>
      <c r="K47" s="222" cm="1">
        <f t="array" aca="1" ref="K47" ca="1">'Tablica IO'!K203*INDEX(Model!$C$93:$CA$93,Model!$A47) + IF(wplyw_cen_import_wlaczony,'Tablica IO'!K281*INDEX(Model!$C$2:$CA$2,Model!$A47),'Tablica IO'!K281*1)</f>
        <v>2.0584400299597711E-3</v>
      </c>
      <c r="L47" s="222" cm="1">
        <f t="array" aca="1" ref="L47" ca="1">'Tablica IO'!L203*INDEX(Model!$C$93:$CA$93,Model!$A47) + IF(wplyw_cen_import_wlaczony,'Tablica IO'!L281*INDEX(Model!$C$2:$CA$2,Model!$A47),'Tablica IO'!L281*1)</f>
        <v>1.3126618768108968E-3</v>
      </c>
      <c r="M47" s="222" cm="1">
        <f t="array" aca="1" ref="M47" ca="1">'Tablica IO'!M203*INDEX(Model!$C$93:$CA$93,Model!$A47) + IF(wplyw_cen_import_wlaczony,'Tablica IO'!M281*INDEX(Model!$C$2:$CA$2,Model!$A47),'Tablica IO'!M281*1)</f>
        <v>1.431490992160483E-3</v>
      </c>
      <c r="N47" s="222" cm="1">
        <f t="array" aca="1" ref="N47" ca="1">'Tablica IO'!N203*INDEX(Model!$C$93:$CA$93,Model!$A47) + IF(wplyw_cen_import_wlaczony,'Tablica IO'!N281*INDEX(Model!$C$2:$CA$2,Model!$A47),'Tablica IO'!N281*1)</f>
        <v>8.3371164450378877E-4</v>
      </c>
      <c r="O47" s="222" cm="1">
        <f t="array" aca="1" ref="O47" ca="1">'Tablica IO'!O203*INDEX(Model!$C$93:$CA$93,Model!$A47) + IF(wplyw_cen_import_wlaczony,'Tablica IO'!O281*INDEX(Model!$C$2:$CA$2,Model!$A47),'Tablica IO'!O281*1)</f>
        <v>7.1425932930943093E-4</v>
      </c>
      <c r="P47" s="222" cm="1">
        <f t="array" aca="1" ref="P47" ca="1">'Tablica IO'!P203*INDEX(Model!$C$93:$CA$93,Model!$A47) + IF(wplyw_cen_import_wlaczony,'Tablica IO'!P281*INDEX(Model!$C$2:$CA$2,Model!$A47),'Tablica IO'!P281*1)</f>
        <v>1.3421174743918367E-3</v>
      </c>
      <c r="Q47" s="222" cm="1">
        <f t="array" aca="1" ref="Q47" ca="1">'Tablica IO'!Q203*INDEX(Model!$C$93:$CA$93,Model!$A47) + IF(wplyw_cen_import_wlaczony,'Tablica IO'!Q281*INDEX(Model!$C$2:$CA$2,Model!$A47),'Tablica IO'!Q281*1)</f>
        <v>3.3525527752408814E-4</v>
      </c>
      <c r="R47" s="222" cm="1">
        <f t="array" aca="1" ref="R47" ca="1">'Tablica IO'!R203*INDEX(Model!$C$93:$CA$93,Model!$A47) + IF(wplyw_cen_import_wlaczony,'Tablica IO'!R281*INDEX(Model!$C$2:$CA$2,Model!$A47),'Tablica IO'!R281*1)</f>
        <v>8.1066644750266582E-4</v>
      </c>
      <c r="S47" s="222" cm="1">
        <f t="array" aca="1" ref="S47" ca="1">'Tablica IO'!S203*INDEX(Model!$C$93:$CA$93,Model!$A47) + IF(wplyw_cen_import_wlaczony,'Tablica IO'!S281*INDEX(Model!$C$2:$CA$2,Model!$A47),'Tablica IO'!S281*1)</f>
        <v>1.239367399404793E-3</v>
      </c>
      <c r="T47" s="222" cm="1">
        <f t="array" aca="1" ref="T47" ca="1">'Tablica IO'!T203*INDEX(Model!$C$93:$CA$93,Model!$A47) + IF(wplyw_cen_import_wlaczony,'Tablica IO'!T281*INDEX(Model!$C$2:$CA$2,Model!$A47),'Tablica IO'!T281*1)</f>
        <v>1.6608149938014771E-3</v>
      </c>
      <c r="U47" s="222" cm="1">
        <f t="array" aca="1" ref="U47" ca="1">'Tablica IO'!U203*INDEX(Model!$C$93:$CA$93,Model!$A47) + IF(wplyw_cen_import_wlaczony,'Tablica IO'!U281*INDEX(Model!$C$2:$CA$2,Model!$A47),'Tablica IO'!U281*1)</f>
        <v>1.6692919074926362E-3</v>
      </c>
      <c r="V47" s="222" cm="1">
        <f t="array" aca="1" ref="V47" ca="1">'Tablica IO'!V203*INDEX(Model!$C$93:$CA$93,Model!$A47) + IF(wplyw_cen_import_wlaczony,'Tablica IO'!V281*INDEX(Model!$C$2:$CA$2,Model!$A47),'Tablica IO'!V281*1)</f>
        <v>3.4386099979443494E-4</v>
      </c>
      <c r="W47" s="222" cm="1">
        <f t="array" aca="1" ref="W47" ca="1">'Tablica IO'!W203*INDEX(Model!$C$93:$CA$93,Model!$A47) + IF(wplyw_cen_import_wlaczony,'Tablica IO'!W281*INDEX(Model!$C$2:$CA$2,Model!$A47),'Tablica IO'!W281*1)</f>
        <v>1.6960332052751901E-3</v>
      </c>
      <c r="X47" s="222" cm="1">
        <f t="array" aca="1" ref="X47" ca="1">'Tablica IO'!X203*INDEX(Model!$C$93:$CA$93,Model!$A47) + IF(wplyw_cen_import_wlaczony,'Tablica IO'!X281*INDEX(Model!$C$2:$CA$2,Model!$A47),'Tablica IO'!X281*1)</f>
        <v>3.0233869907378186E-4</v>
      </c>
      <c r="Y47" s="222" cm="1">
        <f t="array" aca="1" ref="Y47" ca="1">'Tablica IO'!Y203*INDEX(Model!$C$93:$CA$93,Model!$A47) + IF(wplyw_cen_import_wlaczony,'Tablica IO'!Y281*INDEX(Model!$C$2:$CA$2,Model!$A47),'Tablica IO'!Y281*1)</f>
        <v>1.8600278425101049E-3</v>
      </c>
      <c r="Z47" s="222" cm="1">
        <f t="array" aca="1" ref="Z47" ca="1">'Tablica IO'!Z203*INDEX(Model!$C$93:$CA$93,Model!$A47) + IF(wplyw_cen_import_wlaczony,'Tablica IO'!Z281*INDEX(Model!$C$2:$CA$2,Model!$A47),'Tablica IO'!Z281*1)</f>
        <v>2.891682661872395E-3</v>
      </c>
      <c r="AA47" s="222" cm="1">
        <f t="array" aca="1" ref="AA47" ca="1">'Tablica IO'!AA203*INDEX(Model!$C$93:$CA$93,Model!$A47) + IF(wplyw_cen_import_wlaczony,'Tablica IO'!AA281*INDEX(Model!$C$2:$CA$2,Model!$A47),'Tablica IO'!AA281*1)</f>
        <v>5.4416842999424272E-2</v>
      </c>
      <c r="AB47" s="222" cm="1">
        <f t="array" aca="1" ref="AB47" ca="1">'Tablica IO'!AB203*INDEX(Model!$C$93:$CA$93,Model!$A47) + IF(wplyw_cen_import_wlaczony,'Tablica IO'!AB281*INDEX(Model!$C$2:$CA$2,Model!$A47),'Tablica IO'!AB281*1)</f>
        <v>2.4347915816858079E-2</v>
      </c>
      <c r="AC47" s="222" cm="1">
        <f t="array" aca="1" ref="AC47" ca="1">'Tablica IO'!AC203*INDEX(Model!$C$93:$CA$93,Model!$A47) + IF(wplyw_cen_import_wlaczony,'Tablica IO'!AC281*INDEX(Model!$C$2:$CA$2,Model!$A47),'Tablica IO'!AC281*1)</f>
        <v>1.9529425904529646E-3</v>
      </c>
      <c r="AD47" s="222" cm="1">
        <f t="array" aca="1" ref="AD47" ca="1">'Tablica IO'!AD203*INDEX(Model!$C$93:$CA$93,Model!$A47) + IF(wplyw_cen_import_wlaczony,'Tablica IO'!AD281*INDEX(Model!$C$2:$CA$2,Model!$A47),'Tablica IO'!AD281*1)</f>
        <v>1.0648810805328646E-3</v>
      </c>
      <c r="AE47" s="222" cm="1">
        <f t="array" aca="1" ref="AE47" ca="1">'Tablica IO'!AE203*INDEX(Model!$C$93:$CA$93,Model!$A47) + IF(wplyw_cen_import_wlaczony,'Tablica IO'!AE281*INDEX(Model!$C$2:$CA$2,Model!$A47),'Tablica IO'!AE281*1)</f>
        <v>1.4491962331904359E-2</v>
      </c>
      <c r="AF47" s="222" cm="1">
        <f t="array" aca="1" ref="AF47" ca="1">'Tablica IO'!AF203*INDEX(Model!$C$93:$CA$93,Model!$A47) + IF(wplyw_cen_import_wlaczony,'Tablica IO'!AF281*INDEX(Model!$C$2:$CA$2,Model!$A47),'Tablica IO'!AF281*1)</f>
        <v>5.5353744226250114E-4</v>
      </c>
      <c r="AG47" s="222" cm="1">
        <f t="array" aca="1" ref="AG47" ca="1">'Tablica IO'!AG203*INDEX(Model!$C$93:$CA$93,Model!$A47) + IF(wplyw_cen_import_wlaczony,'Tablica IO'!AG281*INDEX(Model!$C$2:$CA$2,Model!$A47),'Tablica IO'!AG281*1)</f>
        <v>1.9449707196947479E-3</v>
      </c>
      <c r="AH47" s="222" cm="1">
        <f t="array" aca="1" ref="AH47" ca="1">'Tablica IO'!AH203*INDEX(Model!$C$93:$CA$93,Model!$A47) + IF(wplyw_cen_import_wlaczony,'Tablica IO'!AH281*INDEX(Model!$C$2:$CA$2,Model!$A47),'Tablica IO'!AH281*1)</f>
        <v>4.2033449930568125E-3</v>
      </c>
      <c r="AI47" s="222" cm="1">
        <f t="array" aca="1" ref="AI47" ca="1">'Tablica IO'!AI203*INDEX(Model!$C$93:$CA$93,Model!$A47) + IF(wplyw_cen_import_wlaczony,'Tablica IO'!AI281*INDEX(Model!$C$2:$CA$2,Model!$A47),'Tablica IO'!AI281*1)</f>
        <v>5.3351637782878434E-3</v>
      </c>
      <c r="AJ47" s="222" cm="1">
        <f t="array" aca="1" ref="AJ47" ca="1">'Tablica IO'!AJ203*INDEX(Model!$C$93:$CA$93,Model!$A47) + IF(wplyw_cen_import_wlaczony,'Tablica IO'!AJ281*INDEX(Model!$C$2:$CA$2,Model!$A47),'Tablica IO'!AJ281*1)</f>
        <v>1.5078643275847773E-3</v>
      </c>
      <c r="AK47" s="222" cm="1">
        <f t="array" aca="1" ref="AK47" ca="1">'Tablica IO'!AK203*INDEX(Model!$C$93:$CA$93,Model!$A47) + IF(wplyw_cen_import_wlaczony,'Tablica IO'!AK281*INDEX(Model!$C$2:$CA$2,Model!$A47),'Tablica IO'!AK281*1)</f>
        <v>4.4791297472579143E-2</v>
      </c>
      <c r="AL47" s="222" cm="1">
        <f t="array" aca="1" ref="AL47" ca="1">'Tablica IO'!AL203*INDEX(Model!$C$93:$CA$93,Model!$A47) + IF(wplyw_cen_import_wlaczony,'Tablica IO'!AL281*INDEX(Model!$C$2:$CA$2,Model!$A47),'Tablica IO'!AL281*1)</f>
        <v>3.242064019181078E-3</v>
      </c>
      <c r="AM47" s="222" cm="1">
        <f t="array" aca="1" ref="AM47" ca="1">'Tablica IO'!AM203*INDEX(Model!$C$93:$CA$93,Model!$A47) + IF(wplyw_cen_import_wlaczony,'Tablica IO'!AM281*INDEX(Model!$C$2:$CA$2,Model!$A47),'Tablica IO'!AM281*1)</f>
        <v>1.1410331487532557E-3</v>
      </c>
      <c r="AN47" s="222" cm="1">
        <f t="array" aca="1" ref="AN47" ca="1">'Tablica IO'!AN203*INDEX(Model!$C$93:$CA$93,Model!$A47) + IF(wplyw_cen_import_wlaczony,'Tablica IO'!AN281*INDEX(Model!$C$2:$CA$2,Model!$A47),'Tablica IO'!AN281*1)</f>
        <v>2.342946563351642E-2</v>
      </c>
      <c r="AO47" s="222" cm="1">
        <f t="array" aca="1" ref="AO47" ca="1">'Tablica IO'!AO203*INDEX(Model!$C$93:$CA$93,Model!$A47) + IF(wplyw_cen_import_wlaczony,'Tablica IO'!AO281*INDEX(Model!$C$2:$CA$2,Model!$A47),'Tablica IO'!AO281*1)</f>
        <v>4.6629570895428581E-3</v>
      </c>
      <c r="AP47" s="222" cm="1">
        <f t="array" aca="1" ref="AP47" ca="1">'Tablica IO'!AP203*INDEX(Model!$C$93:$CA$93,Model!$A47) + IF(wplyw_cen_import_wlaczony,'Tablica IO'!AP281*INDEX(Model!$C$2:$CA$2,Model!$A47),'Tablica IO'!AP281*1)</f>
        <v>2.1040858212704365E-3</v>
      </c>
      <c r="AQ47" s="222" cm="1">
        <f t="array" aca="1" ref="AQ47" ca="1">'Tablica IO'!AQ203*INDEX(Model!$C$93:$CA$93,Model!$A47) + IF(wplyw_cen_import_wlaczony,'Tablica IO'!AQ281*INDEX(Model!$C$2:$CA$2,Model!$A47),'Tablica IO'!AQ281*1)</f>
        <v>1.0290007772871526E-3</v>
      </c>
      <c r="AR47" s="222" cm="1">
        <f t="array" aca="1" ref="AR47" ca="1">'Tablica IO'!AR203*INDEX(Model!$C$93:$CA$93,Model!$A47) + IF(wplyw_cen_import_wlaczony,'Tablica IO'!AR281*INDEX(Model!$C$2:$CA$2,Model!$A47),'Tablica IO'!AR281*1)</f>
        <v>8.1918048945643683E-4</v>
      </c>
      <c r="AS47" s="222" cm="1">
        <f t="array" aca="1" ref="AS47" ca="1">'Tablica IO'!AS203*INDEX(Model!$C$93:$CA$93,Model!$A47) + IF(wplyw_cen_import_wlaczony,'Tablica IO'!AS281*INDEX(Model!$C$2:$CA$2,Model!$A47),'Tablica IO'!AS281*1)</f>
        <v>1.7596603360074512E-3</v>
      </c>
      <c r="AT47" s="222" cm="1">
        <f t="array" aca="1" ref="AT47" ca="1">'Tablica IO'!AT203*INDEX(Model!$C$93:$CA$93,Model!$A47) + IF(wplyw_cen_import_wlaczony,'Tablica IO'!AT281*INDEX(Model!$C$2:$CA$2,Model!$A47),'Tablica IO'!AT281*1)</f>
        <v>8.3961245638288732E-4</v>
      </c>
      <c r="AU47" s="222" cm="1">
        <f t="array" aca="1" ref="AU47" ca="1">'Tablica IO'!AU203*INDEX(Model!$C$93:$CA$93,Model!$A47) + IF(wplyw_cen_import_wlaczony,'Tablica IO'!AU281*INDEX(Model!$C$2:$CA$2,Model!$A47),'Tablica IO'!AU281*1)</f>
        <v>5.1188284833819351E-5</v>
      </c>
      <c r="AV47" s="222" cm="1">
        <f t="array" aca="1" ref="AV47" ca="1">'Tablica IO'!AV203*INDEX(Model!$C$93:$CA$93,Model!$A47) + IF(wplyw_cen_import_wlaczony,'Tablica IO'!AV281*INDEX(Model!$C$2:$CA$2,Model!$A47),'Tablica IO'!AV281*1)</f>
        <v>7.0743058955941842E-4</v>
      </c>
      <c r="AW47" s="222" cm="1">
        <f t="array" aca="1" ref="AW47" ca="1">'Tablica IO'!AW203*INDEX(Model!$C$93:$CA$93,Model!$A47) + IF(wplyw_cen_import_wlaczony,'Tablica IO'!AW281*INDEX(Model!$C$2:$CA$2,Model!$A47),'Tablica IO'!AW281*1)</f>
        <v>1.7613814710603099E-3</v>
      </c>
      <c r="AX47" s="222" cm="1">
        <f t="array" aca="1" ref="AX47" ca="1">'Tablica IO'!AX203*INDEX(Model!$C$93:$CA$93,Model!$A47) + IF(wplyw_cen_import_wlaczony,'Tablica IO'!AX281*INDEX(Model!$C$2:$CA$2,Model!$A47),'Tablica IO'!AX281*1)</f>
        <v>1.6433282633519879E-3</v>
      </c>
      <c r="AY47" s="222" cm="1">
        <f t="array" aca="1" ref="AY47" ca="1">'Tablica IO'!AY203*INDEX(Model!$C$93:$CA$93,Model!$A47) + IF(wplyw_cen_import_wlaczony,'Tablica IO'!AY281*INDEX(Model!$C$2:$CA$2,Model!$A47),'Tablica IO'!AY281*1)</f>
        <v>2.2689740671544205E-3</v>
      </c>
      <c r="AZ47" s="222" cm="1">
        <f t="array" aca="1" ref="AZ47" ca="1">'Tablica IO'!AZ203*INDEX(Model!$C$93:$CA$93,Model!$A47) + IF(wplyw_cen_import_wlaczony,'Tablica IO'!AZ281*INDEX(Model!$C$2:$CA$2,Model!$A47),'Tablica IO'!AZ281*1)</f>
        <v>2.1475653940076288E-3</v>
      </c>
      <c r="BA47" s="222" cm="1">
        <f t="array" aca="1" ref="BA47" ca="1">'Tablica IO'!BA203*INDEX(Model!$C$93:$CA$93,Model!$A47) + IF(wplyw_cen_import_wlaczony,'Tablica IO'!BA281*INDEX(Model!$C$2:$CA$2,Model!$A47),'Tablica IO'!BA281*1)</f>
        <v>1.2578310001127848E-3</v>
      </c>
      <c r="BB47" s="222" cm="1">
        <f t="array" aca="1" ref="BB47" ca="1">'Tablica IO'!BB203*INDEX(Model!$C$93:$CA$93,Model!$A47) + IF(wplyw_cen_import_wlaczony,'Tablica IO'!BB281*INDEX(Model!$C$2:$CA$2,Model!$A47),'Tablica IO'!BB281*1)</f>
        <v>4.360446777254308E-4</v>
      </c>
      <c r="BC47" s="222" cm="1">
        <f t="array" aca="1" ref="BC47" ca="1">'Tablica IO'!BC203*INDEX(Model!$C$93:$CA$93,Model!$A47) + IF(wplyw_cen_import_wlaczony,'Tablica IO'!BC281*INDEX(Model!$C$2:$CA$2,Model!$A47),'Tablica IO'!BC281*1)</f>
        <v>6.7567826172826393E-4</v>
      </c>
      <c r="BD47" s="222" cm="1">
        <f t="array" aca="1" ref="BD47" ca="1">'Tablica IO'!BD203*INDEX(Model!$C$93:$CA$93,Model!$A47) + IF(wplyw_cen_import_wlaczony,'Tablica IO'!BD281*INDEX(Model!$C$2:$CA$2,Model!$A47),'Tablica IO'!BD281*1)</f>
        <v>1.8289386508770721E-3</v>
      </c>
      <c r="BE47" s="222" cm="1">
        <f t="array" aca="1" ref="BE47" ca="1">'Tablica IO'!BE203*INDEX(Model!$C$93:$CA$93,Model!$A47) + IF(wplyw_cen_import_wlaczony,'Tablica IO'!BE281*INDEX(Model!$C$2:$CA$2,Model!$A47),'Tablica IO'!BE281*1)</f>
        <v>5.0092804616877159E-4</v>
      </c>
      <c r="BF47" s="222" cm="1">
        <f t="array" aca="1" ref="BF47" ca="1">'Tablica IO'!BF203*INDEX(Model!$C$93:$CA$93,Model!$A47) + IF(wplyw_cen_import_wlaczony,'Tablica IO'!BF281*INDEX(Model!$C$2:$CA$2,Model!$A47),'Tablica IO'!BF281*1)</f>
        <v>9.5672359049222633E-4</v>
      </c>
      <c r="BG47" s="222" cm="1">
        <f t="array" aca="1" ref="BG47" ca="1">'Tablica IO'!BG203*INDEX(Model!$C$93:$CA$93,Model!$A47) + IF(wplyw_cen_import_wlaczony,'Tablica IO'!BG281*INDEX(Model!$C$2:$CA$2,Model!$A47),'Tablica IO'!BG281*1)</f>
        <v>7.1936738346758283E-4</v>
      </c>
      <c r="BH47" s="222" cm="1">
        <f t="array" aca="1" ref="BH47" ca="1">'Tablica IO'!BH203*INDEX(Model!$C$93:$CA$93,Model!$A47) + IF(wplyw_cen_import_wlaczony,'Tablica IO'!BH281*INDEX(Model!$C$2:$CA$2,Model!$A47),'Tablica IO'!BH281*1)</f>
        <v>1.5476454488923277E-3</v>
      </c>
      <c r="BI47" s="222" cm="1">
        <f t="array" aca="1" ref="BI47" ca="1">'Tablica IO'!BI203*INDEX(Model!$C$93:$CA$93,Model!$A47) + IF(wplyw_cen_import_wlaczony,'Tablica IO'!BI281*INDEX(Model!$C$2:$CA$2,Model!$A47),'Tablica IO'!BI281*1)</f>
        <v>1.3055245305822545E-3</v>
      </c>
      <c r="BJ47" s="222" cm="1">
        <f t="array" aca="1" ref="BJ47" ca="1">'Tablica IO'!BJ203*INDEX(Model!$C$93:$CA$93,Model!$A47) + IF(wplyw_cen_import_wlaczony,'Tablica IO'!BJ281*INDEX(Model!$C$2:$CA$2,Model!$A47),'Tablica IO'!BJ281*1)</f>
        <v>2.5488530560544561E-2</v>
      </c>
      <c r="BK47" s="222" cm="1">
        <f t="array" aca="1" ref="BK47" ca="1">'Tablica IO'!BK203*INDEX(Model!$C$93:$CA$93,Model!$A47) + IF(wplyw_cen_import_wlaczony,'Tablica IO'!BK281*INDEX(Model!$C$2:$CA$2,Model!$A47),'Tablica IO'!BK281*1)</f>
        <v>2.5575926494872084E-3</v>
      </c>
      <c r="BL47" s="222" cm="1">
        <f t="array" aca="1" ref="BL47" ca="1">'Tablica IO'!BL203*INDEX(Model!$C$93:$CA$93,Model!$A47) + IF(wplyw_cen_import_wlaczony,'Tablica IO'!BL281*INDEX(Model!$C$2:$CA$2,Model!$A47),'Tablica IO'!BL281*1)</f>
        <v>2.2914985664147965E-3</v>
      </c>
      <c r="BM47" s="222" cm="1">
        <f t="array" aca="1" ref="BM47" ca="1">'Tablica IO'!BM203*INDEX(Model!$C$93:$CA$93,Model!$A47) + IF(wplyw_cen_import_wlaczony,'Tablica IO'!BM281*INDEX(Model!$C$2:$CA$2,Model!$A47),'Tablica IO'!BM281*1)</f>
        <v>4.0749482007980588E-3</v>
      </c>
      <c r="BN47" s="222" cm="1">
        <f t="array" aca="1" ref="BN47" ca="1">'Tablica IO'!BN203*INDEX(Model!$C$93:$CA$93,Model!$A47) + IF(wplyw_cen_import_wlaczony,'Tablica IO'!BN281*INDEX(Model!$C$2:$CA$2,Model!$A47),'Tablica IO'!BN281*1)</f>
        <v>6.3208879957680096E-3</v>
      </c>
      <c r="BO47" s="222" cm="1">
        <f t="array" aca="1" ref="BO47" ca="1">'Tablica IO'!BO203*INDEX(Model!$C$93:$CA$93,Model!$A47) + IF(wplyw_cen_import_wlaczony,'Tablica IO'!BO281*INDEX(Model!$C$2:$CA$2,Model!$A47),'Tablica IO'!BO281*1)</f>
        <v>2.2619143471149456E-3</v>
      </c>
      <c r="BP47" s="222" cm="1">
        <f t="array" aca="1" ref="BP47" ca="1">'Tablica IO'!BP203*INDEX(Model!$C$93:$CA$93,Model!$A47) + IF(wplyw_cen_import_wlaczony,'Tablica IO'!BP281*INDEX(Model!$C$2:$CA$2,Model!$A47),'Tablica IO'!BP281*1)</f>
        <v>4.5568116091254957E-3</v>
      </c>
      <c r="BQ47" s="222" cm="1">
        <f t="array" aca="1" ref="BQ47" ca="1">'Tablica IO'!BQ203*INDEX(Model!$C$93:$CA$93,Model!$A47) + IF(wplyw_cen_import_wlaczony,'Tablica IO'!BQ281*INDEX(Model!$C$2:$CA$2,Model!$A47),'Tablica IO'!BQ281*1)</f>
        <v>4.9192397053229658E-4</v>
      </c>
      <c r="BR47" s="222" cm="1">
        <f t="array" aca="1" ref="BR47" ca="1">'Tablica IO'!BR203*INDEX(Model!$C$93:$CA$93,Model!$A47) + IF(wplyw_cen_import_wlaczony,'Tablica IO'!BR281*INDEX(Model!$C$2:$CA$2,Model!$A47),'Tablica IO'!BR281*1)</f>
        <v>6.0848334373480304E-4</v>
      </c>
      <c r="BS47" s="222" cm="1">
        <f t="array" aca="1" ref="BS47" ca="1">'Tablica IO'!BS203*INDEX(Model!$C$93:$CA$93,Model!$A47) + IF(wplyw_cen_import_wlaczony,'Tablica IO'!BS281*INDEX(Model!$C$2:$CA$2,Model!$A47),'Tablica IO'!BS281*1)</f>
        <v>5.2893442879252178E-4</v>
      </c>
      <c r="BT47" s="222" cm="1">
        <f t="array" aca="1" ref="BT47" ca="1">'Tablica IO'!BT203*INDEX(Model!$C$93:$CA$93,Model!$A47) + IF(wplyw_cen_import_wlaczony,'Tablica IO'!BT281*INDEX(Model!$C$2:$CA$2,Model!$A47),'Tablica IO'!BT281*1)</f>
        <v>3.1939884429692901E-4</v>
      </c>
      <c r="BU47" s="222" cm="1">
        <f t="array" aca="1" ref="BU47" ca="1">'Tablica IO'!BU203*INDEX(Model!$C$93:$CA$93,Model!$A47) + IF(wplyw_cen_import_wlaczony,'Tablica IO'!BU281*INDEX(Model!$C$2:$CA$2,Model!$A47),'Tablica IO'!BU281*1)</f>
        <v>3.9850219205850095E-4</v>
      </c>
      <c r="BV47" s="222" cm="1">
        <f t="array" aca="1" ref="BV47" ca="1">'Tablica IO'!BV203*INDEX(Model!$C$93:$CA$93,Model!$A47) + IF(wplyw_cen_import_wlaczony,'Tablica IO'!BV281*INDEX(Model!$C$2:$CA$2,Model!$A47),'Tablica IO'!BV281*1)</f>
        <v>4.5399456920368044E-4</v>
      </c>
      <c r="BW47" s="222" cm="1">
        <f t="array" aca="1" ref="BW47" ca="1">'Tablica IO'!BW203*INDEX(Model!$C$93:$CA$93,Model!$A47) + IF(wplyw_cen_import_wlaczony,'Tablica IO'!BW281*INDEX(Model!$C$2:$CA$2,Model!$A47),'Tablica IO'!BW281*1)</f>
        <v>8.0218895711052735E-4</v>
      </c>
      <c r="BX47" s="222" cm="1">
        <f t="array" aca="1" ref="BX47" ca="1">'Tablica IO'!BX203*INDEX(Model!$C$93:$CA$93,Model!$A47) + IF(wplyw_cen_import_wlaczony,'Tablica IO'!BX281*INDEX(Model!$C$2:$CA$2,Model!$A47),'Tablica IO'!BX281*1)</f>
        <v>1.3267368833566426E-3</v>
      </c>
      <c r="BY47" s="222" cm="1">
        <f t="array" aca="1" ref="BY47" ca="1">'Tablica IO'!BY203*INDEX(Model!$C$93:$CA$93,Model!$A47) + IF(wplyw_cen_import_wlaczony,'Tablica IO'!BY281*INDEX(Model!$C$2:$CA$2,Model!$A47),'Tablica IO'!BY281*1)</f>
        <v>3.5904683278432264E-4</v>
      </c>
      <c r="BZ47" s="222" cm="1">
        <f t="array" aca="1" ref="BZ47" ca="1">'Tablica IO'!BZ203*INDEX(Model!$C$93:$CA$93,Model!$A47) + IF(wplyw_cen_import_wlaczony,'Tablica IO'!BZ281*INDEX(Model!$C$2:$CA$2,Model!$A47),'Tablica IO'!BZ281*1)</f>
        <v>2.2764406022020224E-3</v>
      </c>
      <c r="CA47" s="222" cm="1">
        <f t="array" aca="1" ref="CA47" ca="1">'Tablica IO'!CA203*INDEX(Model!$C$93:$CA$93,Model!$A47) + IF(wplyw_cen_import_wlaczony,'Tablica IO'!CA281*INDEX(Model!$C$2:$CA$2,Model!$A47),'Tablica IO'!CA281*1)</f>
        <v>0</v>
      </c>
      <c r="CB47" s="247">
        <f ca="1">'Tablica IO'!CD203*INDEX(Model!$C$93:$CA$93,Model!$A47)+'Tablica IO'!CD281*INDEX(Model!$C$2:$CA$2,Model!$A47)</f>
        <v>1.4591975922460117E-2</v>
      </c>
      <c r="CC47" s="188">
        <f ca="1">'Tablica IO'!CE203*INDEX(Model!$C$93:$CA$93,Model!$A47)+'Tablica IO'!CE281*INDEX(Model!$C$2:$CA$2,Model!$A47)</f>
        <v>4.1883683643295157E-5</v>
      </c>
      <c r="CD47" s="188">
        <f ca="1">'Tablica IO'!CF203*INDEX(Model!$C$93:$CA$93,Model!$A47)+'Tablica IO'!CF281*INDEX(Model!$C$2:$CA$2,Model!$A47)</f>
        <v>1.6799524483811255E-2</v>
      </c>
      <c r="CE47" s="189">
        <f ca="1">'Tablica IO'!CG203*INDEX(Model!$C$93:$CA$93,Model!$A47)+'Tablica IO'!CG281*INDEX(Model!$C$2:$CA$2,Model!$A47)</f>
        <v>1.8097913450147537E-2</v>
      </c>
    </row>
    <row r="48" spans="1:83" x14ac:dyDescent="0.25">
      <c r="A48" s="164">
        <v>36</v>
      </c>
      <c r="B48" s="172" t="s">
        <v>35</v>
      </c>
      <c r="C48" s="221" cm="1">
        <f t="array" aca="1" ref="C48" ca="1">'Tablica IO'!C204*INDEX(Model!$C$93:$CA$93,Model!$A48) + IF(wplyw_cen_import_wlaczony,'Tablica IO'!C282*INDEX(Model!$C$2:$CA$2,Model!$A48),'Tablica IO'!C282*1)</f>
        <v>3.8712502597857371E-2</v>
      </c>
      <c r="D48" s="222" cm="1">
        <f t="array" aca="1" ref="D48" ca="1">'Tablica IO'!D204*INDEX(Model!$C$93:$CA$93,Model!$A48) + IF(wplyw_cen_import_wlaczony,'Tablica IO'!D282*INDEX(Model!$C$2:$CA$2,Model!$A48),'Tablica IO'!D282*1)</f>
        <v>1.9807863901760259E-2</v>
      </c>
      <c r="E48" s="222" cm="1">
        <f t="array" aca="1" ref="E48" ca="1">'Tablica IO'!E204*INDEX(Model!$C$93:$CA$93,Model!$A48) + IF(wplyw_cen_import_wlaczony,'Tablica IO'!E282*INDEX(Model!$C$2:$CA$2,Model!$A48),'Tablica IO'!E282*1)</f>
        <v>2.3580685360612079E-2</v>
      </c>
      <c r="F48" s="222" cm="1">
        <f t="array" aca="1" ref="F48" ca="1">'Tablica IO'!F204*INDEX(Model!$C$93:$CA$93,Model!$A48) + IF(wplyw_cen_import_wlaczony,'Tablica IO'!F282*INDEX(Model!$C$2:$CA$2,Model!$A48),'Tablica IO'!F282*1)</f>
        <v>9.740924892580936E-3</v>
      </c>
      <c r="G48" s="222" cm="1">
        <f t="array" aca="1" ref="G48" ca="1">'Tablica IO'!G204*INDEX(Model!$C$93:$CA$93,Model!$A48) + IF(wplyw_cen_import_wlaczony,'Tablica IO'!G282*INDEX(Model!$C$2:$CA$2,Model!$A48),'Tablica IO'!G282*1)</f>
        <v>9.7026011870613351E-3</v>
      </c>
      <c r="H48" s="222" cm="1">
        <f t="array" aca="1" ref="H48" ca="1">'Tablica IO'!H204*INDEX(Model!$C$93:$CA$93,Model!$A48) + IF(wplyw_cen_import_wlaczony,'Tablica IO'!H282*INDEX(Model!$C$2:$CA$2,Model!$A48),'Tablica IO'!H282*1)</f>
        <v>8.9217214789062221E-2</v>
      </c>
      <c r="I48" s="222" cm="1">
        <f t="array" aca="1" ref="I48" ca="1">'Tablica IO'!I204*INDEX(Model!$C$93:$CA$93,Model!$A48) + IF(wplyw_cen_import_wlaczony,'Tablica IO'!I282*INDEX(Model!$C$2:$CA$2,Model!$A48),'Tablica IO'!I282*1)</f>
        <v>5.1554055053995837E-2</v>
      </c>
      <c r="J48" s="222" cm="1">
        <f t="array" aca="1" ref="J48" ca="1">'Tablica IO'!J204*INDEX(Model!$C$93:$CA$93,Model!$A48) + IF(wplyw_cen_import_wlaczony,'Tablica IO'!J282*INDEX(Model!$C$2:$CA$2,Model!$A48),'Tablica IO'!J282*1)</f>
        <v>3.0527826336742434E-2</v>
      </c>
      <c r="K48" s="222" cm="1">
        <f t="array" aca="1" ref="K48" ca="1">'Tablica IO'!K204*INDEX(Model!$C$93:$CA$93,Model!$A48) + IF(wplyw_cen_import_wlaczony,'Tablica IO'!K282*INDEX(Model!$C$2:$CA$2,Model!$A48),'Tablica IO'!K282*1)</f>
        <v>8.2161816684991951E-2</v>
      </c>
      <c r="L48" s="222" cm="1">
        <f t="array" aca="1" ref="L48" ca="1">'Tablica IO'!L204*INDEX(Model!$C$93:$CA$93,Model!$A48) + IF(wplyw_cen_import_wlaczony,'Tablica IO'!L282*INDEX(Model!$C$2:$CA$2,Model!$A48),'Tablica IO'!L282*1)</f>
        <v>4.6967668176600003E-2</v>
      </c>
      <c r="M48" s="222" cm="1">
        <f t="array" aca="1" ref="M48" ca="1">'Tablica IO'!M204*INDEX(Model!$C$93:$CA$93,Model!$A48) + IF(wplyw_cen_import_wlaczony,'Tablica IO'!M282*INDEX(Model!$C$2:$CA$2,Model!$A48),'Tablica IO'!M282*1)</f>
        <v>6.4296071208796629E-2</v>
      </c>
      <c r="N48" s="222" cm="1">
        <f t="array" aca="1" ref="N48" ca="1">'Tablica IO'!N204*INDEX(Model!$C$93:$CA$93,Model!$A48) + IF(wplyw_cen_import_wlaczony,'Tablica IO'!N282*INDEX(Model!$C$2:$CA$2,Model!$A48),'Tablica IO'!N282*1)</f>
        <v>5.1644499278054382E-2</v>
      </c>
      <c r="O48" s="222" cm="1">
        <f t="array" aca="1" ref="O48" ca="1">'Tablica IO'!O204*INDEX(Model!$C$93:$CA$93,Model!$A48) + IF(wplyw_cen_import_wlaczony,'Tablica IO'!O282*INDEX(Model!$C$2:$CA$2,Model!$A48),'Tablica IO'!O282*1)</f>
        <v>4.46398654610249E-2</v>
      </c>
      <c r="P48" s="222" cm="1">
        <f t="array" aca="1" ref="P48" ca="1">'Tablica IO'!P204*INDEX(Model!$C$93:$CA$93,Model!$A48) + IF(wplyw_cen_import_wlaczony,'Tablica IO'!P282*INDEX(Model!$C$2:$CA$2,Model!$A48),'Tablica IO'!P282*1)</f>
        <v>3.9559220474161681E-2</v>
      </c>
      <c r="Q48" s="222" cm="1">
        <f t="array" aca="1" ref="Q48" ca="1">'Tablica IO'!Q204*INDEX(Model!$C$93:$CA$93,Model!$A48) + IF(wplyw_cen_import_wlaczony,'Tablica IO'!Q282*INDEX(Model!$C$2:$CA$2,Model!$A48),'Tablica IO'!Q282*1)</f>
        <v>1.2043627329358786E-2</v>
      </c>
      <c r="R48" s="222" cm="1">
        <f t="array" aca="1" ref="R48" ca="1">'Tablica IO'!R204*INDEX(Model!$C$93:$CA$93,Model!$A48) + IF(wplyw_cen_import_wlaczony,'Tablica IO'!R282*INDEX(Model!$C$2:$CA$2,Model!$A48),'Tablica IO'!R282*1)</f>
        <v>4.1738605575353117E-2</v>
      </c>
      <c r="S48" s="222" cm="1">
        <f t="array" aca="1" ref="S48" ca="1">'Tablica IO'!S204*INDEX(Model!$C$93:$CA$93,Model!$A48) + IF(wplyw_cen_import_wlaczony,'Tablica IO'!S282*INDEX(Model!$C$2:$CA$2,Model!$A48),'Tablica IO'!S282*1)</f>
        <v>3.617513290019899E-2</v>
      </c>
      <c r="T48" s="222" cm="1">
        <f t="array" aca="1" ref="T48" ca="1">'Tablica IO'!T204*INDEX(Model!$C$93:$CA$93,Model!$A48) + IF(wplyw_cen_import_wlaczony,'Tablica IO'!T282*INDEX(Model!$C$2:$CA$2,Model!$A48),'Tablica IO'!T282*1)</f>
        <v>5.1332683708236189E-2</v>
      </c>
      <c r="U48" s="222" cm="1">
        <f t="array" aca="1" ref="U48" ca="1">'Tablica IO'!U204*INDEX(Model!$C$93:$CA$93,Model!$A48) + IF(wplyw_cen_import_wlaczony,'Tablica IO'!U282*INDEX(Model!$C$2:$CA$2,Model!$A48),'Tablica IO'!U282*1)</f>
        <v>4.1767851069731216E-2</v>
      </c>
      <c r="V48" s="222" cm="1">
        <f t="array" aca="1" ref="V48" ca="1">'Tablica IO'!V204*INDEX(Model!$C$93:$CA$93,Model!$A48) + IF(wplyw_cen_import_wlaczony,'Tablica IO'!V282*INDEX(Model!$C$2:$CA$2,Model!$A48),'Tablica IO'!V282*1)</f>
        <v>3.3395081130633684E-2</v>
      </c>
      <c r="W48" s="222" cm="1">
        <f t="array" aca="1" ref="W48" ca="1">'Tablica IO'!W204*INDEX(Model!$C$93:$CA$93,Model!$A48) + IF(wplyw_cen_import_wlaczony,'Tablica IO'!W282*INDEX(Model!$C$2:$CA$2,Model!$A48),'Tablica IO'!W282*1)</f>
        <v>2.7376792387237368E-2</v>
      </c>
      <c r="X48" s="222" cm="1">
        <f t="array" aca="1" ref="X48" ca="1">'Tablica IO'!X204*INDEX(Model!$C$93:$CA$93,Model!$A48) + IF(wplyw_cen_import_wlaczony,'Tablica IO'!X282*INDEX(Model!$C$2:$CA$2,Model!$A48),'Tablica IO'!X282*1)</f>
        <v>9.3391414791610117E-2</v>
      </c>
      <c r="Y48" s="222" cm="1">
        <f t="array" aca="1" ref="Y48" ca="1">'Tablica IO'!Y204*INDEX(Model!$C$93:$CA$93,Model!$A48) + IF(wplyw_cen_import_wlaczony,'Tablica IO'!Y282*INDEX(Model!$C$2:$CA$2,Model!$A48),'Tablica IO'!Y282*1)</f>
        <v>4.6640591742082897E-2</v>
      </c>
      <c r="Z48" s="222" cm="1">
        <f t="array" aca="1" ref="Z48" ca="1">'Tablica IO'!Z204*INDEX(Model!$C$93:$CA$93,Model!$A48) + IF(wplyw_cen_import_wlaczony,'Tablica IO'!Z282*INDEX(Model!$C$2:$CA$2,Model!$A48),'Tablica IO'!Z282*1)</f>
        <v>2.8440813860223128E-2</v>
      </c>
      <c r="AA48" s="222" cm="1">
        <f t="array" aca="1" ref="AA48" ca="1">'Tablica IO'!AA204*INDEX(Model!$C$93:$CA$93,Model!$A48) + IF(wplyw_cen_import_wlaczony,'Tablica IO'!AA282*INDEX(Model!$C$2:$CA$2,Model!$A48),'Tablica IO'!AA282*1)</f>
        <v>3.9135552104252472E-2</v>
      </c>
      <c r="AB48" s="222" cm="1">
        <f t="array" aca="1" ref="AB48" ca="1">'Tablica IO'!AB204*INDEX(Model!$C$93:$CA$93,Model!$A48) + IF(wplyw_cen_import_wlaczony,'Tablica IO'!AB282*INDEX(Model!$C$2:$CA$2,Model!$A48),'Tablica IO'!AB282*1)</f>
        <v>2.1406490013088173E-2</v>
      </c>
      <c r="AC48" s="222" cm="1">
        <f t="array" aca="1" ref="AC48" ca="1">'Tablica IO'!AC204*INDEX(Model!$C$93:$CA$93,Model!$A48) + IF(wplyw_cen_import_wlaczony,'Tablica IO'!AC282*INDEX(Model!$C$2:$CA$2,Model!$A48),'Tablica IO'!AC282*1)</f>
        <v>5.8794634379081889E-2</v>
      </c>
      <c r="AD48" s="222" cm="1">
        <f t="array" aca="1" ref="AD48" ca="1">'Tablica IO'!AD204*INDEX(Model!$C$93:$CA$93,Model!$A48) + IF(wplyw_cen_import_wlaczony,'Tablica IO'!AD282*INDEX(Model!$C$2:$CA$2,Model!$A48),'Tablica IO'!AD282*1)</f>
        <v>5.1312877619050554E-2</v>
      </c>
      <c r="AE48" s="222" cm="1">
        <f t="array" aca="1" ref="AE48" ca="1">'Tablica IO'!AE204*INDEX(Model!$C$93:$CA$93,Model!$A48) + IF(wplyw_cen_import_wlaczony,'Tablica IO'!AE282*INDEX(Model!$C$2:$CA$2,Model!$A48),'Tablica IO'!AE282*1)</f>
        <v>2.2428154854259117E-2</v>
      </c>
      <c r="AF48" s="222" cm="1">
        <f t="array" aca="1" ref="AF48" ca="1">'Tablica IO'!AF204*INDEX(Model!$C$93:$CA$93,Model!$A48) + IF(wplyw_cen_import_wlaczony,'Tablica IO'!AF282*INDEX(Model!$C$2:$CA$2,Model!$A48),'Tablica IO'!AF282*1)</f>
        <v>1.519062667362059E-2</v>
      </c>
      <c r="AG48" s="222" cm="1">
        <f t="array" aca="1" ref="AG48" ca="1">'Tablica IO'!AG204*INDEX(Model!$C$93:$CA$93,Model!$A48) + IF(wplyw_cen_import_wlaczony,'Tablica IO'!AG282*INDEX(Model!$C$2:$CA$2,Model!$A48),'Tablica IO'!AG282*1)</f>
        <v>5.1819395720573615E-3</v>
      </c>
      <c r="AH48" s="222" cm="1">
        <f t="array" aca="1" ref="AH48" ca="1">'Tablica IO'!AH204*INDEX(Model!$C$93:$CA$93,Model!$A48) + IF(wplyw_cen_import_wlaczony,'Tablica IO'!AH282*INDEX(Model!$C$2:$CA$2,Model!$A48),'Tablica IO'!AH282*1)</f>
        <v>1.9223671209153578E-2</v>
      </c>
      <c r="AI48" s="222" cm="1">
        <f t="array" aca="1" ref="AI48" ca="1">'Tablica IO'!AI204*INDEX(Model!$C$93:$CA$93,Model!$A48) + IF(wplyw_cen_import_wlaczony,'Tablica IO'!AI282*INDEX(Model!$C$2:$CA$2,Model!$A48),'Tablica IO'!AI282*1)</f>
        <v>5.2222102358356337E-3</v>
      </c>
      <c r="AJ48" s="222" cm="1">
        <f t="array" aca="1" ref="AJ48" ca="1">'Tablica IO'!AJ204*INDEX(Model!$C$93:$CA$93,Model!$A48) + IF(wplyw_cen_import_wlaczony,'Tablica IO'!AJ282*INDEX(Model!$C$2:$CA$2,Model!$A48),'Tablica IO'!AJ282*1)</f>
        <v>3.7798036845223378E-2</v>
      </c>
      <c r="AK48" s="222" cm="1">
        <f t="array" aca="1" ref="AK48" ca="1">'Tablica IO'!AK204*INDEX(Model!$C$93:$CA$93,Model!$A48) + IF(wplyw_cen_import_wlaczony,'Tablica IO'!AK282*INDEX(Model!$C$2:$CA$2,Model!$A48),'Tablica IO'!AK282*1)</f>
        <v>6.2912504079856105E-3</v>
      </c>
      <c r="AL48" s="222" cm="1">
        <f t="array" aca="1" ref="AL48" ca="1">'Tablica IO'!AL204*INDEX(Model!$C$93:$CA$93,Model!$A48) + IF(wplyw_cen_import_wlaczony,'Tablica IO'!AL282*INDEX(Model!$C$2:$CA$2,Model!$A48),'Tablica IO'!AL282*1)</f>
        <v>1.8779415481509108E-2</v>
      </c>
      <c r="AM48" s="222" cm="1">
        <f t="array" aca="1" ref="AM48" ca="1">'Tablica IO'!AM204*INDEX(Model!$C$93:$CA$93,Model!$A48) + IF(wplyw_cen_import_wlaczony,'Tablica IO'!AM282*INDEX(Model!$C$2:$CA$2,Model!$A48),'Tablica IO'!AM282*1)</f>
        <v>1.3175767798336962E-2</v>
      </c>
      <c r="AN48" s="222" cm="1">
        <f t="array" aca="1" ref="AN48" ca="1">'Tablica IO'!AN204*INDEX(Model!$C$93:$CA$93,Model!$A48) + IF(wplyw_cen_import_wlaczony,'Tablica IO'!AN282*INDEX(Model!$C$2:$CA$2,Model!$A48),'Tablica IO'!AN282*1)</f>
        <v>1.2139531867301238E-2</v>
      </c>
      <c r="AO48" s="222" cm="1">
        <f t="array" aca="1" ref="AO48" ca="1">'Tablica IO'!AO204*INDEX(Model!$C$93:$CA$93,Model!$A48) + IF(wplyw_cen_import_wlaczony,'Tablica IO'!AO282*INDEX(Model!$C$2:$CA$2,Model!$A48),'Tablica IO'!AO282*1)</f>
        <v>6.3563310851333108E-3</v>
      </c>
      <c r="AP48" s="222" cm="1">
        <f t="array" aca="1" ref="AP48" ca="1">'Tablica IO'!AP204*INDEX(Model!$C$93:$CA$93,Model!$A48) + IF(wplyw_cen_import_wlaczony,'Tablica IO'!AP282*INDEX(Model!$C$2:$CA$2,Model!$A48),'Tablica IO'!AP282*1)</f>
        <v>3.5406503227313054E-3</v>
      </c>
      <c r="AQ48" s="222" cm="1">
        <f t="array" aca="1" ref="AQ48" ca="1">'Tablica IO'!AQ204*INDEX(Model!$C$93:$CA$93,Model!$A48) + IF(wplyw_cen_import_wlaczony,'Tablica IO'!AQ282*INDEX(Model!$C$2:$CA$2,Model!$A48),'Tablica IO'!AQ282*1)</f>
        <v>3.6806792981068273E-2</v>
      </c>
      <c r="AR48" s="222" cm="1">
        <f t="array" aca="1" ref="AR48" ca="1">'Tablica IO'!AR204*INDEX(Model!$C$93:$CA$93,Model!$A48) + IF(wplyw_cen_import_wlaczony,'Tablica IO'!AR282*INDEX(Model!$C$2:$CA$2,Model!$A48),'Tablica IO'!AR282*1)</f>
        <v>7.8507706336530841E-2</v>
      </c>
      <c r="AS48" s="222" cm="1">
        <f t="array" aca="1" ref="AS48" ca="1">'Tablica IO'!AS204*INDEX(Model!$C$93:$CA$93,Model!$A48) + IF(wplyw_cen_import_wlaczony,'Tablica IO'!AS282*INDEX(Model!$C$2:$CA$2,Model!$A48),'Tablica IO'!AS282*1)</f>
        <v>2.7577094204757104E-2</v>
      </c>
      <c r="AT48" s="222" cm="1">
        <f t="array" aca="1" ref="AT48" ca="1">'Tablica IO'!AT204*INDEX(Model!$C$93:$CA$93,Model!$A48) + IF(wplyw_cen_import_wlaczony,'Tablica IO'!AT282*INDEX(Model!$C$2:$CA$2,Model!$A48),'Tablica IO'!AT282*1)</f>
        <v>1.0574196583741719E-2</v>
      </c>
      <c r="AU48" s="222" cm="1">
        <f t="array" aca="1" ref="AU48" ca="1">'Tablica IO'!AU204*INDEX(Model!$C$93:$CA$93,Model!$A48) + IF(wplyw_cen_import_wlaczony,'Tablica IO'!AU282*INDEX(Model!$C$2:$CA$2,Model!$A48),'Tablica IO'!AU282*1)</f>
        <v>1.4843189084904327E-3</v>
      </c>
      <c r="AV48" s="222" cm="1">
        <f t="array" aca="1" ref="AV48" ca="1">'Tablica IO'!AV204*INDEX(Model!$C$93:$CA$93,Model!$A48) + IF(wplyw_cen_import_wlaczony,'Tablica IO'!AV282*INDEX(Model!$C$2:$CA$2,Model!$A48),'Tablica IO'!AV282*1)</f>
        <v>1.9383081248933787E-2</v>
      </c>
      <c r="AW48" s="222" cm="1">
        <f t="array" aca="1" ref="AW48" ca="1">'Tablica IO'!AW204*INDEX(Model!$C$93:$CA$93,Model!$A48) + IF(wplyw_cen_import_wlaczony,'Tablica IO'!AW282*INDEX(Model!$C$2:$CA$2,Model!$A48),'Tablica IO'!AW282*1)</f>
        <v>7.0582525853099924E-3</v>
      </c>
      <c r="AX48" s="222" cm="1">
        <f t="array" aca="1" ref="AX48" ca="1">'Tablica IO'!AX204*INDEX(Model!$C$93:$CA$93,Model!$A48) + IF(wplyw_cen_import_wlaczony,'Tablica IO'!AX282*INDEX(Model!$C$2:$CA$2,Model!$A48),'Tablica IO'!AX282*1)</f>
        <v>4.6803913146529026E-3</v>
      </c>
      <c r="AY48" s="222" cm="1">
        <f t="array" aca="1" ref="AY48" ca="1">'Tablica IO'!AY204*INDEX(Model!$C$93:$CA$93,Model!$A48) + IF(wplyw_cen_import_wlaczony,'Tablica IO'!AY282*INDEX(Model!$C$2:$CA$2,Model!$A48),'Tablica IO'!AY282*1)</f>
        <v>5.1118981493181856E-3</v>
      </c>
      <c r="AZ48" s="222" cm="1">
        <f t="array" aca="1" ref="AZ48" ca="1">'Tablica IO'!AZ204*INDEX(Model!$C$93:$CA$93,Model!$A48) + IF(wplyw_cen_import_wlaczony,'Tablica IO'!AZ282*INDEX(Model!$C$2:$CA$2,Model!$A48),'Tablica IO'!AZ282*1)</f>
        <v>1.8107705117456095E-2</v>
      </c>
      <c r="BA48" s="222" cm="1">
        <f t="array" aca="1" ref="BA48" ca="1">'Tablica IO'!BA204*INDEX(Model!$C$93:$CA$93,Model!$A48) + IF(wplyw_cen_import_wlaczony,'Tablica IO'!BA282*INDEX(Model!$C$2:$CA$2,Model!$A48),'Tablica IO'!BA282*1)</f>
        <v>2.49947107232305E-3</v>
      </c>
      <c r="BB48" s="222" cm="1">
        <f t="array" aca="1" ref="BB48" ca="1">'Tablica IO'!BB204*INDEX(Model!$C$93:$CA$93,Model!$A48) + IF(wplyw_cen_import_wlaczony,'Tablica IO'!BB282*INDEX(Model!$C$2:$CA$2,Model!$A48),'Tablica IO'!BB282*1)</f>
        <v>5.2604293950958567E-3</v>
      </c>
      <c r="BC48" s="222" cm="1">
        <f t="array" aca="1" ref="BC48" ca="1">'Tablica IO'!BC204*INDEX(Model!$C$93:$CA$93,Model!$A48) + IF(wplyw_cen_import_wlaczony,'Tablica IO'!BC282*INDEX(Model!$C$2:$CA$2,Model!$A48),'Tablica IO'!BC282*1)</f>
        <v>1.7981230070959842E-3</v>
      </c>
      <c r="BD48" s="222" cm="1">
        <f t="array" aca="1" ref="BD48" ca="1">'Tablica IO'!BD204*INDEX(Model!$C$93:$CA$93,Model!$A48) + IF(wplyw_cen_import_wlaczony,'Tablica IO'!BD282*INDEX(Model!$C$2:$CA$2,Model!$A48),'Tablica IO'!BD282*1)</f>
        <v>3.3719169376598915E-3</v>
      </c>
      <c r="BE48" s="222" cm="1">
        <f t="array" aca="1" ref="BE48" ca="1">'Tablica IO'!BE204*INDEX(Model!$C$93:$CA$93,Model!$A48) + IF(wplyw_cen_import_wlaczony,'Tablica IO'!BE282*INDEX(Model!$C$2:$CA$2,Model!$A48),'Tablica IO'!BE282*1)</f>
        <v>8.3072127035007711E-3</v>
      </c>
      <c r="BF48" s="222" cm="1">
        <f t="array" aca="1" ref="BF48" ca="1">'Tablica IO'!BF204*INDEX(Model!$C$93:$CA$93,Model!$A48) + IF(wplyw_cen_import_wlaczony,'Tablica IO'!BF282*INDEX(Model!$C$2:$CA$2,Model!$A48),'Tablica IO'!BF282*1)</f>
        <v>1.3827976646020318E-2</v>
      </c>
      <c r="BG48" s="222" cm="1">
        <f t="array" aca="1" ref="BG48" ca="1">'Tablica IO'!BG204*INDEX(Model!$C$93:$CA$93,Model!$A48) + IF(wplyw_cen_import_wlaczony,'Tablica IO'!BG282*INDEX(Model!$C$2:$CA$2,Model!$A48),'Tablica IO'!BG282*1)</f>
        <v>3.80062323953646E-3</v>
      </c>
      <c r="BH48" s="222" cm="1">
        <f t="array" aca="1" ref="BH48" ca="1">'Tablica IO'!BH204*INDEX(Model!$C$93:$CA$93,Model!$A48) + IF(wplyw_cen_import_wlaczony,'Tablica IO'!BH282*INDEX(Model!$C$2:$CA$2,Model!$A48),'Tablica IO'!BH282*1)</f>
        <v>5.9332954810449624E-3</v>
      </c>
      <c r="BI48" s="222" cm="1">
        <f t="array" aca="1" ref="BI48" ca="1">'Tablica IO'!BI204*INDEX(Model!$C$93:$CA$93,Model!$A48) + IF(wplyw_cen_import_wlaczony,'Tablica IO'!BI282*INDEX(Model!$C$2:$CA$2,Model!$A48),'Tablica IO'!BI282*1)</f>
        <v>4.2520845291672105E-2</v>
      </c>
      <c r="BJ48" s="222" cm="1">
        <f t="array" aca="1" ref="BJ48" ca="1">'Tablica IO'!BJ204*INDEX(Model!$C$93:$CA$93,Model!$A48) + IF(wplyw_cen_import_wlaczony,'Tablica IO'!BJ282*INDEX(Model!$C$2:$CA$2,Model!$A48),'Tablica IO'!BJ282*1)</f>
        <v>8.3571990272118674E-3</v>
      </c>
      <c r="BK48" s="222" cm="1">
        <f t="array" aca="1" ref="BK48" ca="1">'Tablica IO'!BK204*INDEX(Model!$C$93:$CA$93,Model!$A48) + IF(wplyw_cen_import_wlaczony,'Tablica IO'!BK282*INDEX(Model!$C$2:$CA$2,Model!$A48),'Tablica IO'!BK282*1)</f>
        <v>1.7721059914468441E-3</v>
      </c>
      <c r="BL48" s="222" cm="1">
        <f t="array" aca="1" ref="BL48" ca="1">'Tablica IO'!BL204*INDEX(Model!$C$93:$CA$93,Model!$A48) + IF(wplyw_cen_import_wlaczony,'Tablica IO'!BL282*INDEX(Model!$C$2:$CA$2,Model!$A48),'Tablica IO'!BL282*1)</f>
        <v>2.162929440686712E-3</v>
      </c>
      <c r="BM48" s="222" cm="1">
        <f t="array" aca="1" ref="BM48" ca="1">'Tablica IO'!BM204*INDEX(Model!$C$93:$CA$93,Model!$A48) + IF(wplyw_cen_import_wlaczony,'Tablica IO'!BM282*INDEX(Model!$C$2:$CA$2,Model!$A48),'Tablica IO'!BM282*1)</f>
        <v>7.6498181596316378E-3</v>
      </c>
      <c r="BN48" s="222" cm="1">
        <f t="array" aca="1" ref="BN48" ca="1">'Tablica IO'!BN204*INDEX(Model!$C$93:$CA$93,Model!$A48) + IF(wplyw_cen_import_wlaczony,'Tablica IO'!BN282*INDEX(Model!$C$2:$CA$2,Model!$A48),'Tablica IO'!BN282*1)</f>
        <v>1.9347032869153593E-2</v>
      </c>
      <c r="BO48" s="222" cm="1">
        <f t="array" aca="1" ref="BO48" ca="1">'Tablica IO'!BO204*INDEX(Model!$C$93:$CA$93,Model!$A48) + IF(wplyw_cen_import_wlaczony,'Tablica IO'!BO282*INDEX(Model!$C$2:$CA$2,Model!$A48),'Tablica IO'!BO282*1)</f>
        <v>2.3338178847768235E-2</v>
      </c>
      <c r="BP48" s="222" cm="1">
        <f t="array" aca="1" ref="BP48" ca="1">'Tablica IO'!BP204*INDEX(Model!$C$93:$CA$93,Model!$A48) + IF(wplyw_cen_import_wlaczony,'Tablica IO'!BP282*INDEX(Model!$C$2:$CA$2,Model!$A48),'Tablica IO'!BP282*1)</f>
        <v>8.0764785248872619E-3</v>
      </c>
      <c r="BQ48" s="222" cm="1">
        <f t="array" aca="1" ref="BQ48" ca="1">'Tablica IO'!BQ204*INDEX(Model!$C$93:$CA$93,Model!$A48) + IF(wplyw_cen_import_wlaczony,'Tablica IO'!BQ282*INDEX(Model!$C$2:$CA$2,Model!$A48),'Tablica IO'!BQ282*1)</f>
        <v>6.2217129962018319E-3</v>
      </c>
      <c r="BR48" s="222" cm="1">
        <f t="array" aca="1" ref="BR48" ca="1">'Tablica IO'!BR204*INDEX(Model!$C$93:$CA$93,Model!$A48) + IF(wplyw_cen_import_wlaczony,'Tablica IO'!BR282*INDEX(Model!$C$2:$CA$2,Model!$A48),'Tablica IO'!BR282*1)</f>
        <v>2.4108282212993392E-2</v>
      </c>
      <c r="BS48" s="222" cm="1">
        <f t="array" aca="1" ref="BS48" ca="1">'Tablica IO'!BS204*INDEX(Model!$C$93:$CA$93,Model!$A48) + IF(wplyw_cen_import_wlaczony,'Tablica IO'!BS282*INDEX(Model!$C$2:$CA$2,Model!$A48),'Tablica IO'!BS282*1)</f>
        <v>1.3817986121624423E-2</v>
      </c>
      <c r="BT48" s="222" cm="1">
        <f t="array" aca="1" ref="BT48" ca="1">'Tablica IO'!BT204*INDEX(Model!$C$93:$CA$93,Model!$A48) + IF(wplyw_cen_import_wlaczony,'Tablica IO'!BT282*INDEX(Model!$C$2:$CA$2,Model!$A48),'Tablica IO'!BT282*1)</f>
        <v>1.0383398110201288E-2</v>
      </c>
      <c r="BU48" s="222" cm="1">
        <f t="array" aca="1" ref="BU48" ca="1">'Tablica IO'!BU204*INDEX(Model!$C$93:$CA$93,Model!$A48) + IF(wplyw_cen_import_wlaczony,'Tablica IO'!BU282*INDEX(Model!$C$2:$CA$2,Model!$A48),'Tablica IO'!BU282*1)</f>
        <v>7.6888489607449635E-3</v>
      </c>
      <c r="BV48" s="222" cm="1">
        <f t="array" aca="1" ref="BV48" ca="1">'Tablica IO'!BV204*INDEX(Model!$C$93:$CA$93,Model!$A48) + IF(wplyw_cen_import_wlaczony,'Tablica IO'!BV282*INDEX(Model!$C$2:$CA$2,Model!$A48),'Tablica IO'!BV282*1)</f>
        <v>5.1659529571747281E-3</v>
      </c>
      <c r="BW48" s="222" cm="1">
        <f t="array" aca="1" ref="BW48" ca="1">'Tablica IO'!BW204*INDEX(Model!$C$93:$CA$93,Model!$A48) + IF(wplyw_cen_import_wlaczony,'Tablica IO'!BW282*INDEX(Model!$C$2:$CA$2,Model!$A48),'Tablica IO'!BW282*1)</f>
        <v>9.0598884269739062E-3</v>
      </c>
      <c r="BX48" s="222" cm="1">
        <f t="array" aca="1" ref="BX48" ca="1">'Tablica IO'!BX204*INDEX(Model!$C$93:$CA$93,Model!$A48) + IF(wplyw_cen_import_wlaczony,'Tablica IO'!BX282*INDEX(Model!$C$2:$CA$2,Model!$A48),'Tablica IO'!BX282*1)</f>
        <v>6.7442964585208709E-2</v>
      </c>
      <c r="BY48" s="222" cm="1">
        <f t="array" aca="1" ref="BY48" ca="1">'Tablica IO'!BY204*INDEX(Model!$C$93:$CA$93,Model!$A48) + IF(wplyw_cen_import_wlaczony,'Tablica IO'!BY282*INDEX(Model!$C$2:$CA$2,Model!$A48),'Tablica IO'!BY282*1)</f>
        <v>1.3978150030687003E-2</v>
      </c>
      <c r="BZ48" s="222" cm="1">
        <f t="array" aca="1" ref="BZ48" ca="1">'Tablica IO'!BZ204*INDEX(Model!$C$93:$CA$93,Model!$A48) + IF(wplyw_cen_import_wlaczony,'Tablica IO'!BZ282*INDEX(Model!$C$2:$CA$2,Model!$A48),'Tablica IO'!BZ282*1)</f>
        <v>1.009341667957519E-2</v>
      </c>
      <c r="CA48" s="222" cm="1">
        <f t="array" aca="1" ref="CA48" ca="1">'Tablica IO'!CA204*INDEX(Model!$C$93:$CA$93,Model!$A48) + IF(wplyw_cen_import_wlaczony,'Tablica IO'!CA282*INDEX(Model!$C$2:$CA$2,Model!$A48),'Tablica IO'!CA282*1)</f>
        <v>0</v>
      </c>
      <c r="CB48" s="247">
        <f ca="1">'Tablica IO'!CD204*INDEX(Model!$C$93:$CA$93,Model!$A48)+'Tablica IO'!CD282*INDEX(Model!$C$2:$CA$2,Model!$A48)</f>
        <v>2.8297424474335212E-2</v>
      </c>
      <c r="CC48" s="188">
        <f ca="1">'Tablica IO'!CE204*INDEX(Model!$C$93:$CA$93,Model!$A48)+'Tablica IO'!CE282*INDEX(Model!$C$2:$CA$2,Model!$A48)</f>
        <v>7.1201672478201023E-3</v>
      </c>
      <c r="CD48" s="188">
        <f ca="1">'Tablica IO'!CF204*INDEX(Model!$C$93:$CA$93,Model!$A48)+'Tablica IO'!CF282*INDEX(Model!$C$2:$CA$2,Model!$A48)</f>
        <v>3.2428957869393663E-2</v>
      </c>
      <c r="CE48" s="189">
        <f ca="1">'Tablica IO'!CG204*INDEX(Model!$C$93:$CA$93,Model!$A48)+'Tablica IO'!CG282*INDEX(Model!$C$2:$CA$2,Model!$A48)</f>
        <v>5.9267315288948692E-2</v>
      </c>
    </row>
    <row r="49" spans="1:83" x14ac:dyDescent="0.25">
      <c r="A49" s="164">
        <v>37</v>
      </c>
      <c r="B49" s="172" t="s">
        <v>36</v>
      </c>
      <c r="C49" s="221" cm="1">
        <f t="array" aca="1" ref="C49" ca="1">'Tablica IO'!C205*INDEX(Model!$C$93:$CA$93,Model!$A49) + IF(wplyw_cen_import_wlaczony,'Tablica IO'!C283*INDEX(Model!$C$2:$CA$2,Model!$A49),'Tablica IO'!C283*1)</f>
        <v>3.7974474938837682E-2</v>
      </c>
      <c r="D49" s="222" cm="1">
        <f t="array" aca="1" ref="D49" ca="1">'Tablica IO'!D205*INDEX(Model!$C$93:$CA$93,Model!$A49) + IF(wplyw_cen_import_wlaczony,'Tablica IO'!D283*INDEX(Model!$C$2:$CA$2,Model!$A49),'Tablica IO'!D283*1)</f>
        <v>2.118963073283409E-2</v>
      </c>
      <c r="E49" s="222" cm="1">
        <f t="array" aca="1" ref="E49" ca="1">'Tablica IO'!E205*INDEX(Model!$C$93:$CA$93,Model!$A49) + IF(wplyw_cen_import_wlaczony,'Tablica IO'!E283*INDEX(Model!$C$2:$CA$2,Model!$A49),'Tablica IO'!E283*1)</f>
        <v>3.2451819949635377E-2</v>
      </c>
      <c r="F49" s="222" cm="1">
        <f t="array" aca="1" ref="F49" ca="1">'Tablica IO'!F205*INDEX(Model!$C$93:$CA$93,Model!$A49) + IF(wplyw_cen_import_wlaczony,'Tablica IO'!F283*INDEX(Model!$C$2:$CA$2,Model!$A49),'Tablica IO'!F283*1)</f>
        <v>5.3470494612640699E-3</v>
      </c>
      <c r="G49" s="222" cm="1">
        <f t="array" aca="1" ref="G49" ca="1">'Tablica IO'!G205*INDEX(Model!$C$93:$CA$93,Model!$A49) + IF(wplyw_cen_import_wlaczony,'Tablica IO'!G283*INDEX(Model!$C$2:$CA$2,Model!$A49),'Tablica IO'!G283*1)</f>
        <v>9.0818443055103032E-3</v>
      </c>
      <c r="H49" s="222" cm="1">
        <f t="array" aca="1" ref="H49" ca="1">'Tablica IO'!H205*INDEX(Model!$C$93:$CA$93,Model!$A49) + IF(wplyw_cen_import_wlaczony,'Tablica IO'!H283*INDEX(Model!$C$2:$CA$2,Model!$A49),'Tablica IO'!H283*1)</f>
        <v>3.035412953872894E-2</v>
      </c>
      <c r="I49" s="222" cm="1">
        <f t="array" aca="1" ref="I49" ca="1">'Tablica IO'!I205*INDEX(Model!$C$93:$CA$93,Model!$A49) + IF(wplyw_cen_import_wlaczony,'Tablica IO'!I283*INDEX(Model!$C$2:$CA$2,Model!$A49),'Tablica IO'!I283*1)</f>
        <v>2.1057724982750867E-2</v>
      </c>
      <c r="J49" s="222" cm="1">
        <f t="array" aca="1" ref="J49" ca="1">'Tablica IO'!J205*INDEX(Model!$C$93:$CA$93,Model!$A49) + IF(wplyw_cen_import_wlaczony,'Tablica IO'!J283*INDEX(Model!$C$2:$CA$2,Model!$A49),'Tablica IO'!J283*1)</f>
        <v>6.2050590653279858E-3</v>
      </c>
      <c r="K49" s="222" cm="1">
        <f t="array" aca="1" ref="K49" ca="1">'Tablica IO'!K205*INDEX(Model!$C$93:$CA$93,Model!$A49) + IF(wplyw_cen_import_wlaczony,'Tablica IO'!K283*INDEX(Model!$C$2:$CA$2,Model!$A49),'Tablica IO'!K283*1)</f>
        <v>1.6709971341882464E-2</v>
      </c>
      <c r="L49" s="222" cm="1">
        <f t="array" aca="1" ref="L49" ca="1">'Tablica IO'!L205*INDEX(Model!$C$93:$CA$93,Model!$A49) + IF(wplyw_cen_import_wlaczony,'Tablica IO'!L283*INDEX(Model!$C$2:$CA$2,Model!$A49),'Tablica IO'!L283*1)</f>
        <v>1.3393920886576887E-2</v>
      </c>
      <c r="M49" s="222" cm="1">
        <f t="array" aca="1" ref="M49" ca="1">'Tablica IO'!M205*INDEX(Model!$C$93:$CA$93,Model!$A49) + IF(wplyw_cen_import_wlaczony,'Tablica IO'!M283*INDEX(Model!$C$2:$CA$2,Model!$A49),'Tablica IO'!M283*1)</f>
        <v>2.1657837093985687E-2</v>
      </c>
      <c r="N49" s="222" cm="1">
        <f t="array" aca="1" ref="N49" ca="1">'Tablica IO'!N205*INDEX(Model!$C$93:$CA$93,Model!$A49) + IF(wplyw_cen_import_wlaczony,'Tablica IO'!N283*INDEX(Model!$C$2:$CA$2,Model!$A49),'Tablica IO'!N283*1)</f>
        <v>2.9324791162959336E-2</v>
      </c>
      <c r="O49" s="222" cm="1">
        <f t="array" aca="1" ref="O49" ca="1">'Tablica IO'!O205*INDEX(Model!$C$93:$CA$93,Model!$A49) + IF(wplyw_cen_import_wlaczony,'Tablica IO'!O283*INDEX(Model!$C$2:$CA$2,Model!$A49),'Tablica IO'!O283*1)</f>
        <v>2.0265471391613055E-2</v>
      </c>
      <c r="P49" s="222" cm="1">
        <f t="array" aca="1" ref="P49" ca="1">'Tablica IO'!P205*INDEX(Model!$C$93:$CA$93,Model!$A49) + IF(wplyw_cen_import_wlaczony,'Tablica IO'!P283*INDEX(Model!$C$2:$CA$2,Model!$A49),'Tablica IO'!P283*1)</f>
        <v>1.6952170082746073E-2</v>
      </c>
      <c r="Q49" s="222" cm="1">
        <f t="array" aca="1" ref="Q49" ca="1">'Tablica IO'!Q205*INDEX(Model!$C$93:$CA$93,Model!$A49) + IF(wplyw_cen_import_wlaczony,'Tablica IO'!Q283*INDEX(Model!$C$2:$CA$2,Model!$A49),'Tablica IO'!Q283*1)</f>
        <v>5.9960874233784232E-3</v>
      </c>
      <c r="R49" s="222" cm="1">
        <f t="array" aca="1" ref="R49" ca="1">'Tablica IO'!R205*INDEX(Model!$C$93:$CA$93,Model!$A49) + IF(wplyw_cen_import_wlaczony,'Tablica IO'!R283*INDEX(Model!$C$2:$CA$2,Model!$A49),'Tablica IO'!R283*1)</f>
        <v>1.7089506194098721E-2</v>
      </c>
      <c r="S49" s="222" cm="1">
        <f t="array" aca="1" ref="S49" ca="1">'Tablica IO'!S205*INDEX(Model!$C$93:$CA$93,Model!$A49) + IF(wplyw_cen_import_wlaczony,'Tablica IO'!S283*INDEX(Model!$C$2:$CA$2,Model!$A49),'Tablica IO'!S283*1)</f>
        <v>1.1434979277757114E-2</v>
      </c>
      <c r="T49" s="222" cm="1">
        <f t="array" aca="1" ref="T49" ca="1">'Tablica IO'!T205*INDEX(Model!$C$93:$CA$93,Model!$A49) + IF(wplyw_cen_import_wlaczony,'Tablica IO'!T283*INDEX(Model!$C$2:$CA$2,Model!$A49),'Tablica IO'!T283*1)</f>
        <v>1.5086577550463122E-2</v>
      </c>
      <c r="U49" s="222" cm="1">
        <f t="array" aca="1" ref="U49" ca="1">'Tablica IO'!U205*INDEX(Model!$C$93:$CA$93,Model!$A49) + IF(wplyw_cen_import_wlaczony,'Tablica IO'!U283*INDEX(Model!$C$2:$CA$2,Model!$A49),'Tablica IO'!U283*1)</f>
        <v>1.5703786798620736E-2</v>
      </c>
      <c r="V49" s="222" cm="1">
        <f t="array" aca="1" ref="V49" ca="1">'Tablica IO'!V205*INDEX(Model!$C$93:$CA$93,Model!$A49) + IF(wplyw_cen_import_wlaczony,'Tablica IO'!V283*INDEX(Model!$C$2:$CA$2,Model!$A49),'Tablica IO'!V283*1)</f>
        <v>1.1896936753360669E-2</v>
      </c>
      <c r="W49" s="222" cm="1">
        <f t="array" aca="1" ref="W49" ca="1">'Tablica IO'!W205*INDEX(Model!$C$93:$CA$93,Model!$A49) + IF(wplyw_cen_import_wlaczony,'Tablica IO'!W283*INDEX(Model!$C$2:$CA$2,Model!$A49),'Tablica IO'!W283*1)</f>
        <v>1.1159144147648672E-2</v>
      </c>
      <c r="X49" s="222" cm="1">
        <f t="array" aca="1" ref="X49" ca="1">'Tablica IO'!X205*INDEX(Model!$C$93:$CA$93,Model!$A49) + IF(wplyw_cen_import_wlaczony,'Tablica IO'!X283*INDEX(Model!$C$2:$CA$2,Model!$A49),'Tablica IO'!X283*1)</f>
        <v>2.3410171359397398E-2</v>
      </c>
      <c r="Y49" s="222" cm="1">
        <f t="array" aca="1" ref="Y49" ca="1">'Tablica IO'!Y205*INDEX(Model!$C$93:$CA$93,Model!$A49) + IF(wplyw_cen_import_wlaczony,'Tablica IO'!Y283*INDEX(Model!$C$2:$CA$2,Model!$A49),'Tablica IO'!Y283*1)</f>
        <v>2.0621977869441335E-2</v>
      </c>
      <c r="Z49" s="222" cm="1">
        <f t="array" aca="1" ref="Z49" ca="1">'Tablica IO'!Z205*INDEX(Model!$C$93:$CA$93,Model!$A49) + IF(wplyw_cen_import_wlaczony,'Tablica IO'!Z283*INDEX(Model!$C$2:$CA$2,Model!$A49),'Tablica IO'!Z283*1)</f>
        <v>1.6459269061493368E-2</v>
      </c>
      <c r="AA49" s="222" cm="1">
        <f t="array" aca="1" ref="AA49" ca="1">'Tablica IO'!AA205*INDEX(Model!$C$93:$CA$93,Model!$A49) + IF(wplyw_cen_import_wlaczony,'Tablica IO'!AA283*INDEX(Model!$C$2:$CA$2,Model!$A49),'Tablica IO'!AA283*1)</f>
        <v>8.5972599763218006E-3</v>
      </c>
      <c r="AB49" s="222" cm="1">
        <f t="array" aca="1" ref="AB49" ca="1">'Tablica IO'!AB205*INDEX(Model!$C$93:$CA$93,Model!$A49) + IF(wplyw_cen_import_wlaczony,'Tablica IO'!AB283*INDEX(Model!$C$2:$CA$2,Model!$A49),'Tablica IO'!AB283*1)</f>
        <v>1.1346624767092884E-2</v>
      </c>
      <c r="AC49" s="222" cm="1">
        <f t="array" aca="1" ref="AC49" ca="1">'Tablica IO'!AC205*INDEX(Model!$C$93:$CA$93,Model!$A49) + IF(wplyw_cen_import_wlaczony,'Tablica IO'!AC283*INDEX(Model!$C$2:$CA$2,Model!$A49),'Tablica IO'!AC283*1)</f>
        <v>3.4398823676841987E-2</v>
      </c>
      <c r="AD49" s="222" cm="1">
        <f t="array" aca="1" ref="AD49" ca="1">'Tablica IO'!AD205*INDEX(Model!$C$93:$CA$93,Model!$A49) + IF(wplyw_cen_import_wlaczony,'Tablica IO'!AD283*INDEX(Model!$C$2:$CA$2,Model!$A49),'Tablica IO'!AD283*1)</f>
        <v>2.197502079903034E-2</v>
      </c>
      <c r="AE49" s="222" cm="1">
        <f t="array" aca="1" ref="AE49" ca="1">'Tablica IO'!AE205*INDEX(Model!$C$93:$CA$93,Model!$A49) + IF(wplyw_cen_import_wlaczony,'Tablica IO'!AE283*INDEX(Model!$C$2:$CA$2,Model!$A49),'Tablica IO'!AE283*1)</f>
        <v>7.4392287597847646E-3</v>
      </c>
      <c r="AF49" s="222" cm="1">
        <f t="array" aca="1" ref="AF49" ca="1">'Tablica IO'!AF205*INDEX(Model!$C$93:$CA$93,Model!$A49) + IF(wplyw_cen_import_wlaczony,'Tablica IO'!AF283*INDEX(Model!$C$2:$CA$2,Model!$A49),'Tablica IO'!AF283*1)</f>
        <v>4.7338175127232731E-3</v>
      </c>
      <c r="AG49" s="222" cm="1">
        <f t="array" aca="1" ref="AG49" ca="1">'Tablica IO'!AG205*INDEX(Model!$C$93:$CA$93,Model!$A49) + IF(wplyw_cen_import_wlaczony,'Tablica IO'!AG283*INDEX(Model!$C$2:$CA$2,Model!$A49),'Tablica IO'!AG283*1)</f>
        <v>2.4392816433925855E-3</v>
      </c>
      <c r="AH49" s="222" cm="1">
        <f t="array" aca="1" ref="AH49" ca="1">'Tablica IO'!AH205*INDEX(Model!$C$93:$CA$93,Model!$A49) + IF(wplyw_cen_import_wlaczony,'Tablica IO'!AH283*INDEX(Model!$C$2:$CA$2,Model!$A49),'Tablica IO'!AH283*1)</f>
        <v>1.2350978545465336E-2</v>
      </c>
      <c r="AI49" s="222" cm="1">
        <f t="array" aca="1" ref="AI49" ca="1">'Tablica IO'!AI205*INDEX(Model!$C$93:$CA$93,Model!$A49) + IF(wplyw_cen_import_wlaczony,'Tablica IO'!AI283*INDEX(Model!$C$2:$CA$2,Model!$A49),'Tablica IO'!AI283*1)</f>
        <v>8.4269440050080968E-3</v>
      </c>
      <c r="AJ49" s="222" cm="1">
        <f t="array" aca="1" ref="AJ49" ca="1">'Tablica IO'!AJ205*INDEX(Model!$C$93:$CA$93,Model!$A49) + IF(wplyw_cen_import_wlaczony,'Tablica IO'!AJ283*INDEX(Model!$C$2:$CA$2,Model!$A49),'Tablica IO'!AJ283*1)</f>
        <v>1.3053783055241594E-2</v>
      </c>
      <c r="AK49" s="222" cm="1">
        <f t="array" aca="1" ref="AK49" ca="1">'Tablica IO'!AK205*INDEX(Model!$C$93:$CA$93,Model!$A49) + IF(wplyw_cen_import_wlaczony,'Tablica IO'!AK283*INDEX(Model!$C$2:$CA$2,Model!$A49),'Tablica IO'!AK283*1)</f>
        <v>2.7211064872698938E-3</v>
      </c>
      <c r="AL49" s="222" cm="1">
        <f t="array" aca="1" ref="AL49" ca="1">'Tablica IO'!AL205*INDEX(Model!$C$93:$CA$93,Model!$A49) + IF(wplyw_cen_import_wlaczony,'Tablica IO'!AL283*INDEX(Model!$C$2:$CA$2,Model!$A49),'Tablica IO'!AL283*1)</f>
        <v>7.5061880107819157E-3</v>
      </c>
      <c r="AM49" s="222" cm="1">
        <f t="array" aca="1" ref="AM49" ca="1">'Tablica IO'!AM205*INDEX(Model!$C$93:$CA$93,Model!$A49) + IF(wplyw_cen_import_wlaczony,'Tablica IO'!AM283*INDEX(Model!$C$2:$CA$2,Model!$A49),'Tablica IO'!AM283*1)</f>
        <v>3.7916397580377557E-3</v>
      </c>
      <c r="AN49" s="222" cm="1">
        <f t="array" aca="1" ref="AN49" ca="1">'Tablica IO'!AN205*INDEX(Model!$C$93:$CA$93,Model!$A49) + IF(wplyw_cen_import_wlaczony,'Tablica IO'!AN283*INDEX(Model!$C$2:$CA$2,Model!$A49),'Tablica IO'!AN283*1)</f>
        <v>2.4801009876381945E-2</v>
      </c>
      <c r="AO49" s="222" cm="1">
        <f t="array" aca="1" ref="AO49" ca="1">'Tablica IO'!AO205*INDEX(Model!$C$93:$CA$93,Model!$A49) + IF(wplyw_cen_import_wlaczony,'Tablica IO'!AO283*INDEX(Model!$C$2:$CA$2,Model!$A49),'Tablica IO'!AO283*1)</f>
        <v>9.4971961195552939E-3</v>
      </c>
      <c r="AP49" s="222" cm="1">
        <f t="array" aca="1" ref="AP49" ca="1">'Tablica IO'!AP205*INDEX(Model!$C$93:$CA$93,Model!$A49) + IF(wplyw_cen_import_wlaczony,'Tablica IO'!AP283*INDEX(Model!$C$2:$CA$2,Model!$A49),'Tablica IO'!AP283*1)</f>
        <v>4.0259438049040234E-3</v>
      </c>
      <c r="AQ49" s="222" cm="1">
        <f t="array" aca="1" ref="AQ49" ca="1">'Tablica IO'!AQ205*INDEX(Model!$C$93:$CA$93,Model!$A49) + IF(wplyw_cen_import_wlaczony,'Tablica IO'!AQ283*INDEX(Model!$C$2:$CA$2,Model!$A49),'Tablica IO'!AQ283*1)</f>
        <v>7.3955027590343943E-3</v>
      </c>
      <c r="AR49" s="222" cm="1">
        <f t="array" aca="1" ref="AR49" ca="1">'Tablica IO'!AR205*INDEX(Model!$C$93:$CA$93,Model!$A49) + IF(wplyw_cen_import_wlaczony,'Tablica IO'!AR283*INDEX(Model!$C$2:$CA$2,Model!$A49),'Tablica IO'!AR283*1)</f>
        <v>3.3882078407873648E-2</v>
      </c>
      <c r="AS49" s="222" cm="1">
        <f t="array" aca="1" ref="AS49" ca="1">'Tablica IO'!AS205*INDEX(Model!$C$93:$CA$93,Model!$A49) + IF(wplyw_cen_import_wlaczony,'Tablica IO'!AS283*INDEX(Model!$C$2:$CA$2,Model!$A49),'Tablica IO'!AS283*1)</f>
        <v>4.896948194126117E-3</v>
      </c>
      <c r="AT49" s="222" cm="1">
        <f t="array" aca="1" ref="AT49" ca="1">'Tablica IO'!AT205*INDEX(Model!$C$93:$CA$93,Model!$A49) + IF(wplyw_cen_import_wlaczony,'Tablica IO'!AT283*INDEX(Model!$C$2:$CA$2,Model!$A49),'Tablica IO'!AT283*1)</f>
        <v>6.3851632749777378E-3</v>
      </c>
      <c r="AU49" s="222" cm="1">
        <f t="array" aca="1" ref="AU49" ca="1">'Tablica IO'!AU205*INDEX(Model!$C$93:$CA$93,Model!$A49) + IF(wplyw_cen_import_wlaczony,'Tablica IO'!AU283*INDEX(Model!$C$2:$CA$2,Model!$A49),'Tablica IO'!AU283*1)</f>
        <v>3.6902905626156528E-4</v>
      </c>
      <c r="AV49" s="222" cm="1">
        <f t="array" aca="1" ref="AV49" ca="1">'Tablica IO'!AV205*INDEX(Model!$C$93:$CA$93,Model!$A49) + IF(wplyw_cen_import_wlaczony,'Tablica IO'!AV283*INDEX(Model!$C$2:$CA$2,Model!$A49),'Tablica IO'!AV283*1)</f>
        <v>6.0386137591277042E-3</v>
      </c>
      <c r="AW49" s="222" cm="1">
        <f t="array" aca="1" ref="AW49" ca="1">'Tablica IO'!AW205*INDEX(Model!$C$93:$CA$93,Model!$A49) + IF(wplyw_cen_import_wlaczony,'Tablica IO'!AW283*INDEX(Model!$C$2:$CA$2,Model!$A49),'Tablica IO'!AW283*1)</f>
        <v>2.4265953413521208E-3</v>
      </c>
      <c r="AX49" s="222" cm="1">
        <f t="array" aca="1" ref="AX49" ca="1">'Tablica IO'!AX205*INDEX(Model!$C$93:$CA$93,Model!$A49) + IF(wplyw_cen_import_wlaczony,'Tablica IO'!AX283*INDEX(Model!$C$2:$CA$2,Model!$A49),'Tablica IO'!AX283*1)</f>
        <v>2.6228204037287454E-3</v>
      </c>
      <c r="AY49" s="222" cm="1">
        <f t="array" aca="1" ref="AY49" ca="1">'Tablica IO'!AY205*INDEX(Model!$C$93:$CA$93,Model!$A49) + IF(wplyw_cen_import_wlaczony,'Tablica IO'!AY283*INDEX(Model!$C$2:$CA$2,Model!$A49),'Tablica IO'!AY283*1)</f>
        <v>2.5665546844070653E-3</v>
      </c>
      <c r="AZ49" s="222" cm="1">
        <f t="array" aca="1" ref="AZ49" ca="1">'Tablica IO'!AZ205*INDEX(Model!$C$93:$CA$93,Model!$A49) + IF(wplyw_cen_import_wlaczony,'Tablica IO'!AZ283*INDEX(Model!$C$2:$CA$2,Model!$A49),'Tablica IO'!AZ283*1)</f>
        <v>2.0238223383223571E-2</v>
      </c>
      <c r="BA49" s="222" cm="1">
        <f t="array" aca="1" ref="BA49" ca="1">'Tablica IO'!BA205*INDEX(Model!$C$93:$CA$93,Model!$A49) + IF(wplyw_cen_import_wlaczony,'Tablica IO'!BA283*INDEX(Model!$C$2:$CA$2,Model!$A49),'Tablica IO'!BA283*1)</f>
        <v>2.7295350128200809E-3</v>
      </c>
      <c r="BB49" s="222" cm="1">
        <f t="array" aca="1" ref="BB49" ca="1">'Tablica IO'!BB205*INDEX(Model!$C$93:$CA$93,Model!$A49) + IF(wplyw_cen_import_wlaczony,'Tablica IO'!BB283*INDEX(Model!$C$2:$CA$2,Model!$A49),'Tablica IO'!BB283*1)</f>
        <v>3.4443989732617546E-3</v>
      </c>
      <c r="BC49" s="222" cm="1">
        <f t="array" aca="1" ref="BC49" ca="1">'Tablica IO'!BC205*INDEX(Model!$C$93:$CA$93,Model!$A49) + IF(wplyw_cen_import_wlaczony,'Tablica IO'!BC283*INDEX(Model!$C$2:$CA$2,Model!$A49),'Tablica IO'!BC283*1)</f>
        <v>7.7603853977301985E-4</v>
      </c>
      <c r="BD49" s="222" cm="1">
        <f t="array" aca="1" ref="BD49" ca="1">'Tablica IO'!BD205*INDEX(Model!$C$93:$CA$93,Model!$A49) + IF(wplyw_cen_import_wlaczony,'Tablica IO'!BD283*INDEX(Model!$C$2:$CA$2,Model!$A49),'Tablica IO'!BD283*1)</f>
        <v>1.7786956373529058E-3</v>
      </c>
      <c r="BE49" s="222" cm="1">
        <f t="array" aca="1" ref="BE49" ca="1">'Tablica IO'!BE205*INDEX(Model!$C$93:$CA$93,Model!$A49) + IF(wplyw_cen_import_wlaczony,'Tablica IO'!BE283*INDEX(Model!$C$2:$CA$2,Model!$A49),'Tablica IO'!BE283*1)</f>
        <v>2.0131315899621417E-3</v>
      </c>
      <c r="BF49" s="222" cm="1">
        <f t="array" aca="1" ref="BF49" ca="1">'Tablica IO'!BF205*INDEX(Model!$C$93:$CA$93,Model!$A49) + IF(wplyw_cen_import_wlaczony,'Tablica IO'!BF283*INDEX(Model!$C$2:$CA$2,Model!$A49),'Tablica IO'!BF283*1)</f>
        <v>5.6418486272252011E-3</v>
      </c>
      <c r="BG49" s="222" cm="1">
        <f t="array" aca="1" ref="BG49" ca="1">'Tablica IO'!BG205*INDEX(Model!$C$93:$CA$93,Model!$A49) + IF(wplyw_cen_import_wlaczony,'Tablica IO'!BG283*INDEX(Model!$C$2:$CA$2,Model!$A49),'Tablica IO'!BG283*1)</f>
        <v>2.4142251155406967E-3</v>
      </c>
      <c r="BH49" s="222" cm="1">
        <f t="array" aca="1" ref="BH49" ca="1">'Tablica IO'!BH205*INDEX(Model!$C$93:$CA$93,Model!$A49) + IF(wplyw_cen_import_wlaczony,'Tablica IO'!BH283*INDEX(Model!$C$2:$CA$2,Model!$A49),'Tablica IO'!BH283*1)</f>
        <v>2.5927254575456946E-3</v>
      </c>
      <c r="BI49" s="222" cm="1">
        <f t="array" aca="1" ref="BI49" ca="1">'Tablica IO'!BI205*INDEX(Model!$C$93:$CA$93,Model!$A49) + IF(wplyw_cen_import_wlaczony,'Tablica IO'!BI283*INDEX(Model!$C$2:$CA$2,Model!$A49),'Tablica IO'!BI283*1)</f>
        <v>2.3038234616953042E-2</v>
      </c>
      <c r="BJ49" s="222" cm="1">
        <f t="array" aca="1" ref="BJ49" ca="1">'Tablica IO'!BJ205*INDEX(Model!$C$93:$CA$93,Model!$A49) + IF(wplyw_cen_import_wlaczony,'Tablica IO'!BJ283*INDEX(Model!$C$2:$CA$2,Model!$A49),'Tablica IO'!BJ283*1)</f>
        <v>4.9209404536067992E-3</v>
      </c>
      <c r="BK49" s="222" cm="1">
        <f t="array" aca="1" ref="BK49" ca="1">'Tablica IO'!BK205*INDEX(Model!$C$93:$CA$93,Model!$A49) + IF(wplyw_cen_import_wlaczony,'Tablica IO'!BK283*INDEX(Model!$C$2:$CA$2,Model!$A49),'Tablica IO'!BK283*1)</f>
        <v>2.0041535881036121E-3</v>
      </c>
      <c r="BL49" s="222" cm="1">
        <f t="array" aca="1" ref="BL49" ca="1">'Tablica IO'!BL205*INDEX(Model!$C$93:$CA$93,Model!$A49) + IF(wplyw_cen_import_wlaczony,'Tablica IO'!BL283*INDEX(Model!$C$2:$CA$2,Model!$A49),'Tablica IO'!BL283*1)</f>
        <v>1.224775983735493E-3</v>
      </c>
      <c r="BM49" s="222" cm="1">
        <f t="array" aca="1" ref="BM49" ca="1">'Tablica IO'!BM205*INDEX(Model!$C$93:$CA$93,Model!$A49) + IF(wplyw_cen_import_wlaczony,'Tablica IO'!BM283*INDEX(Model!$C$2:$CA$2,Model!$A49),'Tablica IO'!BM283*1)</f>
        <v>4.7838785729230971E-3</v>
      </c>
      <c r="BN49" s="222" cm="1">
        <f t="array" aca="1" ref="BN49" ca="1">'Tablica IO'!BN205*INDEX(Model!$C$93:$CA$93,Model!$A49) + IF(wplyw_cen_import_wlaczony,'Tablica IO'!BN283*INDEX(Model!$C$2:$CA$2,Model!$A49),'Tablica IO'!BN283*1)</f>
        <v>9.7505110865138515E-3</v>
      </c>
      <c r="BO49" s="222" cm="1">
        <f t="array" aca="1" ref="BO49" ca="1">'Tablica IO'!BO205*INDEX(Model!$C$93:$CA$93,Model!$A49) + IF(wplyw_cen_import_wlaczony,'Tablica IO'!BO283*INDEX(Model!$C$2:$CA$2,Model!$A49),'Tablica IO'!BO283*1)</f>
        <v>6.4175887607212725E-3</v>
      </c>
      <c r="BP49" s="222" cm="1">
        <f t="array" aca="1" ref="BP49" ca="1">'Tablica IO'!BP205*INDEX(Model!$C$93:$CA$93,Model!$A49) + IF(wplyw_cen_import_wlaczony,'Tablica IO'!BP283*INDEX(Model!$C$2:$CA$2,Model!$A49),'Tablica IO'!BP283*1)</f>
        <v>4.9345580463751705E-3</v>
      </c>
      <c r="BQ49" s="222" cm="1">
        <f t="array" aca="1" ref="BQ49" ca="1">'Tablica IO'!BQ205*INDEX(Model!$C$93:$CA$93,Model!$A49) + IF(wplyw_cen_import_wlaczony,'Tablica IO'!BQ283*INDEX(Model!$C$2:$CA$2,Model!$A49),'Tablica IO'!BQ283*1)</f>
        <v>3.1583469877297095E-3</v>
      </c>
      <c r="BR49" s="222" cm="1">
        <f t="array" aca="1" ref="BR49" ca="1">'Tablica IO'!BR205*INDEX(Model!$C$93:$CA$93,Model!$A49) + IF(wplyw_cen_import_wlaczony,'Tablica IO'!BR283*INDEX(Model!$C$2:$CA$2,Model!$A49),'Tablica IO'!BR283*1)</f>
        <v>6.9436903788840541E-3</v>
      </c>
      <c r="BS49" s="222" cm="1">
        <f t="array" aca="1" ref="BS49" ca="1">'Tablica IO'!BS205*INDEX(Model!$C$93:$CA$93,Model!$A49) + IF(wplyw_cen_import_wlaczony,'Tablica IO'!BS283*INDEX(Model!$C$2:$CA$2,Model!$A49),'Tablica IO'!BS283*1)</f>
        <v>7.6811154399474071E-3</v>
      </c>
      <c r="BT49" s="222" cm="1">
        <f t="array" aca="1" ref="BT49" ca="1">'Tablica IO'!BT205*INDEX(Model!$C$93:$CA$93,Model!$A49) + IF(wplyw_cen_import_wlaczony,'Tablica IO'!BT283*INDEX(Model!$C$2:$CA$2,Model!$A49),'Tablica IO'!BT283*1)</f>
        <v>4.6416326888771052E-3</v>
      </c>
      <c r="BU49" s="222" cm="1">
        <f t="array" aca="1" ref="BU49" ca="1">'Tablica IO'!BU205*INDEX(Model!$C$93:$CA$93,Model!$A49) + IF(wplyw_cen_import_wlaczony,'Tablica IO'!BU283*INDEX(Model!$C$2:$CA$2,Model!$A49),'Tablica IO'!BU283*1)</f>
        <v>5.1409913088062637E-3</v>
      </c>
      <c r="BV49" s="222" cm="1">
        <f t="array" aca="1" ref="BV49" ca="1">'Tablica IO'!BV205*INDEX(Model!$C$93:$CA$93,Model!$A49) + IF(wplyw_cen_import_wlaczony,'Tablica IO'!BV283*INDEX(Model!$C$2:$CA$2,Model!$A49),'Tablica IO'!BV283*1)</f>
        <v>2.1206414574976044E-3</v>
      </c>
      <c r="BW49" s="222" cm="1">
        <f t="array" aca="1" ref="BW49" ca="1">'Tablica IO'!BW205*INDEX(Model!$C$93:$CA$93,Model!$A49) + IF(wplyw_cen_import_wlaczony,'Tablica IO'!BW283*INDEX(Model!$C$2:$CA$2,Model!$A49),'Tablica IO'!BW283*1)</f>
        <v>4.0030141122178314E-3</v>
      </c>
      <c r="BX49" s="222" cm="1">
        <f t="array" aca="1" ref="BX49" ca="1">'Tablica IO'!BX205*INDEX(Model!$C$93:$CA$93,Model!$A49) + IF(wplyw_cen_import_wlaczony,'Tablica IO'!BX283*INDEX(Model!$C$2:$CA$2,Model!$A49),'Tablica IO'!BX283*1)</f>
        <v>3.1767816445243437E-2</v>
      </c>
      <c r="BY49" s="222" cm="1">
        <f t="array" aca="1" ref="BY49" ca="1">'Tablica IO'!BY205*INDEX(Model!$C$93:$CA$93,Model!$A49) + IF(wplyw_cen_import_wlaczony,'Tablica IO'!BY283*INDEX(Model!$C$2:$CA$2,Model!$A49),'Tablica IO'!BY283*1)</f>
        <v>1.0182331943676827E-2</v>
      </c>
      <c r="BZ49" s="222" cm="1">
        <f t="array" aca="1" ref="BZ49" ca="1">'Tablica IO'!BZ205*INDEX(Model!$C$93:$CA$93,Model!$A49) + IF(wplyw_cen_import_wlaczony,'Tablica IO'!BZ283*INDEX(Model!$C$2:$CA$2,Model!$A49),'Tablica IO'!BZ283*1)</f>
        <v>8.6832657432870317E-3</v>
      </c>
      <c r="CA49" s="222" cm="1">
        <f t="array" aca="1" ref="CA49" ca="1">'Tablica IO'!CA205*INDEX(Model!$C$93:$CA$93,Model!$A49) + IF(wplyw_cen_import_wlaczony,'Tablica IO'!CA283*INDEX(Model!$C$2:$CA$2,Model!$A49),'Tablica IO'!CA283*1)</f>
        <v>0</v>
      </c>
      <c r="CB49" s="247">
        <f ca="1">'Tablica IO'!CD205*INDEX(Model!$C$93:$CA$93,Model!$A49)+'Tablica IO'!CD283*INDEX(Model!$C$2:$CA$2,Model!$A49)</f>
        <v>0.11147157498125554</v>
      </c>
      <c r="CC49" s="188">
        <f ca="1">'Tablica IO'!CE205*INDEX(Model!$C$93:$CA$93,Model!$A49)+'Tablica IO'!CE283*INDEX(Model!$C$2:$CA$2,Model!$A49)</f>
        <v>3.1647345452739447E-3</v>
      </c>
      <c r="CD49" s="188">
        <f ca="1">'Tablica IO'!CF205*INDEX(Model!$C$93:$CA$93,Model!$A49)+'Tablica IO'!CF283*INDEX(Model!$C$2:$CA$2,Model!$A49)</f>
        <v>1.6127870603969911E-2</v>
      </c>
      <c r="CE49" s="189">
        <f ca="1">'Tablica IO'!CG205*INDEX(Model!$C$93:$CA$93,Model!$A49)+'Tablica IO'!CG283*INDEX(Model!$C$2:$CA$2,Model!$A49)</f>
        <v>5.8305204278213778E-2</v>
      </c>
    </row>
    <row r="50" spans="1:83" x14ac:dyDescent="0.25">
      <c r="A50" s="164">
        <v>38</v>
      </c>
      <c r="B50" s="172" t="s">
        <v>37</v>
      </c>
      <c r="C50" s="221" cm="1">
        <f t="array" aca="1" ref="C50" ca="1">'Tablica IO'!C206*INDEX(Model!$C$93:$CA$93,Model!$A50) + IF(wplyw_cen_import_wlaczony,'Tablica IO'!C284*INDEX(Model!$C$2:$CA$2,Model!$A50),'Tablica IO'!C284*1)</f>
        <v>1.4594292123557898E-2</v>
      </c>
      <c r="D50" s="222" cm="1">
        <f t="array" aca="1" ref="D50" ca="1">'Tablica IO'!D206*INDEX(Model!$C$93:$CA$93,Model!$A50) + IF(wplyw_cen_import_wlaczony,'Tablica IO'!D284*INDEX(Model!$C$2:$CA$2,Model!$A50),'Tablica IO'!D284*1)</f>
        <v>1.5027007807009727E-2</v>
      </c>
      <c r="E50" s="222" cm="1">
        <f t="array" aca="1" ref="E50" ca="1">'Tablica IO'!E206*INDEX(Model!$C$93:$CA$93,Model!$A50) + IF(wplyw_cen_import_wlaczony,'Tablica IO'!E284*INDEX(Model!$C$2:$CA$2,Model!$A50),'Tablica IO'!E284*1)</f>
        <v>5.5381487767734057E-3</v>
      </c>
      <c r="F50" s="222" cm="1">
        <f t="array" aca="1" ref="F50" ca="1">'Tablica IO'!F206*INDEX(Model!$C$93:$CA$93,Model!$A50) + IF(wplyw_cen_import_wlaczony,'Tablica IO'!F284*INDEX(Model!$C$2:$CA$2,Model!$A50),'Tablica IO'!F284*1)</f>
        <v>2.7505136613690556E-2</v>
      </c>
      <c r="G50" s="222" cm="1">
        <f t="array" aca="1" ref="G50" ca="1">'Tablica IO'!G206*INDEX(Model!$C$93:$CA$93,Model!$A50) + IF(wplyw_cen_import_wlaczony,'Tablica IO'!G284*INDEX(Model!$C$2:$CA$2,Model!$A50),'Tablica IO'!G284*1)</f>
        <v>5.7569930619079224E-2</v>
      </c>
      <c r="H50" s="222" cm="1">
        <f t="array" aca="1" ref="H50" ca="1">'Tablica IO'!H206*INDEX(Model!$C$93:$CA$93,Model!$A50) + IF(wplyw_cen_import_wlaczony,'Tablica IO'!H284*INDEX(Model!$C$2:$CA$2,Model!$A50),'Tablica IO'!H284*1)</f>
        <v>3.3931317626053385E-2</v>
      </c>
      <c r="I50" s="222" cm="1">
        <f t="array" aca="1" ref="I50" ca="1">'Tablica IO'!I206*INDEX(Model!$C$93:$CA$93,Model!$A50) + IF(wplyw_cen_import_wlaczony,'Tablica IO'!I284*INDEX(Model!$C$2:$CA$2,Model!$A50),'Tablica IO'!I284*1)</f>
        <v>4.4406112233761813E-2</v>
      </c>
      <c r="J50" s="222" cm="1">
        <f t="array" aca="1" ref="J50" ca="1">'Tablica IO'!J206*INDEX(Model!$C$93:$CA$93,Model!$A50) + IF(wplyw_cen_import_wlaczony,'Tablica IO'!J284*INDEX(Model!$C$2:$CA$2,Model!$A50),'Tablica IO'!J284*1)</f>
        <v>1.7366134669997615E-2</v>
      </c>
      <c r="K50" s="222" cm="1">
        <f t="array" aca="1" ref="K50" ca="1">'Tablica IO'!K206*INDEX(Model!$C$93:$CA$93,Model!$A50) + IF(wplyw_cen_import_wlaczony,'Tablica IO'!K284*INDEX(Model!$C$2:$CA$2,Model!$A50),'Tablica IO'!K284*1)</f>
        <v>1.8732095101796794E-2</v>
      </c>
      <c r="L50" s="222" cm="1">
        <f t="array" aca="1" ref="L50" ca="1">'Tablica IO'!L206*INDEX(Model!$C$93:$CA$93,Model!$A50) + IF(wplyw_cen_import_wlaczony,'Tablica IO'!L284*INDEX(Model!$C$2:$CA$2,Model!$A50),'Tablica IO'!L284*1)</f>
        <v>7.648280346539491E-3</v>
      </c>
      <c r="M50" s="222" cm="1">
        <f t="array" aca="1" ref="M50" ca="1">'Tablica IO'!M206*INDEX(Model!$C$93:$CA$93,Model!$A50) + IF(wplyw_cen_import_wlaczony,'Tablica IO'!M284*INDEX(Model!$C$2:$CA$2,Model!$A50),'Tablica IO'!M284*1)</f>
        <v>1.6966625548586248E-2</v>
      </c>
      <c r="N50" s="222" cm="1">
        <f t="array" aca="1" ref="N50" ca="1">'Tablica IO'!N206*INDEX(Model!$C$93:$CA$93,Model!$A50) + IF(wplyw_cen_import_wlaczony,'Tablica IO'!N284*INDEX(Model!$C$2:$CA$2,Model!$A50),'Tablica IO'!N284*1)</f>
        <v>8.6875354595273846E-2</v>
      </c>
      <c r="O50" s="222" cm="1">
        <f t="array" aca="1" ref="O50" ca="1">'Tablica IO'!O206*INDEX(Model!$C$93:$CA$93,Model!$A50) + IF(wplyw_cen_import_wlaczony,'Tablica IO'!O284*INDEX(Model!$C$2:$CA$2,Model!$A50),'Tablica IO'!O284*1)</f>
        <v>4.3493002273445776E-2</v>
      </c>
      <c r="P50" s="222" cm="1">
        <f t="array" aca="1" ref="P50" ca="1">'Tablica IO'!P206*INDEX(Model!$C$93:$CA$93,Model!$A50) + IF(wplyw_cen_import_wlaczony,'Tablica IO'!P284*INDEX(Model!$C$2:$CA$2,Model!$A50),'Tablica IO'!P284*1)</f>
        <v>1.7298931450548304E-2</v>
      </c>
      <c r="Q50" s="222" cm="1">
        <f t="array" aca="1" ref="Q50" ca="1">'Tablica IO'!Q206*INDEX(Model!$C$93:$CA$93,Model!$A50) + IF(wplyw_cen_import_wlaczony,'Tablica IO'!Q284*INDEX(Model!$C$2:$CA$2,Model!$A50),'Tablica IO'!Q284*1)</f>
        <v>5.1756701773230059E-2</v>
      </c>
      <c r="R50" s="222" cm="1">
        <f t="array" aca="1" ref="R50" ca="1">'Tablica IO'!R206*INDEX(Model!$C$93:$CA$93,Model!$A50) + IF(wplyw_cen_import_wlaczony,'Tablica IO'!R284*INDEX(Model!$C$2:$CA$2,Model!$A50),'Tablica IO'!R284*1)</f>
        <v>4.4151304847973298E-2</v>
      </c>
      <c r="S50" s="222" cm="1">
        <f t="array" aca="1" ref="S50" ca="1">'Tablica IO'!S206*INDEX(Model!$C$93:$CA$93,Model!$A50) + IF(wplyw_cen_import_wlaczony,'Tablica IO'!S284*INDEX(Model!$C$2:$CA$2,Model!$A50),'Tablica IO'!S284*1)</f>
        <v>1.2336974267908729E-2</v>
      </c>
      <c r="T50" s="222" cm="1">
        <f t="array" aca="1" ref="T50" ca="1">'Tablica IO'!T206*INDEX(Model!$C$93:$CA$93,Model!$A50) + IF(wplyw_cen_import_wlaczony,'Tablica IO'!T284*INDEX(Model!$C$2:$CA$2,Model!$A50),'Tablica IO'!T284*1)</f>
        <v>3.18391230441138E-2</v>
      </c>
      <c r="U50" s="222" cm="1">
        <f t="array" aca="1" ref="U50" ca="1">'Tablica IO'!U206*INDEX(Model!$C$93:$CA$93,Model!$A50) + IF(wplyw_cen_import_wlaczony,'Tablica IO'!U284*INDEX(Model!$C$2:$CA$2,Model!$A50),'Tablica IO'!U284*1)</f>
        <v>7.0529278970235781E-2</v>
      </c>
      <c r="V50" s="222" cm="1">
        <f t="array" aca="1" ref="V50" ca="1">'Tablica IO'!V206*INDEX(Model!$C$93:$CA$93,Model!$A50) + IF(wplyw_cen_import_wlaczony,'Tablica IO'!V284*INDEX(Model!$C$2:$CA$2,Model!$A50),'Tablica IO'!V284*1)</f>
        <v>5.8893155310196114E-2</v>
      </c>
      <c r="W50" s="222" cm="1">
        <f t="array" aca="1" ref="W50" ca="1">'Tablica IO'!W206*INDEX(Model!$C$93:$CA$93,Model!$A50) + IF(wplyw_cen_import_wlaczony,'Tablica IO'!W284*INDEX(Model!$C$2:$CA$2,Model!$A50),'Tablica IO'!W284*1)</f>
        <v>2.0537585309937104E-2</v>
      </c>
      <c r="X50" s="222" cm="1">
        <f t="array" aca="1" ref="X50" ca="1">'Tablica IO'!X206*INDEX(Model!$C$93:$CA$93,Model!$A50) + IF(wplyw_cen_import_wlaczony,'Tablica IO'!X284*INDEX(Model!$C$2:$CA$2,Model!$A50),'Tablica IO'!X284*1)</f>
        <v>1.37207971386055E-2</v>
      </c>
      <c r="Y50" s="222" cm="1">
        <f t="array" aca="1" ref="Y50" ca="1">'Tablica IO'!Y206*INDEX(Model!$C$93:$CA$93,Model!$A50) + IF(wplyw_cen_import_wlaczony,'Tablica IO'!Y284*INDEX(Model!$C$2:$CA$2,Model!$A50),'Tablica IO'!Y284*1)</f>
        <v>2.482403979871833E-2</v>
      </c>
      <c r="Z50" s="222" cm="1">
        <f t="array" aca="1" ref="Z50" ca="1">'Tablica IO'!Z206*INDEX(Model!$C$93:$CA$93,Model!$A50) + IF(wplyw_cen_import_wlaczony,'Tablica IO'!Z284*INDEX(Model!$C$2:$CA$2,Model!$A50),'Tablica IO'!Z284*1)</f>
        <v>2.4496294260845122E-2</v>
      </c>
      <c r="AA50" s="222" cm="1">
        <f t="array" aca="1" ref="AA50" ca="1">'Tablica IO'!AA206*INDEX(Model!$C$93:$CA$93,Model!$A50) + IF(wplyw_cen_import_wlaczony,'Tablica IO'!AA284*INDEX(Model!$C$2:$CA$2,Model!$A50),'Tablica IO'!AA284*1)</f>
        <v>1.8020967955237274E-2</v>
      </c>
      <c r="AB50" s="222" cm="1">
        <f t="array" aca="1" ref="AB50" ca="1">'Tablica IO'!AB206*INDEX(Model!$C$93:$CA$93,Model!$A50) + IF(wplyw_cen_import_wlaczony,'Tablica IO'!AB284*INDEX(Model!$C$2:$CA$2,Model!$A50),'Tablica IO'!AB284*1)</f>
        <v>1.6933332292219917E-2</v>
      </c>
      <c r="AC50" s="222" cm="1">
        <f t="array" aca="1" ref="AC50" ca="1">'Tablica IO'!AC206*INDEX(Model!$C$93:$CA$93,Model!$A50) + IF(wplyw_cen_import_wlaczony,'Tablica IO'!AC284*INDEX(Model!$C$2:$CA$2,Model!$A50),'Tablica IO'!AC284*1)</f>
        <v>1.940841875080301E-2</v>
      </c>
      <c r="AD50" s="222" cm="1">
        <f t="array" aca="1" ref="AD50" ca="1">'Tablica IO'!AD206*INDEX(Model!$C$93:$CA$93,Model!$A50) + IF(wplyw_cen_import_wlaczony,'Tablica IO'!AD284*INDEX(Model!$C$2:$CA$2,Model!$A50),'Tablica IO'!AD284*1)</f>
        <v>3.9502389965993638E-2</v>
      </c>
      <c r="AE50" s="222" cm="1">
        <f t="array" aca="1" ref="AE50" ca="1">'Tablica IO'!AE206*INDEX(Model!$C$93:$CA$93,Model!$A50) + IF(wplyw_cen_import_wlaczony,'Tablica IO'!AE284*INDEX(Model!$C$2:$CA$2,Model!$A50),'Tablica IO'!AE284*1)</f>
        <v>1.6501413580849333E-2</v>
      </c>
      <c r="AF50" s="222" cm="1">
        <f t="array" aca="1" ref="AF50" ca="1">'Tablica IO'!AF206*INDEX(Model!$C$93:$CA$93,Model!$A50) + IF(wplyw_cen_import_wlaczony,'Tablica IO'!AF284*INDEX(Model!$C$2:$CA$2,Model!$A50),'Tablica IO'!AF284*1)</f>
        <v>2.9967330167465903E-2</v>
      </c>
      <c r="AG50" s="222" cm="1">
        <f t="array" aca="1" ref="AG50" ca="1">'Tablica IO'!AG206*INDEX(Model!$C$93:$CA$93,Model!$A50) + IF(wplyw_cen_import_wlaczony,'Tablica IO'!AG284*INDEX(Model!$C$2:$CA$2,Model!$A50),'Tablica IO'!AG284*1)</f>
        <v>4.0269080497008251E-3</v>
      </c>
      <c r="AH50" s="222" cm="1">
        <f t="array" aca="1" ref="AH50" ca="1">'Tablica IO'!AH206*INDEX(Model!$C$93:$CA$93,Model!$A50) + IF(wplyw_cen_import_wlaczony,'Tablica IO'!AH284*INDEX(Model!$C$2:$CA$2,Model!$A50),'Tablica IO'!AH284*1)</f>
        <v>5.3895053609723804E-2</v>
      </c>
      <c r="AI50" s="222" cm="1">
        <f t="array" aca="1" ref="AI50" ca="1">'Tablica IO'!AI206*INDEX(Model!$C$93:$CA$93,Model!$A50) + IF(wplyw_cen_import_wlaczony,'Tablica IO'!AI284*INDEX(Model!$C$2:$CA$2,Model!$A50),'Tablica IO'!AI284*1)</f>
        <v>9.0901758840022072E-3</v>
      </c>
      <c r="AJ50" s="222" cm="1">
        <f t="array" aca="1" ref="AJ50" ca="1">'Tablica IO'!AJ206*INDEX(Model!$C$93:$CA$93,Model!$A50) + IF(wplyw_cen_import_wlaczony,'Tablica IO'!AJ284*INDEX(Model!$C$2:$CA$2,Model!$A50),'Tablica IO'!AJ284*1)</f>
        <v>1.8279181565913644E-2</v>
      </c>
      <c r="AK50" s="222" cm="1">
        <f t="array" aca="1" ref="AK50" ca="1">'Tablica IO'!AK206*INDEX(Model!$C$93:$CA$93,Model!$A50) + IF(wplyw_cen_import_wlaczony,'Tablica IO'!AK284*INDEX(Model!$C$2:$CA$2,Model!$A50),'Tablica IO'!AK284*1)</f>
        <v>7.608218098983556E-2</v>
      </c>
      <c r="AL50" s="222" cm="1">
        <f t="array" aca="1" ref="AL50" ca="1">'Tablica IO'!AL206*INDEX(Model!$C$93:$CA$93,Model!$A50) + IF(wplyw_cen_import_wlaczony,'Tablica IO'!AL284*INDEX(Model!$C$2:$CA$2,Model!$A50),'Tablica IO'!AL284*1)</f>
        <v>6.6400627858398231E-2</v>
      </c>
      <c r="AM50" s="222" cm="1">
        <f t="array" aca="1" ref="AM50" ca="1">'Tablica IO'!AM206*INDEX(Model!$C$93:$CA$93,Model!$A50) + IF(wplyw_cen_import_wlaczony,'Tablica IO'!AM284*INDEX(Model!$C$2:$CA$2,Model!$A50),'Tablica IO'!AM284*1)</f>
        <v>2.3155484268311127E-2</v>
      </c>
      <c r="AN50" s="222" cm="1">
        <f t="array" aca="1" ref="AN50" ca="1">'Tablica IO'!AN206*INDEX(Model!$C$93:$CA$93,Model!$A50) + IF(wplyw_cen_import_wlaczony,'Tablica IO'!AN284*INDEX(Model!$C$2:$CA$2,Model!$A50),'Tablica IO'!AN284*1)</f>
        <v>9.2258406759213235E-2</v>
      </c>
      <c r="AO50" s="222" cm="1">
        <f t="array" aca="1" ref="AO50" ca="1">'Tablica IO'!AO206*INDEX(Model!$C$93:$CA$93,Model!$A50) + IF(wplyw_cen_import_wlaczony,'Tablica IO'!AO284*INDEX(Model!$C$2:$CA$2,Model!$A50),'Tablica IO'!AO284*1)</f>
        <v>1.1684945908004814E-2</v>
      </c>
      <c r="AP50" s="222" cm="1">
        <f t="array" aca="1" ref="AP50" ca="1">'Tablica IO'!AP206*INDEX(Model!$C$93:$CA$93,Model!$A50) + IF(wplyw_cen_import_wlaczony,'Tablica IO'!AP284*INDEX(Model!$C$2:$CA$2,Model!$A50),'Tablica IO'!AP284*1)</f>
        <v>0.10134523715302576</v>
      </c>
      <c r="AQ50" s="222" cm="1">
        <f t="array" aca="1" ref="AQ50" ca="1">'Tablica IO'!AQ206*INDEX(Model!$C$93:$CA$93,Model!$A50) + IF(wplyw_cen_import_wlaczony,'Tablica IO'!AQ284*INDEX(Model!$C$2:$CA$2,Model!$A50),'Tablica IO'!AQ284*1)</f>
        <v>1.1052576114579519E-2</v>
      </c>
      <c r="AR50" s="222" cm="1">
        <f t="array" aca="1" ref="AR50" ca="1">'Tablica IO'!AR206*INDEX(Model!$C$93:$CA$93,Model!$A50) + IF(wplyw_cen_import_wlaczony,'Tablica IO'!AR284*INDEX(Model!$C$2:$CA$2,Model!$A50),'Tablica IO'!AR284*1)</f>
        <v>7.9758387407281861E-3</v>
      </c>
      <c r="AS50" s="222" cm="1">
        <f t="array" aca="1" ref="AS50" ca="1">'Tablica IO'!AS206*INDEX(Model!$C$93:$CA$93,Model!$A50) + IF(wplyw_cen_import_wlaczony,'Tablica IO'!AS284*INDEX(Model!$C$2:$CA$2,Model!$A50),'Tablica IO'!AS284*1)</f>
        <v>1.421712961558436E-2</v>
      </c>
      <c r="AT50" s="222" cm="1">
        <f t="array" aca="1" ref="AT50" ca="1">'Tablica IO'!AT206*INDEX(Model!$C$93:$CA$93,Model!$A50) + IF(wplyw_cen_import_wlaczony,'Tablica IO'!AT284*INDEX(Model!$C$2:$CA$2,Model!$A50),'Tablica IO'!AT284*1)</f>
        <v>7.6913795798618225E-3</v>
      </c>
      <c r="AU50" s="222" cm="1">
        <f t="array" aca="1" ref="AU50" ca="1">'Tablica IO'!AU206*INDEX(Model!$C$93:$CA$93,Model!$A50) + IF(wplyw_cen_import_wlaczony,'Tablica IO'!AU284*INDEX(Model!$C$2:$CA$2,Model!$A50),'Tablica IO'!AU284*1)</f>
        <v>1.4814346200099141E-4</v>
      </c>
      <c r="AV50" s="222" cm="1">
        <f t="array" aca="1" ref="AV50" ca="1">'Tablica IO'!AV206*INDEX(Model!$C$93:$CA$93,Model!$A50) + IF(wplyw_cen_import_wlaczony,'Tablica IO'!AV284*INDEX(Model!$C$2:$CA$2,Model!$A50),'Tablica IO'!AV284*1)</f>
        <v>3.3482013283016388E-3</v>
      </c>
      <c r="AW50" s="222" cm="1">
        <f t="array" aca="1" ref="AW50" ca="1">'Tablica IO'!AW206*INDEX(Model!$C$93:$CA$93,Model!$A50) + IF(wplyw_cen_import_wlaczony,'Tablica IO'!AW284*INDEX(Model!$C$2:$CA$2,Model!$A50),'Tablica IO'!AW284*1)</f>
        <v>4.2756280845051512E-3</v>
      </c>
      <c r="AX50" s="222" cm="1">
        <f t="array" aca="1" ref="AX50" ca="1">'Tablica IO'!AX206*INDEX(Model!$C$93:$CA$93,Model!$A50) + IF(wplyw_cen_import_wlaczony,'Tablica IO'!AX284*INDEX(Model!$C$2:$CA$2,Model!$A50),'Tablica IO'!AX284*1)</f>
        <v>4.124811297772246E-3</v>
      </c>
      <c r="AY50" s="222" cm="1">
        <f t="array" aca="1" ref="AY50" ca="1">'Tablica IO'!AY206*INDEX(Model!$C$93:$CA$93,Model!$A50) + IF(wplyw_cen_import_wlaczony,'Tablica IO'!AY284*INDEX(Model!$C$2:$CA$2,Model!$A50),'Tablica IO'!AY284*1)</f>
        <v>2.0156875475268307E-3</v>
      </c>
      <c r="AZ50" s="222" cm="1">
        <f t="array" aca="1" ref="AZ50" ca="1">'Tablica IO'!AZ206*INDEX(Model!$C$93:$CA$93,Model!$A50) + IF(wplyw_cen_import_wlaczony,'Tablica IO'!AZ284*INDEX(Model!$C$2:$CA$2,Model!$A50),'Tablica IO'!AZ284*1)</f>
        <v>6.8886880876141221E-3</v>
      </c>
      <c r="BA50" s="222" cm="1">
        <f t="array" aca="1" ref="BA50" ca="1">'Tablica IO'!BA206*INDEX(Model!$C$93:$CA$93,Model!$A50) + IF(wplyw_cen_import_wlaczony,'Tablica IO'!BA284*INDEX(Model!$C$2:$CA$2,Model!$A50),'Tablica IO'!BA284*1)</f>
        <v>5.1788890825555491E-3</v>
      </c>
      <c r="BB50" s="222" cm="1">
        <f t="array" aca="1" ref="BB50" ca="1">'Tablica IO'!BB206*INDEX(Model!$C$93:$CA$93,Model!$A50) + IF(wplyw_cen_import_wlaczony,'Tablica IO'!BB284*INDEX(Model!$C$2:$CA$2,Model!$A50),'Tablica IO'!BB284*1)</f>
        <v>5.7907967104221395E-3</v>
      </c>
      <c r="BC50" s="222" cm="1">
        <f t="array" aca="1" ref="BC50" ca="1">'Tablica IO'!BC206*INDEX(Model!$C$93:$CA$93,Model!$A50) + IF(wplyw_cen_import_wlaczony,'Tablica IO'!BC284*INDEX(Model!$C$2:$CA$2,Model!$A50),'Tablica IO'!BC284*1)</f>
        <v>5.0638200294710785E-3</v>
      </c>
      <c r="BD50" s="222" cm="1">
        <f t="array" aca="1" ref="BD50" ca="1">'Tablica IO'!BD206*INDEX(Model!$C$93:$CA$93,Model!$A50) + IF(wplyw_cen_import_wlaczony,'Tablica IO'!BD284*INDEX(Model!$C$2:$CA$2,Model!$A50),'Tablica IO'!BD284*1)</f>
        <v>3.5616126022803936E-3</v>
      </c>
      <c r="BE50" s="222" cm="1">
        <f t="array" aca="1" ref="BE50" ca="1">'Tablica IO'!BE206*INDEX(Model!$C$93:$CA$93,Model!$A50) + IF(wplyw_cen_import_wlaczony,'Tablica IO'!BE284*INDEX(Model!$C$2:$CA$2,Model!$A50),'Tablica IO'!BE284*1)</f>
        <v>6.4572249571304228E-3</v>
      </c>
      <c r="BF50" s="222" cm="1">
        <f t="array" aca="1" ref="BF50" ca="1">'Tablica IO'!BF206*INDEX(Model!$C$93:$CA$93,Model!$A50) + IF(wplyw_cen_import_wlaczony,'Tablica IO'!BF284*INDEX(Model!$C$2:$CA$2,Model!$A50),'Tablica IO'!BF284*1)</f>
        <v>6.3312344054715529E-3</v>
      </c>
      <c r="BG50" s="222" cm="1">
        <f t="array" aca="1" ref="BG50" ca="1">'Tablica IO'!BG206*INDEX(Model!$C$93:$CA$93,Model!$A50) + IF(wplyw_cen_import_wlaczony,'Tablica IO'!BG284*INDEX(Model!$C$2:$CA$2,Model!$A50),'Tablica IO'!BG284*1)</f>
        <v>3.0337989507021224E-3</v>
      </c>
      <c r="BH50" s="222" cm="1">
        <f t="array" aca="1" ref="BH50" ca="1">'Tablica IO'!BH206*INDEX(Model!$C$93:$CA$93,Model!$A50) + IF(wplyw_cen_import_wlaczony,'Tablica IO'!BH284*INDEX(Model!$C$2:$CA$2,Model!$A50),'Tablica IO'!BH284*1)</f>
        <v>3.6842067886505708E-2</v>
      </c>
      <c r="BI50" s="222" cm="1">
        <f t="array" aca="1" ref="BI50" ca="1">'Tablica IO'!BI206*INDEX(Model!$C$93:$CA$93,Model!$A50) + IF(wplyw_cen_import_wlaczony,'Tablica IO'!BI284*INDEX(Model!$C$2:$CA$2,Model!$A50),'Tablica IO'!BI284*1)</f>
        <v>6.0737059379403562E-4</v>
      </c>
      <c r="BJ50" s="222" cm="1">
        <f t="array" aca="1" ref="BJ50" ca="1">'Tablica IO'!BJ206*INDEX(Model!$C$93:$CA$93,Model!$A50) + IF(wplyw_cen_import_wlaczony,'Tablica IO'!BJ284*INDEX(Model!$C$2:$CA$2,Model!$A50),'Tablica IO'!BJ284*1)</f>
        <v>3.1300298007965549E-2</v>
      </c>
      <c r="BK50" s="222" cm="1">
        <f t="array" aca="1" ref="BK50" ca="1">'Tablica IO'!BK206*INDEX(Model!$C$93:$CA$93,Model!$A50) + IF(wplyw_cen_import_wlaczony,'Tablica IO'!BK284*INDEX(Model!$C$2:$CA$2,Model!$A50),'Tablica IO'!BK284*1)</f>
        <v>1.2303140594822098E-2</v>
      </c>
      <c r="BL50" s="222" cm="1">
        <f t="array" aca="1" ref="BL50" ca="1">'Tablica IO'!BL206*INDEX(Model!$C$93:$CA$93,Model!$A50) + IF(wplyw_cen_import_wlaczony,'Tablica IO'!BL284*INDEX(Model!$C$2:$CA$2,Model!$A50),'Tablica IO'!BL284*1)</f>
        <v>0.28774081550978403</v>
      </c>
      <c r="BM50" s="222" cm="1">
        <f t="array" aca="1" ref="BM50" ca="1">'Tablica IO'!BM206*INDEX(Model!$C$93:$CA$93,Model!$A50) + IF(wplyw_cen_import_wlaczony,'Tablica IO'!BM284*INDEX(Model!$C$2:$CA$2,Model!$A50),'Tablica IO'!BM284*1)</f>
        <v>7.6676576407251461E-3</v>
      </c>
      <c r="BN50" s="222" cm="1">
        <f t="array" aca="1" ref="BN50" ca="1">'Tablica IO'!BN206*INDEX(Model!$C$93:$CA$93,Model!$A50) + IF(wplyw_cen_import_wlaczony,'Tablica IO'!BN284*INDEX(Model!$C$2:$CA$2,Model!$A50),'Tablica IO'!BN284*1)</f>
        <v>1.3967226115328793E-2</v>
      </c>
      <c r="BO50" s="222" cm="1">
        <f t="array" aca="1" ref="BO50" ca="1">'Tablica IO'!BO206*INDEX(Model!$C$93:$CA$93,Model!$A50) + IF(wplyw_cen_import_wlaczony,'Tablica IO'!BO284*INDEX(Model!$C$2:$CA$2,Model!$A50),'Tablica IO'!BO284*1)</f>
        <v>1.6041996767658533E-2</v>
      </c>
      <c r="BP50" s="222" cm="1">
        <f t="array" aca="1" ref="BP50" ca="1">'Tablica IO'!BP206*INDEX(Model!$C$93:$CA$93,Model!$A50) + IF(wplyw_cen_import_wlaczony,'Tablica IO'!BP284*INDEX(Model!$C$2:$CA$2,Model!$A50),'Tablica IO'!BP284*1)</f>
        <v>7.384318404998186E-3</v>
      </c>
      <c r="BQ50" s="222" cm="1">
        <f t="array" aca="1" ref="BQ50" ca="1">'Tablica IO'!BQ206*INDEX(Model!$C$93:$CA$93,Model!$A50) + IF(wplyw_cen_import_wlaczony,'Tablica IO'!BQ284*INDEX(Model!$C$2:$CA$2,Model!$A50),'Tablica IO'!BQ284*1)</f>
        <v>6.4966034902689696E-3</v>
      </c>
      <c r="BR50" s="222" cm="1">
        <f t="array" aca="1" ref="BR50" ca="1">'Tablica IO'!BR206*INDEX(Model!$C$93:$CA$93,Model!$A50) + IF(wplyw_cen_import_wlaczony,'Tablica IO'!BR284*INDEX(Model!$C$2:$CA$2,Model!$A50),'Tablica IO'!BR284*1)</f>
        <v>4.0387769871029714E-3</v>
      </c>
      <c r="BS50" s="222" cm="1">
        <f t="array" aca="1" ref="BS50" ca="1">'Tablica IO'!BS206*INDEX(Model!$C$93:$CA$93,Model!$A50) + IF(wplyw_cen_import_wlaczony,'Tablica IO'!BS284*INDEX(Model!$C$2:$CA$2,Model!$A50),'Tablica IO'!BS284*1)</f>
        <v>2.5813902577751244E-3</v>
      </c>
      <c r="BT50" s="222" cm="1">
        <f t="array" aca="1" ref="BT50" ca="1">'Tablica IO'!BT206*INDEX(Model!$C$93:$CA$93,Model!$A50) + IF(wplyw_cen_import_wlaczony,'Tablica IO'!BT284*INDEX(Model!$C$2:$CA$2,Model!$A50),'Tablica IO'!BT284*1)</f>
        <v>7.9184286468783772E-3</v>
      </c>
      <c r="BU50" s="222" cm="1">
        <f t="array" aca="1" ref="BU50" ca="1">'Tablica IO'!BU206*INDEX(Model!$C$93:$CA$93,Model!$A50) + IF(wplyw_cen_import_wlaczony,'Tablica IO'!BU284*INDEX(Model!$C$2:$CA$2,Model!$A50),'Tablica IO'!BU284*1)</f>
        <v>5.046357234067626E-3</v>
      </c>
      <c r="BV50" s="222" cm="1">
        <f t="array" aca="1" ref="BV50" ca="1">'Tablica IO'!BV206*INDEX(Model!$C$93:$CA$93,Model!$A50) + IF(wplyw_cen_import_wlaczony,'Tablica IO'!BV284*INDEX(Model!$C$2:$CA$2,Model!$A50),'Tablica IO'!BV284*1)</f>
        <v>5.3333751491727466E-4</v>
      </c>
      <c r="BW50" s="222" cm="1">
        <f t="array" aca="1" ref="BW50" ca="1">'Tablica IO'!BW206*INDEX(Model!$C$93:$CA$93,Model!$A50) + IF(wplyw_cen_import_wlaczony,'Tablica IO'!BW284*INDEX(Model!$C$2:$CA$2,Model!$A50),'Tablica IO'!BW284*1)</f>
        <v>6.4650215279853668E-3</v>
      </c>
      <c r="BX50" s="222" cm="1">
        <f t="array" aca="1" ref="BX50" ca="1">'Tablica IO'!BX206*INDEX(Model!$C$93:$CA$93,Model!$A50) + IF(wplyw_cen_import_wlaczony,'Tablica IO'!BX284*INDEX(Model!$C$2:$CA$2,Model!$A50),'Tablica IO'!BX284*1)</f>
        <v>4.4773478273806427E-3</v>
      </c>
      <c r="BY50" s="222" cm="1">
        <f t="array" aca="1" ref="BY50" ca="1">'Tablica IO'!BY206*INDEX(Model!$C$93:$CA$93,Model!$A50) + IF(wplyw_cen_import_wlaczony,'Tablica IO'!BY284*INDEX(Model!$C$2:$CA$2,Model!$A50),'Tablica IO'!BY284*1)</f>
        <v>1.4308994348549752E-2</v>
      </c>
      <c r="BZ50" s="222" cm="1">
        <f t="array" aca="1" ref="BZ50" ca="1">'Tablica IO'!BZ206*INDEX(Model!$C$93:$CA$93,Model!$A50) + IF(wplyw_cen_import_wlaczony,'Tablica IO'!BZ284*INDEX(Model!$C$2:$CA$2,Model!$A50),'Tablica IO'!BZ284*1)</f>
        <v>1.2828430624875025E-2</v>
      </c>
      <c r="CA50" s="222" cm="1">
        <f t="array" aca="1" ref="CA50" ca="1">'Tablica IO'!CA206*INDEX(Model!$C$93:$CA$93,Model!$A50) + IF(wplyw_cen_import_wlaczony,'Tablica IO'!CA284*INDEX(Model!$C$2:$CA$2,Model!$A50),'Tablica IO'!CA284*1)</f>
        <v>0</v>
      </c>
      <c r="CB50" s="247">
        <f ca="1">'Tablica IO'!CD206*INDEX(Model!$C$93:$CA$93,Model!$A50)+'Tablica IO'!CD284*INDEX(Model!$C$2:$CA$2,Model!$A50)</f>
        <v>2.2932481283485479E-2</v>
      </c>
      <c r="CC50" s="188">
        <f ca="1">'Tablica IO'!CE206*INDEX(Model!$C$93:$CA$93,Model!$A50)+'Tablica IO'!CE284*INDEX(Model!$C$2:$CA$2,Model!$A50)</f>
        <v>2.8603649940667577E-2</v>
      </c>
      <c r="CD50" s="188">
        <f ca="1">'Tablica IO'!CF206*INDEX(Model!$C$93:$CA$93,Model!$A50)+'Tablica IO'!CF284*INDEX(Model!$C$2:$CA$2,Model!$A50)</f>
        <v>2.7353464593588006E-3</v>
      </c>
      <c r="CE50" s="189">
        <f ca="1">'Tablica IO'!CG206*INDEX(Model!$C$93:$CA$93,Model!$A50)+'Tablica IO'!CG284*INDEX(Model!$C$2:$CA$2,Model!$A50)</f>
        <v>3.9063955138365261E-2</v>
      </c>
    </row>
    <row r="51" spans="1:83" x14ac:dyDescent="0.25">
      <c r="A51" s="164">
        <v>39</v>
      </c>
      <c r="B51" s="172" t="s">
        <v>38</v>
      </c>
      <c r="C51" s="221" cm="1">
        <f t="array" aca="1" ref="C51" ca="1">'Tablica IO'!C207*INDEX(Model!$C$93:$CA$93,Model!$A51) + IF(wplyw_cen_import_wlaczony,'Tablica IO'!C285*INDEX(Model!$C$2:$CA$2,Model!$A51),'Tablica IO'!C285*1)</f>
        <v>2.8312212635533013E-4</v>
      </c>
      <c r="D51" s="222" cm="1">
        <f t="array" aca="1" ref="D51" ca="1">'Tablica IO'!D207*INDEX(Model!$C$93:$CA$93,Model!$A51) + IF(wplyw_cen_import_wlaczony,'Tablica IO'!D285*INDEX(Model!$C$2:$CA$2,Model!$A51),'Tablica IO'!D285*1)</f>
        <v>2.3148821110731705E-3</v>
      </c>
      <c r="E51" s="222" cm="1">
        <f t="array" aca="1" ref="E51" ca="1">'Tablica IO'!E207*INDEX(Model!$C$93:$CA$93,Model!$A51) + IF(wplyw_cen_import_wlaczony,'Tablica IO'!E285*INDEX(Model!$C$2:$CA$2,Model!$A51),'Tablica IO'!E285*1)</f>
        <v>2.0019879424870022E-2</v>
      </c>
      <c r="F51" s="222" cm="1">
        <f t="array" aca="1" ref="F51" ca="1">'Tablica IO'!F207*INDEX(Model!$C$93:$CA$93,Model!$A51) + IF(wplyw_cen_import_wlaczony,'Tablica IO'!F285*INDEX(Model!$C$2:$CA$2,Model!$A51),'Tablica IO'!F285*1)</f>
        <v>1.1490691648272604E-4</v>
      </c>
      <c r="G51" s="222" cm="1">
        <f t="array" aca="1" ref="G51" ca="1">'Tablica IO'!G207*INDEX(Model!$C$93:$CA$93,Model!$A51) + IF(wplyw_cen_import_wlaczony,'Tablica IO'!G285*INDEX(Model!$C$2:$CA$2,Model!$A51),'Tablica IO'!G285*1)</f>
        <v>5.9689427972977232E-3</v>
      </c>
      <c r="H51" s="222" cm="1">
        <f t="array" aca="1" ref="H51" ca="1">'Tablica IO'!H207*INDEX(Model!$C$93:$CA$93,Model!$A51) + IF(wplyw_cen_import_wlaczony,'Tablica IO'!H285*INDEX(Model!$C$2:$CA$2,Model!$A51),'Tablica IO'!H285*1)</f>
        <v>6.3187282310907429E-4</v>
      </c>
      <c r="I51" s="222" cm="1">
        <f t="array" aca="1" ref="I51" ca="1">'Tablica IO'!I207*INDEX(Model!$C$93:$CA$93,Model!$A51) + IF(wplyw_cen_import_wlaczony,'Tablica IO'!I285*INDEX(Model!$C$2:$CA$2,Model!$A51),'Tablica IO'!I285*1)</f>
        <v>9.2862408545496956E-4</v>
      </c>
      <c r="J51" s="222" cm="1">
        <f t="array" aca="1" ref="J51" ca="1">'Tablica IO'!J207*INDEX(Model!$C$93:$CA$93,Model!$A51) + IF(wplyw_cen_import_wlaczony,'Tablica IO'!J285*INDEX(Model!$C$2:$CA$2,Model!$A51),'Tablica IO'!J285*1)</f>
        <v>6.6777016594316441E-4</v>
      </c>
      <c r="K51" s="222" cm="1">
        <f t="array" aca="1" ref="K51" ca="1">'Tablica IO'!K207*INDEX(Model!$C$93:$CA$93,Model!$A51) + IF(wplyw_cen_import_wlaczony,'Tablica IO'!K285*INDEX(Model!$C$2:$CA$2,Model!$A51),'Tablica IO'!K285*1)</f>
        <v>2.7182340630812225E-3</v>
      </c>
      <c r="L51" s="222" cm="1">
        <f t="array" aca="1" ref="L51" ca="1">'Tablica IO'!L207*INDEX(Model!$C$93:$CA$93,Model!$A51) + IF(wplyw_cen_import_wlaczony,'Tablica IO'!L285*INDEX(Model!$C$2:$CA$2,Model!$A51),'Tablica IO'!L285*1)</f>
        <v>8.3597420749344361E-4</v>
      </c>
      <c r="M51" s="222" cm="1">
        <f t="array" aca="1" ref="M51" ca="1">'Tablica IO'!M207*INDEX(Model!$C$93:$CA$93,Model!$A51) + IF(wplyw_cen_import_wlaczony,'Tablica IO'!M285*INDEX(Model!$C$2:$CA$2,Model!$A51),'Tablica IO'!M285*1)</f>
        <v>8.9756865510096161E-4</v>
      </c>
      <c r="N51" s="222" cm="1">
        <f t="array" aca="1" ref="N51" ca="1">'Tablica IO'!N207*INDEX(Model!$C$93:$CA$93,Model!$A51) + IF(wplyw_cen_import_wlaczony,'Tablica IO'!N285*INDEX(Model!$C$2:$CA$2,Model!$A51),'Tablica IO'!N285*1)</f>
        <v>1.7218111548641868E-3</v>
      </c>
      <c r="O51" s="222" cm="1">
        <f t="array" aca="1" ref="O51" ca="1">'Tablica IO'!O207*INDEX(Model!$C$93:$CA$93,Model!$A51) + IF(wplyw_cen_import_wlaczony,'Tablica IO'!O285*INDEX(Model!$C$2:$CA$2,Model!$A51),'Tablica IO'!O285*1)</f>
        <v>2.9022301392349213E-3</v>
      </c>
      <c r="P51" s="222" cm="1">
        <f t="array" aca="1" ref="P51" ca="1">'Tablica IO'!P207*INDEX(Model!$C$93:$CA$93,Model!$A51) + IF(wplyw_cen_import_wlaczony,'Tablica IO'!P285*INDEX(Model!$C$2:$CA$2,Model!$A51),'Tablica IO'!P285*1)</f>
        <v>1.854054768021272E-3</v>
      </c>
      <c r="Q51" s="222" cm="1">
        <f t="array" aca="1" ref="Q51" ca="1">'Tablica IO'!Q207*INDEX(Model!$C$93:$CA$93,Model!$A51) + IF(wplyw_cen_import_wlaczony,'Tablica IO'!Q285*INDEX(Model!$C$2:$CA$2,Model!$A51),'Tablica IO'!Q285*1)</f>
        <v>2.8924357176844818E-3</v>
      </c>
      <c r="R51" s="222" cm="1">
        <f t="array" aca="1" ref="R51" ca="1">'Tablica IO'!R207*INDEX(Model!$C$93:$CA$93,Model!$A51) + IF(wplyw_cen_import_wlaczony,'Tablica IO'!R285*INDEX(Model!$C$2:$CA$2,Model!$A51),'Tablica IO'!R285*1)</f>
        <v>3.3335190922474346E-3</v>
      </c>
      <c r="S51" s="222" cm="1">
        <f t="array" aca="1" ref="S51" ca="1">'Tablica IO'!S207*INDEX(Model!$C$93:$CA$93,Model!$A51) + IF(wplyw_cen_import_wlaczony,'Tablica IO'!S285*INDEX(Model!$C$2:$CA$2,Model!$A51),'Tablica IO'!S285*1)</f>
        <v>1.4778090647760904E-3</v>
      </c>
      <c r="T51" s="222" cm="1">
        <f t="array" aca="1" ref="T51" ca="1">'Tablica IO'!T207*INDEX(Model!$C$93:$CA$93,Model!$A51) + IF(wplyw_cen_import_wlaczony,'Tablica IO'!T285*INDEX(Model!$C$2:$CA$2,Model!$A51),'Tablica IO'!T285*1)</f>
        <v>9.0954672079115789E-4</v>
      </c>
      <c r="U51" s="222" cm="1">
        <f t="array" aca="1" ref="U51" ca="1">'Tablica IO'!U207*INDEX(Model!$C$93:$CA$93,Model!$A51) + IF(wplyw_cen_import_wlaczony,'Tablica IO'!U285*INDEX(Model!$C$2:$CA$2,Model!$A51),'Tablica IO'!U285*1)</f>
        <v>1.8848078858367105E-3</v>
      </c>
      <c r="V51" s="222" cm="1">
        <f t="array" aca="1" ref="V51" ca="1">'Tablica IO'!V207*INDEX(Model!$C$93:$CA$93,Model!$A51) + IF(wplyw_cen_import_wlaczony,'Tablica IO'!V285*INDEX(Model!$C$2:$CA$2,Model!$A51),'Tablica IO'!V285*1)</f>
        <v>6.4509093448140314E-4</v>
      </c>
      <c r="W51" s="222" cm="1">
        <f t="array" aca="1" ref="W51" ca="1">'Tablica IO'!W207*INDEX(Model!$C$93:$CA$93,Model!$A51) + IF(wplyw_cen_import_wlaczony,'Tablica IO'!W285*INDEX(Model!$C$2:$CA$2,Model!$A51),'Tablica IO'!W285*1)</f>
        <v>1.0232871215234713E-3</v>
      </c>
      <c r="X51" s="222" cm="1">
        <f t="array" aca="1" ref="X51" ca="1">'Tablica IO'!X207*INDEX(Model!$C$93:$CA$93,Model!$A51) + IF(wplyw_cen_import_wlaczony,'Tablica IO'!X285*INDEX(Model!$C$2:$CA$2,Model!$A51),'Tablica IO'!X285*1)</f>
        <v>2.0549227043734622E-3</v>
      </c>
      <c r="Y51" s="222" cm="1">
        <f t="array" aca="1" ref="Y51" ca="1">'Tablica IO'!Y207*INDEX(Model!$C$93:$CA$93,Model!$A51) + IF(wplyw_cen_import_wlaczony,'Tablica IO'!Y285*INDEX(Model!$C$2:$CA$2,Model!$A51),'Tablica IO'!Y285*1)</f>
        <v>2.1590778946447547E-3</v>
      </c>
      <c r="Z51" s="222" cm="1">
        <f t="array" aca="1" ref="Z51" ca="1">'Tablica IO'!Z207*INDEX(Model!$C$93:$CA$93,Model!$A51) + IF(wplyw_cen_import_wlaczony,'Tablica IO'!Z285*INDEX(Model!$C$2:$CA$2,Model!$A51),'Tablica IO'!Z285*1)</f>
        <v>1.5842053280616356E-3</v>
      </c>
      <c r="AA51" s="222" cm="1">
        <f t="array" aca="1" ref="AA51" ca="1">'Tablica IO'!AA207*INDEX(Model!$C$93:$CA$93,Model!$A51) + IF(wplyw_cen_import_wlaczony,'Tablica IO'!AA285*INDEX(Model!$C$2:$CA$2,Model!$A51),'Tablica IO'!AA285*1)</f>
        <v>1.3409270521383496E-3</v>
      </c>
      <c r="AB51" s="222" cm="1">
        <f t="array" aca="1" ref="AB51" ca="1">'Tablica IO'!AB207*INDEX(Model!$C$93:$CA$93,Model!$A51) + IF(wplyw_cen_import_wlaczony,'Tablica IO'!AB285*INDEX(Model!$C$2:$CA$2,Model!$A51),'Tablica IO'!AB285*1)</f>
        <v>4.1085315436346775E-3</v>
      </c>
      <c r="AC51" s="222" cm="1">
        <f t="array" aca="1" ref="AC51" ca="1">'Tablica IO'!AC207*INDEX(Model!$C$93:$CA$93,Model!$A51) + IF(wplyw_cen_import_wlaczony,'Tablica IO'!AC285*INDEX(Model!$C$2:$CA$2,Model!$A51),'Tablica IO'!AC285*1)</f>
        <v>2.3267511789533341E-3</v>
      </c>
      <c r="AD51" s="222" cm="1">
        <f t="array" aca="1" ref="AD51" ca="1">'Tablica IO'!AD207*INDEX(Model!$C$93:$CA$93,Model!$A51) + IF(wplyw_cen_import_wlaczony,'Tablica IO'!AD285*INDEX(Model!$C$2:$CA$2,Model!$A51),'Tablica IO'!AD285*1)</f>
        <v>7.7709358131900158E-4</v>
      </c>
      <c r="AE51" s="222" cm="1">
        <f t="array" aca="1" ref="AE51" ca="1">'Tablica IO'!AE207*INDEX(Model!$C$93:$CA$93,Model!$A51) + IF(wplyw_cen_import_wlaczony,'Tablica IO'!AE285*INDEX(Model!$C$2:$CA$2,Model!$A51),'Tablica IO'!AE285*1)</f>
        <v>1.501571353344285E-3</v>
      </c>
      <c r="AF51" s="222" cm="1">
        <f t="array" aca="1" ref="AF51" ca="1">'Tablica IO'!AF207*INDEX(Model!$C$93:$CA$93,Model!$A51) + IF(wplyw_cen_import_wlaczony,'Tablica IO'!AF285*INDEX(Model!$C$2:$CA$2,Model!$A51),'Tablica IO'!AF285*1)</f>
        <v>3.0774125367557257E-4</v>
      </c>
      <c r="AG51" s="222" cm="1">
        <f t="array" aca="1" ref="AG51" ca="1">'Tablica IO'!AG207*INDEX(Model!$C$93:$CA$93,Model!$A51) + IF(wplyw_cen_import_wlaczony,'Tablica IO'!AG285*INDEX(Model!$C$2:$CA$2,Model!$A51),'Tablica IO'!AG285*1)</f>
        <v>3.5405739277270061E-4</v>
      </c>
      <c r="AH51" s="222" cm="1">
        <f t="array" aca="1" ref="AH51" ca="1">'Tablica IO'!AH207*INDEX(Model!$C$93:$CA$93,Model!$A51) + IF(wplyw_cen_import_wlaczony,'Tablica IO'!AH285*INDEX(Model!$C$2:$CA$2,Model!$A51),'Tablica IO'!AH285*1)</f>
        <v>8.4130983500529228E-4</v>
      </c>
      <c r="AI51" s="222" cm="1">
        <f t="array" aca="1" ref="AI51" ca="1">'Tablica IO'!AI207*INDEX(Model!$C$93:$CA$93,Model!$A51) + IF(wplyw_cen_import_wlaczony,'Tablica IO'!AI285*INDEX(Model!$C$2:$CA$2,Model!$A51),'Tablica IO'!AI285*1)</f>
        <v>2.3700625787865544E-4</v>
      </c>
      <c r="AJ51" s="222" cm="1">
        <f t="array" aca="1" ref="AJ51" ca="1">'Tablica IO'!AJ207*INDEX(Model!$C$93:$CA$93,Model!$A51) + IF(wplyw_cen_import_wlaczony,'Tablica IO'!AJ285*INDEX(Model!$C$2:$CA$2,Model!$A51),'Tablica IO'!AJ285*1)</f>
        <v>4.6892356989421087E-4</v>
      </c>
      <c r="AK51" s="222" cm="1">
        <f t="array" aca="1" ref="AK51" ca="1">'Tablica IO'!AK207*INDEX(Model!$C$93:$CA$93,Model!$A51) + IF(wplyw_cen_import_wlaczony,'Tablica IO'!AK285*INDEX(Model!$C$2:$CA$2,Model!$A51),'Tablica IO'!AK285*1)</f>
        <v>1.6454602999884235E-3</v>
      </c>
      <c r="AL51" s="222" cm="1">
        <f t="array" aca="1" ref="AL51" ca="1">'Tablica IO'!AL207*INDEX(Model!$C$93:$CA$93,Model!$A51) + IF(wplyw_cen_import_wlaczony,'Tablica IO'!AL285*INDEX(Model!$C$2:$CA$2,Model!$A51),'Tablica IO'!AL285*1)</f>
        <v>4.2196281509090574E-3</v>
      </c>
      <c r="AM51" s="222" cm="1">
        <f t="array" aca="1" ref="AM51" ca="1">'Tablica IO'!AM207*INDEX(Model!$C$93:$CA$93,Model!$A51) + IF(wplyw_cen_import_wlaczony,'Tablica IO'!AM285*INDEX(Model!$C$2:$CA$2,Model!$A51),'Tablica IO'!AM285*1)</f>
        <v>5.3055917851547725E-4</v>
      </c>
      <c r="AN51" s="222" cm="1">
        <f t="array" aca="1" ref="AN51" ca="1">'Tablica IO'!AN207*INDEX(Model!$C$93:$CA$93,Model!$A51) + IF(wplyw_cen_import_wlaczony,'Tablica IO'!AN285*INDEX(Model!$C$2:$CA$2,Model!$A51),'Tablica IO'!AN285*1)</f>
        <v>2.8685784568630219E-3</v>
      </c>
      <c r="AO51" s="222" cm="1">
        <f t="array" aca="1" ref="AO51" ca="1">'Tablica IO'!AO207*INDEX(Model!$C$93:$CA$93,Model!$A51) + IF(wplyw_cen_import_wlaczony,'Tablica IO'!AO285*INDEX(Model!$C$2:$CA$2,Model!$A51),'Tablica IO'!AO285*1)</f>
        <v>4.2022144228368016E-2</v>
      </c>
      <c r="AP51" s="222" cm="1">
        <f t="array" aca="1" ref="AP51" ca="1">'Tablica IO'!AP207*INDEX(Model!$C$93:$CA$93,Model!$A51) + IF(wplyw_cen_import_wlaczony,'Tablica IO'!AP285*INDEX(Model!$C$2:$CA$2,Model!$A51),'Tablica IO'!AP285*1)</f>
        <v>2.1464055918898814E-2</v>
      </c>
      <c r="AQ51" s="222" cm="1">
        <f t="array" aca="1" ref="AQ51" ca="1">'Tablica IO'!AQ207*INDEX(Model!$C$93:$CA$93,Model!$A51) + IF(wplyw_cen_import_wlaczony,'Tablica IO'!AQ285*INDEX(Model!$C$2:$CA$2,Model!$A51),'Tablica IO'!AQ285*1)</f>
        <v>7.0209755348298064E-4</v>
      </c>
      <c r="AR51" s="222" cm="1">
        <f t="array" aca="1" ref="AR51" ca="1">'Tablica IO'!AR207*INDEX(Model!$C$93:$CA$93,Model!$A51) + IF(wplyw_cen_import_wlaczony,'Tablica IO'!AR285*INDEX(Model!$C$2:$CA$2,Model!$A51),'Tablica IO'!AR285*1)</f>
        <v>2.2829152846175527E-4</v>
      </c>
      <c r="AS51" s="222" cm="1">
        <f t="array" aca="1" ref="AS51" ca="1">'Tablica IO'!AS207*INDEX(Model!$C$93:$CA$93,Model!$A51) + IF(wplyw_cen_import_wlaczony,'Tablica IO'!AS285*INDEX(Model!$C$2:$CA$2,Model!$A51),'Tablica IO'!AS285*1)</f>
        <v>1.2518375328792416E-3</v>
      </c>
      <c r="AT51" s="222" cm="1">
        <f t="array" aca="1" ref="AT51" ca="1">'Tablica IO'!AT207*INDEX(Model!$C$93:$CA$93,Model!$A51) + IF(wplyw_cen_import_wlaczony,'Tablica IO'!AT285*INDEX(Model!$C$2:$CA$2,Model!$A51),'Tablica IO'!AT285*1)</f>
        <v>3.3784306497391409E-3</v>
      </c>
      <c r="AU51" s="222" cm="1">
        <f t="array" aca="1" ref="AU51" ca="1">'Tablica IO'!AU207*INDEX(Model!$C$93:$CA$93,Model!$A51) + IF(wplyw_cen_import_wlaczony,'Tablica IO'!AU285*INDEX(Model!$C$2:$CA$2,Model!$A51),'Tablica IO'!AU285*1)</f>
        <v>1.8146147062754161E-5</v>
      </c>
      <c r="AV51" s="222" cm="1">
        <f t="array" aca="1" ref="AV51" ca="1">'Tablica IO'!AV207*INDEX(Model!$C$93:$CA$93,Model!$A51) + IF(wplyw_cen_import_wlaczony,'Tablica IO'!AV285*INDEX(Model!$C$2:$CA$2,Model!$A51),'Tablica IO'!AV285*1)</f>
        <v>1.5654447396712656E-4</v>
      </c>
      <c r="AW51" s="222" cm="1">
        <f t="array" aca="1" ref="AW51" ca="1">'Tablica IO'!AW207*INDEX(Model!$C$93:$CA$93,Model!$A51) + IF(wplyw_cen_import_wlaczony,'Tablica IO'!AW285*INDEX(Model!$C$2:$CA$2,Model!$A51),'Tablica IO'!AW285*1)</f>
        <v>2.1088229131040973E-3</v>
      </c>
      <c r="AX51" s="222" cm="1">
        <f t="array" aca="1" ref="AX51" ca="1">'Tablica IO'!AX207*INDEX(Model!$C$93:$CA$93,Model!$A51) + IF(wplyw_cen_import_wlaczony,'Tablica IO'!AX285*INDEX(Model!$C$2:$CA$2,Model!$A51),'Tablica IO'!AX285*1)</f>
        <v>6.6256313949280242E-4</v>
      </c>
      <c r="AY51" s="222" cm="1">
        <f t="array" aca="1" ref="AY51" ca="1">'Tablica IO'!AY207*INDEX(Model!$C$93:$CA$93,Model!$A51) + IF(wplyw_cen_import_wlaczony,'Tablica IO'!AY285*INDEX(Model!$C$2:$CA$2,Model!$A51),'Tablica IO'!AY285*1)</f>
        <v>1.367692538954001E-3</v>
      </c>
      <c r="AZ51" s="222" cm="1">
        <f t="array" aca="1" ref="AZ51" ca="1">'Tablica IO'!AZ207*INDEX(Model!$C$93:$CA$93,Model!$A51) + IF(wplyw_cen_import_wlaczony,'Tablica IO'!AZ285*INDEX(Model!$C$2:$CA$2,Model!$A51),'Tablica IO'!AZ285*1)</f>
        <v>6.0087784352503702E-4</v>
      </c>
      <c r="BA51" s="222" cm="1">
        <f t="array" aca="1" ref="BA51" ca="1">'Tablica IO'!BA207*INDEX(Model!$C$93:$CA$93,Model!$A51) + IF(wplyw_cen_import_wlaczony,'Tablica IO'!BA285*INDEX(Model!$C$2:$CA$2,Model!$A51),'Tablica IO'!BA285*1)</f>
        <v>9.5752923786598791E-4</v>
      </c>
      <c r="BB51" s="222" cm="1">
        <f t="array" aca="1" ref="BB51" ca="1">'Tablica IO'!BB207*INDEX(Model!$C$93:$CA$93,Model!$A51) + IF(wplyw_cen_import_wlaczony,'Tablica IO'!BB285*INDEX(Model!$C$2:$CA$2,Model!$A51),'Tablica IO'!BB285*1)</f>
        <v>3.4978926813932079E-4</v>
      </c>
      <c r="BC51" s="222" cm="1">
        <f t="array" aca="1" ref="BC51" ca="1">'Tablica IO'!BC207*INDEX(Model!$C$93:$CA$93,Model!$A51) + IF(wplyw_cen_import_wlaczony,'Tablica IO'!BC285*INDEX(Model!$C$2:$CA$2,Model!$A51),'Tablica IO'!BC285*1)</f>
        <v>8.755602179399938E-4</v>
      </c>
      <c r="BD51" s="222" cm="1">
        <f t="array" aca="1" ref="BD51" ca="1">'Tablica IO'!BD207*INDEX(Model!$C$93:$CA$93,Model!$A51) + IF(wplyw_cen_import_wlaczony,'Tablica IO'!BD285*INDEX(Model!$C$2:$CA$2,Model!$A51),'Tablica IO'!BD285*1)</f>
        <v>1.6915222941592581E-3</v>
      </c>
      <c r="BE51" s="222" cm="1">
        <f t="array" aca="1" ref="BE51" ca="1">'Tablica IO'!BE207*INDEX(Model!$C$93:$CA$93,Model!$A51) + IF(wplyw_cen_import_wlaczony,'Tablica IO'!BE285*INDEX(Model!$C$2:$CA$2,Model!$A51),'Tablica IO'!BE285*1)</f>
        <v>4.0951075263190881E-4</v>
      </c>
      <c r="BF51" s="222" cm="1">
        <f t="array" aca="1" ref="BF51" ca="1">'Tablica IO'!BF207*INDEX(Model!$C$93:$CA$93,Model!$A51) + IF(wplyw_cen_import_wlaczony,'Tablica IO'!BF285*INDEX(Model!$C$2:$CA$2,Model!$A51),'Tablica IO'!BF285*1)</f>
        <v>4.5041848325362288E-3</v>
      </c>
      <c r="BG51" s="222" cm="1">
        <f t="array" aca="1" ref="BG51" ca="1">'Tablica IO'!BG207*INDEX(Model!$C$93:$CA$93,Model!$A51) + IF(wplyw_cen_import_wlaczony,'Tablica IO'!BG285*INDEX(Model!$C$2:$CA$2,Model!$A51),'Tablica IO'!BG285*1)</f>
        <v>5.0437830773388014E-4</v>
      </c>
      <c r="BH51" s="222" cm="1">
        <f t="array" aca="1" ref="BH51" ca="1">'Tablica IO'!BH207*INDEX(Model!$C$93:$CA$93,Model!$A51) + IF(wplyw_cen_import_wlaczony,'Tablica IO'!BH285*INDEX(Model!$C$2:$CA$2,Model!$A51),'Tablica IO'!BH285*1)</f>
        <v>5.2664767899412003E-4</v>
      </c>
      <c r="BI51" s="222" cm="1">
        <f t="array" aca="1" ref="BI51" ca="1">'Tablica IO'!BI207*INDEX(Model!$C$93:$CA$93,Model!$A51) + IF(wplyw_cen_import_wlaczony,'Tablica IO'!BI285*INDEX(Model!$C$2:$CA$2,Model!$A51),'Tablica IO'!BI285*1)</f>
        <v>0</v>
      </c>
      <c r="BJ51" s="222" cm="1">
        <f t="array" aca="1" ref="BJ51" ca="1">'Tablica IO'!BJ207*INDEX(Model!$C$93:$CA$93,Model!$A51) + IF(wplyw_cen_import_wlaczony,'Tablica IO'!BJ285*INDEX(Model!$C$2:$CA$2,Model!$A51),'Tablica IO'!BJ285*1)</f>
        <v>2.4891829353059568E-3</v>
      </c>
      <c r="BK51" s="222" cm="1">
        <f t="array" aca="1" ref="BK51" ca="1">'Tablica IO'!BK207*INDEX(Model!$C$93:$CA$93,Model!$A51) + IF(wplyw_cen_import_wlaczony,'Tablica IO'!BK285*INDEX(Model!$C$2:$CA$2,Model!$A51),'Tablica IO'!BK285*1)</f>
        <v>1.1743024447448268E-3</v>
      </c>
      <c r="BL51" s="222" cm="1">
        <f t="array" aca="1" ref="BL51" ca="1">'Tablica IO'!BL207*INDEX(Model!$C$93:$CA$93,Model!$A51) + IF(wplyw_cen_import_wlaczony,'Tablica IO'!BL285*INDEX(Model!$C$2:$CA$2,Model!$A51),'Tablica IO'!BL285*1)</f>
        <v>0.20482452894383862</v>
      </c>
      <c r="BM51" s="222" cm="1">
        <f t="array" aca="1" ref="BM51" ca="1">'Tablica IO'!BM207*INDEX(Model!$C$93:$CA$93,Model!$A51) + IF(wplyw_cen_import_wlaczony,'Tablica IO'!BM285*INDEX(Model!$C$2:$CA$2,Model!$A51),'Tablica IO'!BM285*1)</f>
        <v>1.3633826491242153E-3</v>
      </c>
      <c r="BN51" s="222" cm="1">
        <f t="array" aca="1" ref="BN51" ca="1">'Tablica IO'!BN207*INDEX(Model!$C$93:$CA$93,Model!$A51) + IF(wplyw_cen_import_wlaczony,'Tablica IO'!BN285*INDEX(Model!$C$2:$CA$2,Model!$A51),'Tablica IO'!BN285*1)</f>
        <v>4.5444057950521139E-5</v>
      </c>
      <c r="BO51" s="222" cm="1">
        <f t="array" aca="1" ref="BO51" ca="1">'Tablica IO'!BO207*INDEX(Model!$C$93:$CA$93,Model!$A51) + IF(wplyw_cen_import_wlaczony,'Tablica IO'!BO285*INDEX(Model!$C$2:$CA$2,Model!$A51),'Tablica IO'!BO285*1)</f>
        <v>3.5048325111296729E-4</v>
      </c>
      <c r="BP51" s="222" cm="1">
        <f t="array" aca="1" ref="BP51" ca="1">'Tablica IO'!BP207*INDEX(Model!$C$93:$CA$93,Model!$A51) + IF(wplyw_cen_import_wlaczony,'Tablica IO'!BP285*INDEX(Model!$C$2:$CA$2,Model!$A51),'Tablica IO'!BP285*1)</f>
        <v>2.9592148660962639E-4</v>
      </c>
      <c r="BQ51" s="222" cm="1">
        <f t="array" aca="1" ref="BQ51" ca="1">'Tablica IO'!BQ207*INDEX(Model!$C$93:$CA$93,Model!$A51) + IF(wplyw_cen_import_wlaczony,'Tablica IO'!BQ285*INDEX(Model!$C$2:$CA$2,Model!$A51),'Tablica IO'!BQ285*1)</f>
        <v>2.0299803707914205E-4</v>
      </c>
      <c r="BR51" s="222" cm="1">
        <f t="array" aca="1" ref="BR51" ca="1">'Tablica IO'!BR207*INDEX(Model!$C$93:$CA$93,Model!$A51) + IF(wplyw_cen_import_wlaczony,'Tablica IO'!BR285*INDEX(Model!$C$2:$CA$2,Model!$A51),'Tablica IO'!BR285*1)</f>
        <v>1.5063381831225298E-4</v>
      </c>
      <c r="BS51" s="222" cm="1">
        <f t="array" aca="1" ref="BS51" ca="1">'Tablica IO'!BS207*INDEX(Model!$C$93:$CA$93,Model!$A51) + IF(wplyw_cen_import_wlaczony,'Tablica IO'!BS285*INDEX(Model!$C$2:$CA$2,Model!$A51),'Tablica IO'!BS285*1)</f>
        <v>0</v>
      </c>
      <c r="BT51" s="222" cm="1">
        <f t="array" aca="1" ref="BT51" ca="1">'Tablica IO'!BT207*INDEX(Model!$C$93:$CA$93,Model!$A51) + IF(wplyw_cen_import_wlaczony,'Tablica IO'!BT285*INDEX(Model!$C$2:$CA$2,Model!$A51),'Tablica IO'!BT285*1)</f>
        <v>5.0603421193889525E-3</v>
      </c>
      <c r="BU51" s="222" cm="1">
        <f t="array" aca="1" ref="BU51" ca="1">'Tablica IO'!BU207*INDEX(Model!$C$93:$CA$93,Model!$A51) + IF(wplyw_cen_import_wlaczony,'Tablica IO'!BU285*INDEX(Model!$C$2:$CA$2,Model!$A51),'Tablica IO'!BU285*1)</f>
        <v>5.1339010957243431E-4</v>
      </c>
      <c r="BV51" s="222" cm="1">
        <f t="array" aca="1" ref="BV51" ca="1">'Tablica IO'!BV207*INDEX(Model!$C$93:$CA$93,Model!$A51) + IF(wplyw_cen_import_wlaczony,'Tablica IO'!BV285*INDEX(Model!$C$2:$CA$2,Model!$A51),'Tablica IO'!BV285*1)</f>
        <v>1.0014354253252713E-5</v>
      </c>
      <c r="BW51" s="222" cm="1">
        <f t="array" aca="1" ref="BW51" ca="1">'Tablica IO'!BW207*INDEX(Model!$C$93:$CA$93,Model!$A51) + IF(wplyw_cen_import_wlaczony,'Tablica IO'!BW285*INDEX(Model!$C$2:$CA$2,Model!$A51),'Tablica IO'!BW285*1)</f>
        <v>1.6402820997676471E-3</v>
      </c>
      <c r="BX51" s="222" cm="1">
        <f t="array" aca="1" ref="BX51" ca="1">'Tablica IO'!BX207*INDEX(Model!$C$93:$CA$93,Model!$A51) + IF(wplyw_cen_import_wlaczony,'Tablica IO'!BX285*INDEX(Model!$C$2:$CA$2,Model!$A51),'Tablica IO'!BX285*1)</f>
        <v>1.6286479004995336E-4</v>
      </c>
      <c r="BY51" s="222" cm="1">
        <f t="array" aca="1" ref="BY51" ca="1">'Tablica IO'!BY207*INDEX(Model!$C$93:$CA$93,Model!$A51) + IF(wplyw_cen_import_wlaczony,'Tablica IO'!BY285*INDEX(Model!$C$2:$CA$2,Model!$A51),'Tablica IO'!BY285*1)</f>
        <v>3.1587095281561941E-3</v>
      </c>
      <c r="BZ51" s="222" cm="1">
        <f t="array" aca="1" ref="BZ51" ca="1">'Tablica IO'!BZ207*INDEX(Model!$C$93:$CA$93,Model!$A51) + IF(wplyw_cen_import_wlaczony,'Tablica IO'!BZ285*INDEX(Model!$C$2:$CA$2,Model!$A51),'Tablica IO'!BZ285*1)</f>
        <v>3.9139394280186064E-4</v>
      </c>
      <c r="CA51" s="222" cm="1">
        <f t="array" aca="1" ref="CA51" ca="1">'Tablica IO'!CA207*INDEX(Model!$C$93:$CA$93,Model!$A51) + IF(wplyw_cen_import_wlaczony,'Tablica IO'!CA285*INDEX(Model!$C$2:$CA$2,Model!$A51),'Tablica IO'!CA285*1)</f>
        <v>0</v>
      </c>
      <c r="CB51" s="247">
        <f ca="1">'Tablica IO'!CD207*INDEX(Model!$C$93:$CA$93,Model!$A51)+'Tablica IO'!CD285*INDEX(Model!$C$2:$CA$2,Model!$A51)</f>
        <v>2.7757377263988485E-3</v>
      </c>
      <c r="CC51" s="188">
        <f ca="1">'Tablica IO'!CE207*INDEX(Model!$C$93:$CA$93,Model!$A51)+'Tablica IO'!CE285*INDEX(Model!$C$2:$CA$2,Model!$A51)</f>
        <v>0</v>
      </c>
      <c r="CD51" s="188">
        <f ca="1">'Tablica IO'!CF207*INDEX(Model!$C$93:$CA$93,Model!$A51)+'Tablica IO'!CF285*INDEX(Model!$C$2:$CA$2,Model!$A51)</f>
        <v>1.5620004451804654E-5</v>
      </c>
      <c r="CE51" s="189">
        <f ca="1">'Tablica IO'!CG207*INDEX(Model!$C$93:$CA$93,Model!$A51)+'Tablica IO'!CG285*INDEX(Model!$C$2:$CA$2,Model!$A51)</f>
        <v>6.6731962432164636E-3</v>
      </c>
    </row>
    <row r="52" spans="1:83" x14ac:dyDescent="0.25">
      <c r="A52" s="164">
        <v>40</v>
      </c>
      <c r="B52" s="172" t="s">
        <v>39</v>
      </c>
      <c r="C52" s="221" cm="1">
        <f t="array" aca="1" ref="C52" ca="1">'Tablica IO'!C208*INDEX(Model!$C$93:$CA$93,Model!$A52) + IF(wplyw_cen_import_wlaczony,'Tablica IO'!C286*INDEX(Model!$C$2:$CA$2,Model!$A52),'Tablica IO'!C286*1)</f>
        <v>2.2493874711968375E-3</v>
      </c>
      <c r="D52" s="222" cm="1">
        <f t="array" aca="1" ref="D52" ca="1">'Tablica IO'!D208*INDEX(Model!$C$93:$CA$93,Model!$A52) + IF(wplyw_cen_import_wlaczony,'Tablica IO'!D286*INDEX(Model!$C$2:$CA$2,Model!$A52),'Tablica IO'!D286*1)</f>
        <v>6.1889584718237802E-4</v>
      </c>
      <c r="E52" s="222" cm="1">
        <f t="array" aca="1" ref="E52" ca="1">'Tablica IO'!E208*INDEX(Model!$C$93:$CA$93,Model!$A52) + IF(wplyw_cen_import_wlaczony,'Tablica IO'!E286*INDEX(Model!$C$2:$CA$2,Model!$A52),'Tablica IO'!E286*1)</f>
        <v>1.7865392499589027E-2</v>
      </c>
      <c r="F52" s="222" cm="1">
        <f t="array" aca="1" ref="F52" ca="1">'Tablica IO'!F208*INDEX(Model!$C$93:$CA$93,Model!$A52) + IF(wplyw_cen_import_wlaczony,'Tablica IO'!F286*INDEX(Model!$C$2:$CA$2,Model!$A52),'Tablica IO'!F286*1)</f>
        <v>3.5984007730496563E-3</v>
      </c>
      <c r="G52" s="222" cm="1">
        <f t="array" aca="1" ref="G52" ca="1">'Tablica IO'!G208*INDEX(Model!$C$93:$CA$93,Model!$A52) + IF(wplyw_cen_import_wlaczony,'Tablica IO'!G286*INDEX(Model!$C$2:$CA$2,Model!$A52),'Tablica IO'!G286*1)</f>
        <v>1.7879377546897696E-2</v>
      </c>
      <c r="H52" s="222" cm="1">
        <f t="array" aca="1" ref="H52" ca="1">'Tablica IO'!H208*INDEX(Model!$C$93:$CA$93,Model!$A52) + IF(wplyw_cen_import_wlaczony,'Tablica IO'!H286*INDEX(Model!$C$2:$CA$2,Model!$A52),'Tablica IO'!H286*1)</f>
        <v>5.5007505783427006E-3</v>
      </c>
      <c r="I52" s="222" cm="1">
        <f t="array" aca="1" ref="I52" ca="1">'Tablica IO'!I208*INDEX(Model!$C$93:$CA$93,Model!$A52) + IF(wplyw_cen_import_wlaczony,'Tablica IO'!I286*INDEX(Model!$C$2:$CA$2,Model!$A52),'Tablica IO'!I286*1)</f>
        <v>2.6846696984501643E-2</v>
      </c>
      <c r="J52" s="222" cm="1">
        <f t="array" aca="1" ref="J52" ca="1">'Tablica IO'!J208*INDEX(Model!$C$93:$CA$93,Model!$A52) + IF(wplyw_cen_import_wlaczony,'Tablica IO'!J286*INDEX(Model!$C$2:$CA$2,Model!$A52),'Tablica IO'!J286*1)</f>
        <v>8.4281492019012572E-3</v>
      </c>
      <c r="K52" s="222" cm="1">
        <f t="array" aca="1" ref="K52" ca="1">'Tablica IO'!K208*INDEX(Model!$C$93:$CA$93,Model!$A52) + IF(wplyw_cen_import_wlaczony,'Tablica IO'!K286*INDEX(Model!$C$2:$CA$2,Model!$A52),'Tablica IO'!K286*1)</f>
        <v>3.7597025770379866E-3</v>
      </c>
      <c r="L52" s="222" cm="1">
        <f t="array" aca="1" ref="L52" ca="1">'Tablica IO'!L208*INDEX(Model!$C$93:$CA$93,Model!$A52) + IF(wplyw_cen_import_wlaczony,'Tablica IO'!L286*INDEX(Model!$C$2:$CA$2,Model!$A52),'Tablica IO'!L286*1)</f>
        <v>6.1875848771803825E-3</v>
      </c>
      <c r="M52" s="222" cm="1">
        <f t="array" aca="1" ref="M52" ca="1">'Tablica IO'!M208*INDEX(Model!$C$93:$CA$93,Model!$A52) + IF(wplyw_cen_import_wlaczony,'Tablica IO'!M286*INDEX(Model!$C$2:$CA$2,Model!$A52),'Tablica IO'!M286*1)</f>
        <v>3.2520745234117785E-3</v>
      </c>
      <c r="N52" s="222" cm="1">
        <f t="array" aca="1" ref="N52" ca="1">'Tablica IO'!N208*INDEX(Model!$C$93:$CA$93,Model!$A52) + IF(wplyw_cen_import_wlaczony,'Tablica IO'!N286*INDEX(Model!$C$2:$CA$2,Model!$A52),'Tablica IO'!N286*1)</f>
        <v>1.8080852845512574E-3</v>
      </c>
      <c r="O52" s="222" cm="1">
        <f t="array" aca="1" ref="O52" ca="1">'Tablica IO'!O208*INDEX(Model!$C$93:$CA$93,Model!$A52) + IF(wplyw_cen_import_wlaczony,'Tablica IO'!O286*INDEX(Model!$C$2:$CA$2,Model!$A52),'Tablica IO'!O286*1)</f>
        <v>4.7038407901587023E-3</v>
      </c>
      <c r="P52" s="222" cm="1">
        <f t="array" aca="1" ref="P52" ca="1">'Tablica IO'!P208*INDEX(Model!$C$93:$CA$93,Model!$A52) + IF(wplyw_cen_import_wlaczony,'Tablica IO'!P286*INDEX(Model!$C$2:$CA$2,Model!$A52),'Tablica IO'!P286*1)</f>
        <v>1.1869365024034439E-2</v>
      </c>
      <c r="Q52" s="222" cm="1">
        <f t="array" aca="1" ref="Q52" ca="1">'Tablica IO'!Q208*INDEX(Model!$C$93:$CA$93,Model!$A52) + IF(wplyw_cen_import_wlaczony,'Tablica IO'!Q286*INDEX(Model!$C$2:$CA$2,Model!$A52),'Tablica IO'!Q286*1)</f>
        <v>1.3930375378640794E-2</v>
      </c>
      <c r="R52" s="222" cm="1">
        <f t="array" aca="1" ref="R52" ca="1">'Tablica IO'!R208*INDEX(Model!$C$93:$CA$93,Model!$A52) + IF(wplyw_cen_import_wlaczony,'Tablica IO'!R286*INDEX(Model!$C$2:$CA$2,Model!$A52),'Tablica IO'!R286*1)</f>
        <v>6.9644526439268687E-3</v>
      </c>
      <c r="S52" s="222" cm="1">
        <f t="array" aca="1" ref="S52" ca="1">'Tablica IO'!S208*INDEX(Model!$C$93:$CA$93,Model!$A52) + IF(wplyw_cen_import_wlaczony,'Tablica IO'!S286*INDEX(Model!$C$2:$CA$2,Model!$A52),'Tablica IO'!S286*1)</f>
        <v>6.6272570996998197E-3</v>
      </c>
      <c r="T52" s="222" cm="1">
        <f t="array" aca="1" ref="T52" ca="1">'Tablica IO'!T208*INDEX(Model!$C$93:$CA$93,Model!$A52) + IF(wplyw_cen_import_wlaczony,'Tablica IO'!T286*INDEX(Model!$C$2:$CA$2,Model!$A52),'Tablica IO'!T286*1)</f>
        <v>4.1369888222271061E-3</v>
      </c>
      <c r="U52" s="222" cm="1">
        <f t="array" aca="1" ref="U52" ca="1">'Tablica IO'!U208*INDEX(Model!$C$93:$CA$93,Model!$A52) + IF(wplyw_cen_import_wlaczony,'Tablica IO'!U286*INDEX(Model!$C$2:$CA$2,Model!$A52),'Tablica IO'!U286*1)</f>
        <v>9.8127764568322912E-3</v>
      </c>
      <c r="V52" s="222" cm="1">
        <f t="array" aca="1" ref="V52" ca="1">'Tablica IO'!V208*INDEX(Model!$C$93:$CA$93,Model!$A52) + IF(wplyw_cen_import_wlaczony,'Tablica IO'!V286*INDEX(Model!$C$2:$CA$2,Model!$A52),'Tablica IO'!V286*1)</f>
        <v>3.9947283384042034E-3</v>
      </c>
      <c r="W52" s="222" cm="1">
        <f t="array" aca="1" ref="W52" ca="1">'Tablica IO'!W208*INDEX(Model!$C$93:$CA$93,Model!$A52) + IF(wplyw_cen_import_wlaczony,'Tablica IO'!W286*INDEX(Model!$C$2:$CA$2,Model!$A52),'Tablica IO'!W286*1)</f>
        <v>1.9807718188640257E-3</v>
      </c>
      <c r="X52" s="222" cm="1">
        <f t="array" aca="1" ref="X52" ca="1">'Tablica IO'!X208*INDEX(Model!$C$93:$CA$93,Model!$A52) + IF(wplyw_cen_import_wlaczony,'Tablica IO'!X286*INDEX(Model!$C$2:$CA$2,Model!$A52),'Tablica IO'!X286*1)</f>
        <v>2.3306388470268691E-3</v>
      </c>
      <c r="Y52" s="222" cm="1">
        <f t="array" aca="1" ref="Y52" ca="1">'Tablica IO'!Y208*INDEX(Model!$C$93:$CA$93,Model!$A52) + IF(wplyw_cen_import_wlaczony,'Tablica IO'!Y286*INDEX(Model!$C$2:$CA$2,Model!$A52),'Tablica IO'!Y286*1)</f>
        <v>9.1097028139817387E-3</v>
      </c>
      <c r="Z52" s="222" cm="1">
        <f t="array" aca="1" ref="Z52" ca="1">'Tablica IO'!Z208*INDEX(Model!$C$93:$CA$93,Model!$A52) + IF(wplyw_cen_import_wlaczony,'Tablica IO'!Z286*INDEX(Model!$C$2:$CA$2,Model!$A52),'Tablica IO'!Z286*1)</f>
        <v>4.3188846930277353E-3</v>
      </c>
      <c r="AA52" s="222" cm="1">
        <f t="array" aca="1" ref="AA52" ca="1">'Tablica IO'!AA208*INDEX(Model!$C$93:$CA$93,Model!$A52) + IF(wplyw_cen_import_wlaczony,'Tablica IO'!AA286*INDEX(Model!$C$2:$CA$2,Model!$A52),'Tablica IO'!AA286*1)</f>
        <v>4.3336303109092339E-3</v>
      </c>
      <c r="AB52" s="222" cm="1">
        <f t="array" aca="1" ref="AB52" ca="1">'Tablica IO'!AB208*INDEX(Model!$C$93:$CA$93,Model!$A52) + IF(wplyw_cen_import_wlaczony,'Tablica IO'!AB286*INDEX(Model!$C$2:$CA$2,Model!$A52),'Tablica IO'!AB286*1)</f>
        <v>3.1950485562587147E-3</v>
      </c>
      <c r="AC52" s="222" cm="1">
        <f t="array" aca="1" ref="AC52" ca="1">'Tablica IO'!AC208*INDEX(Model!$C$93:$CA$93,Model!$A52) + IF(wplyw_cen_import_wlaczony,'Tablica IO'!AC286*INDEX(Model!$C$2:$CA$2,Model!$A52),'Tablica IO'!AC286*1)</f>
        <v>4.0432470004361223E-3</v>
      </c>
      <c r="AD52" s="222" cm="1">
        <f t="array" aca="1" ref="AD52" ca="1">'Tablica IO'!AD208*INDEX(Model!$C$93:$CA$93,Model!$A52) + IF(wplyw_cen_import_wlaczony,'Tablica IO'!AD286*INDEX(Model!$C$2:$CA$2,Model!$A52),'Tablica IO'!AD286*1)</f>
        <v>4.0962503054123587E-3</v>
      </c>
      <c r="AE52" s="222" cm="1">
        <f t="array" aca="1" ref="AE52" ca="1">'Tablica IO'!AE208*INDEX(Model!$C$93:$CA$93,Model!$A52) + IF(wplyw_cen_import_wlaczony,'Tablica IO'!AE286*INDEX(Model!$C$2:$CA$2,Model!$A52),'Tablica IO'!AE286*1)</f>
        <v>2.6776305844016402E-3</v>
      </c>
      <c r="AF52" s="222" cm="1">
        <f t="array" aca="1" ref="AF52" ca="1">'Tablica IO'!AF208*INDEX(Model!$C$93:$CA$93,Model!$A52) + IF(wplyw_cen_import_wlaczony,'Tablica IO'!AF286*INDEX(Model!$C$2:$CA$2,Model!$A52),'Tablica IO'!AF286*1)</f>
        <v>6.1775219785187279E-3</v>
      </c>
      <c r="AG52" s="222" cm="1">
        <f t="array" aca="1" ref="AG52" ca="1">'Tablica IO'!AG208*INDEX(Model!$C$93:$CA$93,Model!$A52) + IF(wplyw_cen_import_wlaczony,'Tablica IO'!AG286*INDEX(Model!$C$2:$CA$2,Model!$A52),'Tablica IO'!AG286*1)</f>
        <v>2.809787825914734E-3</v>
      </c>
      <c r="AH52" s="222" cm="1">
        <f t="array" aca="1" ref="AH52" ca="1">'Tablica IO'!AH208*INDEX(Model!$C$93:$CA$93,Model!$A52) + IF(wplyw_cen_import_wlaczony,'Tablica IO'!AH286*INDEX(Model!$C$2:$CA$2,Model!$A52),'Tablica IO'!AH286*1)</f>
        <v>3.5657482986377153E-3</v>
      </c>
      <c r="AI52" s="222" cm="1">
        <f t="array" aca="1" ref="AI52" ca="1">'Tablica IO'!AI208*INDEX(Model!$C$93:$CA$93,Model!$A52) + IF(wplyw_cen_import_wlaczony,'Tablica IO'!AI286*INDEX(Model!$C$2:$CA$2,Model!$A52),'Tablica IO'!AI286*1)</f>
        <v>2.2605483703406599E-3</v>
      </c>
      <c r="AJ52" s="222" cm="1">
        <f t="array" aca="1" ref="AJ52" ca="1">'Tablica IO'!AJ208*INDEX(Model!$C$93:$CA$93,Model!$A52) + IF(wplyw_cen_import_wlaczony,'Tablica IO'!AJ286*INDEX(Model!$C$2:$CA$2,Model!$A52),'Tablica IO'!AJ286*1)</f>
        <v>3.0261843375496028E-3</v>
      </c>
      <c r="AK52" s="222" cm="1">
        <f t="array" aca="1" ref="AK52" ca="1">'Tablica IO'!AK208*INDEX(Model!$C$93:$CA$93,Model!$A52) + IF(wplyw_cen_import_wlaczony,'Tablica IO'!AK286*INDEX(Model!$C$2:$CA$2,Model!$A52),'Tablica IO'!AK286*1)</f>
        <v>1.0053831665523002E-2</v>
      </c>
      <c r="AL52" s="222" cm="1">
        <f t="array" aca="1" ref="AL52" ca="1">'Tablica IO'!AL208*INDEX(Model!$C$93:$CA$93,Model!$A52) + IF(wplyw_cen_import_wlaczony,'Tablica IO'!AL286*INDEX(Model!$C$2:$CA$2,Model!$A52),'Tablica IO'!AL286*1)</f>
        <v>4.1191111097904853E-2</v>
      </c>
      <c r="AM52" s="222" cm="1">
        <f t="array" aca="1" ref="AM52" ca="1">'Tablica IO'!AM208*INDEX(Model!$C$93:$CA$93,Model!$A52) + IF(wplyw_cen_import_wlaczony,'Tablica IO'!AM286*INDEX(Model!$C$2:$CA$2,Model!$A52),'Tablica IO'!AM286*1)</f>
        <v>4.1081311023784733E-2</v>
      </c>
      <c r="AN52" s="222" cm="1">
        <f t="array" aca="1" ref="AN52" ca="1">'Tablica IO'!AN208*INDEX(Model!$C$93:$CA$93,Model!$A52) + IF(wplyw_cen_import_wlaczony,'Tablica IO'!AN286*INDEX(Model!$C$2:$CA$2,Model!$A52),'Tablica IO'!AN286*1)</f>
        <v>5.6923191873931127E-2</v>
      </c>
      <c r="AO52" s="222" cm="1">
        <f t="array" aca="1" ref="AO52" ca="1">'Tablica IO'!AO208*INDEX(Model!$C$93:$CA$93,Model!$A52) + IF(wplyw_cen_import_wlaczony,'Tablica IO'!AO286*INDEX(Model!$C$2:$CA$2,Model!$A52),'Tablica IO'!AO286*1)</f>
        <v>0.28012105352088856</v>
      </c>
      <c r="AP52" s="222" cm="1">
        <f t="array" aca="1" ref="AP52" ca="1">'Tablica IO'!AP208*INDEX(Model!$C$93:$CA$93,Model!$A52) + IF(wplyw_cen_import_wlaczony,'Tablica IO'!AP286*INDEX(Model!$C$2:$CA$2,Model!$A52),'Tablica IO'!AP286*1)</f>
        <v>0.15473798004593742</v>
      </c>
      <c r="AQ52" s="222" cm="1">
        <f t="array" aca="1" ref="AQ52" ca="1">'Tablica IO'!AQ208*INDEX(Model!$C$93:$CA$93,Model!$A52) + IF(wplyw_cen_import_wlaczony,'Tablica IO'!AQ286*INDEX(Model!$C$2:$CA$2,Model!$A52),'Tablica IO'!AQ286*1)</f>
        <v>4.2860871896239295E-3</v>
      </c>
      <c r="AR52" s="222" cm="1">
        <f t="array" aca="1" ref="AR52" ca="1">'Tablica IO'!AR208*INDEX(Model!$C$93:$CA$93,Model!$A52) + IF(wplyw_cen_import_wlaczony,'Tablica IO'!AR286*INDEX(Model!$C$2:$CA$2,Model!$A52),'Tablica IO'!AR286*1)</f>
        <v>1.5040341776586645E-3</v>
      </c>
      <c r="AS52" s="222" cm="1">
        <f t="array" aca="1" ref="AS52" ca="1">'Tablica IO'!AS208*INDEX(Model!$C$93:$CA$93,Model!$A52) + IF(wplyw_cen_import_wlaczony,'Tablica IO'!AS286*INDEX(Model!$C$2:$CA$2,Model!$A52),'Tablica IO'!AS286*1)</f>
        <v>2.7003292063431883E-2</v>
      </c>
      <c r="AT52" s="222" cm="1">
        <f t="array" aca="1" ref="AT52" ca="1">'Tablica IO'!AT208*INDEX(Model!$C$93:$CA$93,Model!$A52) + IF(wplyw_cen_import_wlaczony,'Tablica IO'!AT286*INDEX(Model!$C$2:$CA$2,Model!$A52),'Tablica IO'!AT286*1)</f>
        <v>6.2012090577929519E-3</v>
      </c>
      <c r="AU52" s="222" cm="1">
        <f t="array" aca="1" ref="AU52" ca="1">'Tablica IO'!AU208*INDEX(Model!$C$93:$CA$93,Model!$A52) + IF(wplyw_cen_import_wlaczony,'Tablica IO'!AU286*INDEX(Model!$C$2:$CA$2,Model!$A52),'Tablica IO'!AU286*1)</f>
        <v>5.5364386698125831E-4</v>
      </c>
      <c r="AV52" s="222" cm="1">
        <f t="array" aca="1" ref="AV52" ca="1">'Tablica IO'!AV208*INDEX(Model!$C$93:$CA$93,Model!$A52) + IF(wplyw_cen_import_wlaczony,'Tablica IO'!AV286*INDEX(Model!$C$2:$CA$2,Model!$A52),'Tablica IO'!AV286*1)</f>
        <v>2.2759557197672007E-2</v>
      </c>
      <c r="AW52" s="222" cm="1">
        <f t="array" aca="1" ref="AW52" ca="1">'Tablica IO'!AW208*INDEX(Model!$C$93:$CA$93,Model!$A52) + IF(wplyw_cen_import_wlaczony,'Tablica IO'!AW286*INDEX(Model!$C$2:$CA$2,Model!$A52),'Tablica IO'!AW286*1)</f>
        <v>3.5281351616121221E-3</v>
      </c>
      <c r="AX52" s="222" cm="1">
        <f t="array" aca="1" ref="AX52" ca="1">'Tablica IO'!AX208*INDEX(Model!$C$93:$CA$93,Model!$A52) + IF(wplyw_cen_import_wlaczony,'Tablica IO'!AX286*INDEX(Model!$C$2:$CA$2,Model!$A52),'Tablica IO'!AX286*1)</f>
        <v>7.0060155556834012E-3</v>
      </c>
      <c r="AY52" s="222" cm="1">
        <f t="array" aca="1" ref="AY52" ca="1">'Tablica IO'!AY208*INDEX(Model!$C$93:$CA$93,Model!$A52) + IF(wplyw_cen_import_wlaczony,'Tablica IO'!AY286*INDEX(Model!$C$2:$CA$2,Model!$A52),'Tablica IO'!AY286*1)</f>
        <v>2.1452266485608089E-3</v>
      </c>
      <c r="AZ52" s="222" cm="1">
        <f t="array" aca="1" ref="AZ52" ca="1">'Tablica IO'!AZ208*INDEX(Model!$C$93:$CA$93,Model!$A52) + IF(wplyw_cen_import_wlaczony,'Tablica IO'!AZ286*INDEX(Model!$C$2:$CA$2,Model!$A52),'Tablica IO'!AZ286*1)</f>
        <v>1.8900483780652615E-3</v>
      </c>
      <c r="BA52" s="222" cm="1">
        <f t="array" aca="1" ref="BA52" ca="1">'Tablica IO'!BA208*INDEX(Model!$C$93:$CA$93,Model!$A52) + IF(wplyw_cen_import_wlaczony,'Tablica IO'!BA286*INDEX(Model!$C$2:$CA$2,Model!$A52),'Tablica IO'!BA286*1)</f>
        <v>2.9753934979611244E-3</v>
      </c>
      <c r="BB52" s="222" cm="1">
        <f t="array" aca="1" ref="BB52" ca="1">'Tablica IO'!BB208*INDEX(Model!$C$93:$CA$93,Model!$A52) + IF(wplyw_cen_import_wlaczony,'Tablica IO'!BB286*INDEX(Model!$C$2:$CA$2,Model!$A52),'Tablica IO'!BB286*1)</f>
        <v>2.3321250241759616E-3</v>
      </c>
      <c r="BC52" s="222" cm="1">
        <f t="array" aca="1" ref="BC52" ca="1">'Tablica IO'!BC208*INDEX(Model!$C$93:$CA$93,Model!$A52) + IF(wplyw_cen_import_wlaczony,'Tablica IO'!BC286*INDEX(Model!$C$2:$CA$2,Model!$A52),'Tablica IO'!BC286*1)</f>
        <v>5.73683475753282E-3</v>
      </c>
      <c r="BD52" s="222" cm="1">
        <f t="array" aca="1" ref="BD52" ca="1">'Tablica IO'!BD208*INDEX(Model!$C$93:$CA$93,Model!$A52) + IF(wplyw_cen_import_wlaczony,'Tablica IO'!BD286*INDEX(Model!$C$2:$CA$2,Model!$A52),'Tablica IO'!BD286*1)</f>
        <v>3.8944364282608696E-2</v>
      </c>
      <c r="BE52" s="222" cm="1">
        <f t="array" aca="1" ref="BE52" ca="1">'Tablica IO'!BE208*INDEX(Model!$C$93:$CA$93,Model!$A52) + IF(wplyw_cen_import_wlaczony,'Tablica IO'!BE286*INDEX(Model!$C$2:$CA$2,Model!$A52),'Tablica IO'!BE286*1)</f>
        <v>1.7222987943879824E-3</v>
      </c>
      <c r="BF52" s="222" cm="1">
        <f t="array" aca="1" ref="BF52" ca="1">'Tablica IO'!BF208*INDEX(Model!$C$93:$CA$93,Model!$A52) + IF(wplyw_cen_import_wlaczony,'Tablica IO'!BF286*INDEX(Model!$C$2:$CA$2,Model!$A52),'Tablica IO'!BF286*1)</f>
        <v>2.8636740968326249E-3</v>
      </c>
      <c r="BG52" s="222" cm="1">
        <f t="array" aca="1" ref="BG52" ca="1">'Tablica IO'!BG208*INDEX(Model!$C$93:$CA$93,Model!$A52) + IF(wplyw_cen_import_wlaczony,'Tablica IO'!BG286*INDEX(Model!$C$2:$CA$2,Model!$A52),'Tablica IO'!BG286*1)</f>
        <v>6.7743653561523811E-3</v>
      </c>
      <c r="BH52" s="222" cm="1">
        <f t="array" aca="1" ref="BH52" ca="1">'Tablica IO'!BH208*INDEX(Model!$C$93:$CA$93,Model!$A52) + IF(wplyw_cen_import_wlaczony,'Tablica IO'!BH286*INDEX(Model!$C$2:$CA$2,Model!$A52),'Tablica IO'!BH286*1)</f>
        <v>1.2397493405976042E-2</v>
      </c>
      <c r="BI52" s="222" cm="1">
        <f t="array" aca="1" ref="BI52" ca="1">'Tablica IO'!BI208*INDEX(Model!$C$93:$CA$93,Model!$A52) + IF(wplyw_cen_import_wlaczony,'Tablica IO'!BI286*INDEX(Model!$C$2:$CA$2,Model!$A52),'Tablica IO'!BI286*1)</f>
        <v>2.3790409373350196E-4</v>
      </c>
      <c r="BJ52" s="222" cm="1">
        <f t="array" aca="1" ref="BJ52" ca="1">'Tablica IO'!BJ208*INDEX(Model!$C$93:$CA$93,Model!$A52) + IF(wplyw_cen_import_wlaczony,'Tablica IO'!BJ286*INDEX(Model!$C$2:$CA$2,Model!$A52),'Tablica IO'!BJ286*1)</f>
        <v>1.8942490667822786E-2</v>
      </c>
      <c r="BK52" s="222" cm="1">
        <f t="array" aca="1" ref="BK52" ca="1">'Tablica IO'!BK208*INDEX(Model!$C$93:$CA$93,Model!$A52) + IF(wplyw_cen_import_wlaczony,'Tablica IO'!BK286*INDEX(Model!$C$2:$CA$2,Model!$A52),'Tablica IO'!BK286*1)</f>
        <v>8.5766101958576965E-3</v>
      </c>
      <c r="BL52" s="222" cm="1">
        <f t="array" aca="1" ref="BL52" ca="1">'Tablica IO'!BL208*INDEX(Model!$C$93:$CA$93,Model!$A52) + IF(wplyw_cen_import_wlaczony,'Tablica IO'!BL286*INDEX(Model!$C$2:$CA$2,Model!$A52),'Tablica IO'!BL286*1)</f>
        <v>7.8306244071713153E-3</v>
      </c>
      <c r="BM52" s="222" cm="1">
        <f t="array" aca="1" ref="BM52" ca="1">'Tablica IO'!BM208*INDEX(Model!$C$93:$CA$93,Model!$A52) + IF(wplyw_cen_import_wlaczony,'Tablica IO'!BM286*INDEX(Model!$C$2:$CA$2,Model!$A52),'Tablica IO'!BM286*1)</f>
        <v>7.7792852953165112E-3</v>
      </c>
      <c r="BN52" s="222" cm="1">
        <f t="array" aca="1" ref="BN52" ca="1">'Tablica IO'!BN208*INDEX(Model!$C$93:$CA$93,Model!$A52) + IF(wplyw_cen_import_wlaczony,'Tablica IO'!BN286*INDEX(Model!$C$2:$CA$2,Model!$A52),'Tablica IO'!BN286*1)</f>
        <v>7.083779468462662E-3</v>
      </c>
      <c r="BO52" s="222" cm="1">
        <f t="array" aca="1" ref="BO52" ca="1">'Tablica IO'!BO208*INDEX(Model!$C$93:$CA$93,Model!$A52) + IF(wplyw_cen_import_wlaczony,'Tablica IO'!BO286*INDEX(Model!$C$2:$CA$2,Model!$A52),'Tablica IO'!BO286*1)</f>
        <v>1.744025179694533E-2</v>
      </c>
      <c r="BP52" s="222" cm="1">
        <f t="array" aca="1" ref="BP52" ca="1">'Tablica IO'!BP208*INDEX(Model!$C$93:$CA$93,Model!$A52) + IF(wplyw_cen_import_wlaczony,'Tablica IO'!BP286*INDEX(Model!$C$2:$CA$2,Model!$A52),'Tablica IO'!BP286*1)</f>
        <v>1.4706199497002792E-3</v>
      </c>
      <c r="BQ52" s="222" cm="1">
        <f t="array" aca="1" ref="BQ52" ca="1">'Tablica IO'!BQ208*INDEX(Model!$C$93:$CA$93,Model!$A52) + IF(wplyw_cen_import_wlaczony,'Tablica IO'!BQ286*INDEX(Model!$C$2:$CA$2,Model!$A52),'Tablica IO'!BQ286*1)</f>
        <v>7.5789995945404261E-4</v>
      </c>
      <c r="BR52" s="222" cm="1">
        <f t="array" aca="1" ref="BR52" ca="1">'Tablica IO'!BR208*INDEX(Model!$C$93:$CA$93,Model!$A52) + IF(wplyw_cen_import_wlaczony,'Tablica IO'!BR286*INDEX(Model!$C$2:$CA$2,Model!$A52),'Tablica IO'!BR286*1)</f>
        <v>1.0960984468520733E-3</v>
      </c>
      <c r="BS52" s="222" cm="1">
        <f t="array" aca="1" ref="BS52" ca="1">'Tablica IO'!BS208*INDEX(Model!$C$93:$CA$93,Model!$A52) + IF(wplyw_cen_import_wlaczony,'Tablica IO'!BS286*INDEX(Model!$C$2:$CA$2,Model!$A52),'Tablica IO'!BS286*1)</f>
        <v>6.6882311096312912E-4</v>
      </c>
      <c r="BT52" s="222" cm="1">
        <f t="array" aca="1" ref="BT52" ca="1">'Tablica IO'!BT208*INDEX(Model!$C$93:$CA$93,Model!$A52) + IF(wplyw_cen_import_wlaczony,'Tablica IO'!BT286*INDEX(Model!$C$2:$CA$2,Model!$A52),'Tablica IO'!BT286*1)</f>
        <v>5.3161739857882544E-3</v>
      </c>
      <c r="BU52" s="222" cm="1">
        <f t="array" aca="1" ref="BU52" ca="1">'Tablica IO'!BU208*INDEX(Model!$C$93:$CA$93,Model!$A52) + IF(wplyw_cen_import_wlaczony,'Tablica IO'!BU286*INDEX(Model!$C$2:$CA$2,Model!$A52),'Tablica IO'!BU286*1)</f>
        <v>5.2873192555353069E-3</v>
      </c>
      <c r="BV52" s="222" cm="1">
        <f t="array" aca="1" ref="BV52" ca="1">'Tablica IO'!BV208*INDEX(Model!$C$93:$CA$93,Model!$A52) + IF(wplyw_cen_import_wlaczony,'Tablica IO'!BV286*INDEX(Model!$C$2:$CA$2,Model!$A52),'Tablica IO'!BV286*1)</f>
        <v>7.7301088456406184E-4</v>
      </c>
      <c r="BW52" s="222" cm="1">
        <f t="array" aca="1" ref="BW52" ca="1">'Tablica IO'!BW208*INDEX(Model!$C$93:$CA$93,Model!$A52) + IF(wplyw_cen_import_wlaczony,'Tablica IO'!BW286*INDEX(Model!$C$2:$CA$2,Model!$A52),'Tablica IO'!BW286*1)</f>
        <v>1.9877219061102307E-3</v>
      </c>
      <c r="BX52" s="222" cm="1">
        <f t="array" aca="1" ref="BX52" ca="1">'Tablica IO'!BX208*INDEX(Model!$C$93:$CA$93,Model!$A52) + IF(wplyw_cen_import_wlaczony,'Tablica IO'!BX286*INDEX(Model!$C$2:$CA$2,Model!$A52),'Tablica IO'!BX286*1)</f>
        <v>8.4482966270414787E-3</v>
      </c>
      <c r="BY52" s="222" cm="1">
        <f t="array" aca="1" ref="BY52" ca="1">'Tablica IO'!BY208*INDEX(Model!$C$93:$CA$93,Model!$A52) + IF(wplyw_cen_import_wlaczony,'Tablica IO'!BY286*INDEX(Model!$C$2:$CA$2,Model!$A52),'Tablica IO'!BY286*1)</f>
        <v>4.2445642741928561E-3</v>
      </c>
      <c r="BZ52" s="222" cm="1">
        <f t="array" aca="1" ref="BZ52" ca="1">'Tablica IO'!BZ208*INDEX(Model!$C$93:$CA$93,Model!$A52) + IF(wplyw_cen_import_wlaczony,'Tablica IO'!BZ286*INDEX(Model!$C$2:$CA$2,Model!$A52),'Tablica IO'!BZ286*1)</f>
        <v>7.4538637452842438E-3</v>
      </c>
      <c r="CA52" s="222" cm="1">
        <f t="array" aca="1" ref="CA52" ca="1">'Tablica IO'!CA208*INDEX(Model!$C$93:$CA$93,Model!$A52) + IF(wplyw_cen_import_wlaczony,'Tablica IO'!CA286*INDEX(Model!$C$2:$CA$2,Model!$A52),'Tablica IO'!CA286*1)</f>
        <v>0</v>
      </c>
      <c r="CB52" s="247">
        <f ca="1">'Tablica IO'!CD208*INDEX(Model!$C$93:$CA$93,Model!$A52)+'Tablica IO'!CD286*INDEX(Model!$C$2:$CA$2,Model!$A52)</f>
        <v>4.5688864069716555E-3</v>
      </c>
      <c r="CC52" s="188">
        <f ca="1">'Tablica IO'!CE208*INDEX(Model!$C$93:$CA$93,Model!$A52)+'Tablica IO'!CE286*INDEX(Model!$C$2:$CA$2,Model!$A52)</f>
        <v>6.9462156902362376E-2</v>
      </c>
      <c r="CD52" s="188">
        <f ca="1">'Tablica IO'!CF208*INDEX(Model!$C$93:$CA$93,Model!$A52)+'Tablica IO'!CF286*INDEX(Model!$C$2:$CA$2,Model!$A52)</f>
        <v>-7.6193195081919039E-6</v>
      </c>
      <c r="CE52" s="189">
        <f ca="1">'Tablica IO'!CG208*INDEX(Model!$C$93:$CA$93,Model!$A52)+'Tablica IO'!CG286*INDEX(Model!$C$2:$CA$2,Model!$A52)</f>
        <v>1.356858384372824E-2</v>
      </c>
    </row>
    <row r="53" spans="1:83" x14ac:dyDescent="0.25">
      <c r="A53" s="164">
        <v>41</v>
      </c>
      <c r="B53" s="172" t="s">
        <v>40</v>
      </c>
      <c r="C53" s="221" cm="1">
        <f t="array" aca="1" ref="C53" ca="1">'Tablica IO'!C209*INDEX(Model!$C$93:$CA$93,Model!$A53) + IF(wplyw_cen_import_wlaczony,'Tablica IO'!C287*INDEX(Model!$C$2:$CA$2,Model!$A53),'Tablica IO'!C287*1)</f>
        <v>1.2704552586759312E-4</v>
      </c>
      <c r="D53" s="222" cm="1">
        <f t="array" aca="1" ref="D53" ca="1">'Tablica IO'!D209*INDEX(Model!$C$93:$CA$93,Model!$A53) + IF(wplyw_cen_import_wlaczony,'Tablica IO'!D287*INDEX(Model!$C$2:$CA$2,Model!$A53),'Tablica IO'!D287*1)</f>
        <v>4.5292888496699743E-4</v>
      </c>
      <c r="E53" s="222" cm="1">
        <f t="array" aca="1" ref="E53" ca="1">'Tablica IO'!E209*INDEX(Model!$C$93:$CA$93,Model!$A53) + IF(wplyw_cen_import_wlaczony,'Tablica IO'!E287*INDEX(Model!$C$2:$CA$2,Model!$A53),'Tablica IO'!E287*1)</f>
        <v>9.6096797757213014E-5</v>
      </c>
      <c r="F53" s="222" cm="1">
        <f t="array" aca="1" ref="F53" ca="1">'Tablica IO'!F209*INDEX(Model!$C$93:$CA$93,Model!$A53) + IF(wplyw_cen_import_wlaczony,'Tablica IO'!F287*INDEX(Model!$C$2:$CA$2,Model!$A53),'Tablica IO'!F287*1)</f>
        <v>1.1230283358952267E-3</v>
      </c>
      <c r="G53" s="222" cm="1">
        <f t="array" aca="1" ref="G53" ca="1">'Tablica IO'!G209*INDEX(Model!$C$93:$CA$93,Model!$A53) + IF(wplyw_cen_import_wlaczony,'Tablica IO'!G287*INDEX(Model!$C$2:$CA$2,Model!$A53),'Tablica IO'!G287*1)</f>
        <v>1.3841713407665461E-3</v>
      </c>
      <c r="H53" s="222" cm="1">
        <f t="array" aca="1" ref="H53" ca="1">'Tablica IO'!H209*INDEX(Model!$C$93:$CA$93,Model!$A53) + IF(wplyw_cen_import_wlaczony,'Tablica IO'!H287*INDEX(Model!$C$2:$CA$2,Model!$A53),'Tablica IO'!H287*1)</f>
        <v>5.4616428513395868E-4</v>
      </c>
      <c r="I53" s="222" cm="1">
        <f t="array" aca="1" ref="I53" ca="1">'Tablica IO'!I209*INDEX(Model!$C$93:$CA$93,Model!$A53) + IF(wplyw_cen_import_wlaczony,'Tablica IO'!I287*INDEX(Model!$C$2:$CA$2,Model!$A53),'Tablica IO'!I287*1)</f>
        <v>1.0524616999547187E-3</v>
      </c>
      <c r="J53" s="222" cm="1">
        <f t="array" aca="1" ref="J53" ca="1">'Tablica IO'!J209*INDEX(Model!$C$93:$CA$93,Model!$A53) + IF(wplyw_cen_import_wlaczony,'Tablica IO'!J287*INDEX(Model!$C$2:$CA$2,Model!$A53),'Tablica IO'!J287*1)</f>
        <v>1.49644285530175E-3</v>
      </c>
      <c r="K53" s="222" cm="1">
        <f t="array" aca="1" ref="K53" ca="1">'Tablica IO'!K209*INDEX(Model!$C$93:$CA$93,Model!$A53) + IF(wplyw_cen_import_wlaczony,'Tablica IO'!K287*INDEX(Model!$C$2:$CA$2,Model!$A53),'Tablica IO'!K287*1)</f>
        <v>1.2005462981507268E-3</v>
      </c>
      <c r="L53" s="222" cm="1">
        <f t="array" aca="1" ref="L53" ca="1">'Tablica IO'!L209*INDEX(Model!$C$93:$CA$93,Model!$A53) + IF(wplyw_cen_import_wlaczony,'Tablica IO'!L287*INDEX(Model!$C$2:$CA$2,Model!$A53),'Tablica IO'!L287*1)</f>
        <v>1.1267858822901664E-3</v>
      </c>
      <c r="M53" s="222" cm="1">
        <f t="array" aca="1" ref="M53" ca="1">'Tablica IO'!M209*INDEX(Model!$C$93:$CA$93,Model!$A53) + IF(wplyw_cen_import_wlaczony,'Tablica IO'!M287*INDEX(Model!$C$2:$CA$2,Model!$A53),'Tablica IO'!M287*1)</f>
        <v>1.1393978090707424E-3</v>
      </c>
      <c r="N53" s="222" cm="1">
        <f t="array" aca="1" ref="N53" ca="1">'Tablica IO'!N209*INDEX(Model!$C$93:$CA$93,Model!$A53) + IF(wplyw_cen_import_wlaczony,'Tablica IO'!N287*INDEX(Model!$C$2:$CA$2,Model!$A53),'Tablica IO'!N287*1)</f>
        <v>6.4374398918548527E-4</v>
      </c>
      <c r="O53" s="222" cm="1">
        <f t="array" aca="1" ref="O53" ca="1">'Tablica IO'!O209*INDEX(Model!$C$93:$CA$93,Model!$A53) + IF(wplyw_cen_import_wlaczony,'Tablica IO'!O287*INDEX(Model!$C$2:$CA$2,Model!$A53),'Tablica IO'!O287*1)</f>
        <v>1.0409772052839548E-3</v>
      </c>
      <c r="P53" s="222" cm="1">
        <f t="array" aca="1" ref="P53" ca="1">'Tablica IO'!P209*INDEX(Model!$C$93:$CA$93,Model!$A53) + IF(wplyw_cen_import_wlaczony,'Tablica IO'!P287*INDEX(Model!$C$2:$CA$2,Model!$A53),'Tablica IO'!P287*1)</f>
        <v>1.1442294393830856E-3</v>
      </c>
      <c r="Q53" s="222" cm="1">
        <f t="array" aca="1" ref="Q53" ca="1">'Tablica IO'!Q209*INDEX(Model!$C$93:$CA$93,Model!$A53) + IF(wplyw_cen_import_wlaczony,'Tablica IO'!Q287*INDEX(Model!$C$2:$CA$2,Model!$A53),'Tablica IO'!Q287*1)</f>
        <v>3.6807361681381938E-4</v>
      </c>
      <c r="R53" s="222" cm="1">
        <f t="array" aca="1" ref="R53" ca="1">'Tablica IO'!R209*INDEX(Model!$C$93:$CA$93,Model!$A53) + IF(wplyw_cen_import_wlaczony,'Tablica IO'!R287*INDEX(Model!$C$2:$CA$2,Model!$A53),'Tablica IO'!R287*1)</f>
        <v>8.7178681207487983E-4</v>
      </c>
      <c r="S53" s="222" cm="1">
        <f t="array" aca="1" ref="S53" ca="1">'Tablica IO'!S209*INDEX(Model!$C$93:$CA$93,Model!$A53) + IF(wplyw_cen_import_wlaczony,'Tablica IO'!S287*INDEX(Model!$C$2:$CA$2,Model!$A53),'Tablica IO'!S287*1)</f>
        <v>1.5312666010408055E-3</v>
      </c>
      <c r="T53" s="222" cm="1">
        <f t="array" aca="1" ref="T53" ca="1">'Tablica IO'!T209*INDEX(Model!$C$93:$CA$93,Model!$A53) + IF(wplyw_cen_import_wlaczony,'Tablica IO'!T287*INDEX(Model!$C$2:$CA$2,Model!$A53),'Tablica IO'!T287*1)</f>
        <v>1.0755937820138954E-3</v>
      </c>
      <c r="U53" s="222" cm="1">
        <f t="array" aca="1" ref="U53" ca="1">'Tablica IO'!U209*INDEX(Model!$C$93:$CA$93,Model!$A53) + IF(wplyw_cen_import_wlaczony,'Tablica IO'!U287*INDEX(Model!$C$2:$CA$2,Model!$A53),'Tablica IO'!U287*1)</f>
        <v>1.4237084933887319E-3</v>
      </c>
      <c r="V53" s="222" cm="1">
        <f t="array" aca="1" ref="V53" ca="1">'Tablica IO'!V209*INDEX(Model!$C$93:$CA$93,Model!$A53) + IF(wplyw_cen_import_wlaczony,'Tablica IO'!V287*INDEX(Model!$C$2:$CA$2,Model!$A53),'Tablica IO'!V287*1)</f>
        <v>1.5232129198417124E-4</v>
      </c>
      <c r="W53" s="222" cm="1">
        <f t="array" aca="1" ref="W53" ca="1">'Tablica IO'!W209*INDEX(Model!$C$93:$CA$93,Model!$A53) + IF(wplyw_cen_import_wlaczony,'Tablica IO'!W287*INDEX(Model!$C$2:$CA$2,Model!$A53),'Tablica IO'!W287*1)</f>
        <v>1.0412450766149781E-3</v>
      </c>
      <c r="X53" s="222" cm="1">
        <f t="array" aca="1" ref="X53" ca="1">'Tablica IO'!X209*INDEX(Model!$C$93:$CA$93,Model!$A53) + IF(wplyw_cen_import_wlaczony,'Tablica IO'!X287*INDEX(Model!$C$2:$CA$2,Model!$A53),'Tablica IO'!X287*1)</f>
        <v>2.5800043621501553E-4</v>
      </c>
      <c r="Y53" s="222" cm="1">
        <f t="array" aca="1" ref="Y53" ca="1">'Tablica IO'!Y209*INDEX(Model!$C$93:$CA$93,Model!$A53) + IF(wplyw_cen_import_wlaczony,'Tablica IO'!Y287*INDEX(Model!$C$2:$CA$2,Model!$A53),'Tablica IO'!Y287*1)</f>
        <v>1.7667650127764403E-3</v>
      </c>
      <c r="Z53" s="222" cm="1">
        <f t="array" aca="1" ref="Z53" ca="1">'Tablica IO'!Z209*INDEX(Model!$C$93:$CA$93,Model!$A53) + IF(wplyw_cen_import_wlaczony,'Tablica IO'!Z287*INDEX(Model!$C$2:$CA$2,Model!$A53),'Tablica IO'!Z287*1)</f>
        <v>1.6398766050289917E-3</v>
      </c>
      <c r="AA53" s="222" cm="1">
        <f t="array" aca="1" ref="AA53" ca="1">'Tablica IO'!AA209*INDEX(Model!$C$93:$CA$93,Model!$A53) + IF(wplyw_cen_import_wlaczony,'Tablica IO'!AA287*INDEX(Model!$C$2:$CA$2,Model!$A53),'Tablica IO'!AA287*1)</f>
        <v>8.1226656321966803E-4</v>
      </c>
      <c r="AB53" s="222" cm="1">
        <f t="array" aca="1" ref="AB53" ca="1">'Tablica IO'!AB209*INDEX(Model!$C$93:$CA$93,Model!$A53) + IF(wplyw_cen_import_wlaczony,'Tablica IO'!AB287*INDEX(Model!$C$2:$CA$2,Model!$A53),'Tablica IO'!AB287*1)</f>
        <v>9.2915983592194845E-4</v>
      </c>
      <c r="AC53" s="222" cm="1">
        <f t="array" aca="1" ref="AC53" ca="1">'Tablica IO'!AC209*INDEX(Model!$C$93:$CA$93,Model!$A53) + IF(wplyw_cen_import_wlaczony,'Tablica IO'!AC287*INDEX(Model!$C$2:$CA$2,Model!$A53),'Tablica IO'!AC287*1)</f>
        <v>1.2460192018450104E-3</v>
      </c>
      <c r="AD53" s="222" cm="1">
        <f t="array" aca="1" ref="AD53" ca="1">'Tablica IO'!AD209*INDEX(Model!$C$93:$CA$93,Model!$A53) + IF(wplyw_cen_import_wlaczony,'Tablica IO'!AD287*INDEX(Model!$C$2:$CA$2,Model!$A53),'Tablica IO'!AD287*1)</f>
        <v>3.3344540488125307E-4</v>
      </c>
      <c r="AE53" s="222" cm="1">
        <f t="array" aca="1" ref="AE53" ca="1">'Tablica IO'!AE209*INDEX(Model!$C$93:$CA$93,Model!$A53) + IF(wplyw_cen_import_wlaczony,'Tablica IO'!AE287*INDEX(Model!$C$2:$CA$2,Model!$A53),'Tablica IO'!AE287*1)</f>
        <v>3.8148984533807441E-3</v>
      </c>
      <c r="AF53" s="222" cm="1">
        <f t="array" aca="1" ref="AF53" ca="1">'Tablica IO'!AF209*INDEX(Model!$C$93:$CA$93,Model!$A53) + IF(wplyw_cen_import_wlaczony,'Tablica IO'!AF287*INDEX(Model!$C$2:$CA$2,Model!$A53),'Tablica IO'!AF287*1)</f>
        <v>2.6861524008526334E-4</v>
      </c>
      <c r="AG53" s="222" cm="1">
        <f t="array" aca="1" ref="AG53" ca="1">'Tablica IO'!AG209*INDEX(Model!$C$93:$CA$93,Model!$A53) + IF(wplyw_cen_import_wlaczony,'Tablica IO'!AG287*INDEX(Model!$C$2:$CA$2,Model!$A53),'Tablica IO'!AG287*1)</f>
        <v>1.8896626104795739E-4</v>
      </c>
      <c r="AH53" s="222" cm="1">
        <f t="array" aca="1" ref="AH53" ca="1">'Tablica IO'!AH209*INDEX(Model!$C$93:$CA$93,Model!$A53) + IF(wplyw_cen_import_wlaczony,'Tablica IO'!AH287*INDEX(Model!$C$2:$CA$2,Model!$A53),'Tablica IO'!AH287*1)</f>
        <v>1.4695862422456128E-3</v>
      </c>
      <c r="AI53" s="222" cm="1">
        <f t="array" aca="1" ref="AI53" ca="1">'Tablica IO'!AI209*INDEX(Model!$C$93:$CA$93,Model!$A53) + IF(wplyw_cen_import_wlaczony,'Tablica IO'!AI287*INDEX(Model!$C$2:$CA$2,Model!$A53),'Tablica IO'!AI287*1)</f>
        <v>1.593083053351162E-4</v>
      </c>
      <c r="AJ53" s="222" cm="1">
        <f t="array" aca="1" ref="AJ53" ca="1">'Tablica IO'!AJ209*INDEX(Model!$C$93:$CA$93,Model!$A53) + IF(wplyw_cen_import_wlaczony,'Tablica IO'!AJ287*INDEX(Model!$C$2:$CA$2,Model!$A53),'Tablica IO'!AJ287*1)</f>
        <v>1.2691734293291364E-3</v>
      </c>
      <c r="AK53" s="222" cm="1">
        <f t="array" aca="1" ref="AK53" ca="1">'Tablica IO'!AK209*INDEX(Model!$C$93:$CA$93,Model!$A53) + IF(wplyw_cen_import_wlaczony,'Tablica IO'!AK287*INDEX(Model!$C$2:$CA$2,Model!$A53),'Tablica IO'!AK287*1)</f>
        <v>1.6474678599395025E-3</v>
      </c>
      <c r="AL53" s="222" cm="1">
        <f t="array" aca="1" ref="AL53" ca="1">'Tablica IO'!AL209*INDEX(Model!$C$93:$CA$93,Model!$A53) + IF(wplyw_cen_import_wlaczony,'Tablica IO'!AL287*INDEX(Model!$C$2:$CA$2,Model!$A53),'Tablica IO'!AL287*1)</f>
        <v>2.0527180556965032E-3</v>
      </c>
      <c r="AM53" s="222" cm="1">
        <f t="array" aca="1" ref="AM53" ca="1">'Tablica IO'!AM209*INDEX(Model!$C$93:$CA$93,Model!$A53) + IF(wplyw_cen_import_wlaczony,'Tablica IO'!AM287*INDEX(Model!$C$2:$CA$2,Model!$A53),'Tablica IO'!AM287*1)</f>
        <v>1.0099203797899554E-3</v>
      </c>
      <c r="AN53" s="222" cm="1">
        <f t="array" aca="1" ref="AN53" ca="1">'Tablica IO'!AN209*INDEX(Model!$C$93:$CA$93,Model!$A53) + IF(wplyw_cen_import_wlaczony,'Tablica IO'!AN287*INDEX(Model!$C$2:$CA$2,Model!$A53),'Tablica IO'!AN287*1)</f>
        <v>2.8282910715865566E-4</v>
      </c>
      <c r="AO53" s="222" cm="1">
        <f t="array" aca="1" ref="AO53" ca="1">'Tablica IO'!AO209*INDEX(Model!$C$93:$CA$93,Model!$A53) + IF(wplyw_cen_import_wlaczony,'Tablica IO'!AO287*INDEX(Model!$C$2:$CA$2,Model!$A53),'Tablica IO'!AO287*1)</f>
        <v>3.845307118560713E-3</v>
      </c>
      <c r="AP53" s="222" cm="1">
        <f t="array" aca="1" ref="AP53" ca="1">'Tablica IO'!AP209*INDEX(Model!$C$93:$CA$93,Model!$A53) + IF(wplyw_cen_import_wlaczony,'Tablica IO'!AP287*INDEX(Model!$C$2:$CA$2,Model!$A53),'Tablica IO'!AP287*1)</f>
        <v>1.4408757759592388E-3</v>
      </c>
      <c r="AQ53" s="222" cm="1">
        <f t="array" aca="1" ref="AQ53" ca="1">'Tablica IO'!AQ209*INDEX(Model!$C$93:$CA$93,Model!$A53) + IF(wplyw_cen_import_wlaczony,'Tablica IO'!AQ287*INDEX(Model!$C$2:$CA$2,Model!$A53),'Tablica IO'!AQ287*1)</f>
        <v>1.2758215055376918E-2</v>
      </c>
      <c r="AR53" s="222" cm="1">
        <f t="array" aca="1" ref="AR53" ca="1">'Tablica IO'!AR209*INDEX(Model!$C$93:$CA$93,Model!$A53) + IF(wplyw_cen_import_wlaczony,'Tablica IO'!AR287*INDEX(Model!$C$2:$CA$2,Model!$A53),'Tablica IO'!AR287*1)</f>
        <v>6.2435737903417652E-4</v>
      </c>
      <c r="AS53" s="222" cm="1">
        <f t="array" aca="1" ref="AS53" ca="1">'Tablica IO'!AS209*INDEX(Model!$C$93:$CA$93,Model!$A53) + IF(wplyw_cen_import_wlaczony,'Tablica IO'!AS287*INDEX(Model!$C$2:$CA$2,Model!$A53),'Tablica IO'!AS287*1)</f>
        <v>9.1623631708692655E-4</v>
      </c>
      <c r="AT53" s="222" cm="1">
        <f t="array" aca="1" ref="AT53" ca="1">'Tablica IO'!AT209*INDEX(Model!$C$93:$CA$93,Model!$A53) + IF(wplyw_cen_import_wlaczony,'Tablica IO'!AT287*INDEX(Model!$C$2:$CA$2,Model!$A53),'Tablica IO'!AT287*1)</f>
        <v>3.8264881553235013E-3</v>
      </c>
      <c r="AU53" s="222" cm="1">
        <f t="array" aca="1" ref="AU53" ca="1">'Tablica IO'!AU209*INDEX(Model!$C$93:$CA$93,Model!$A53) + IF(wplyw_cen_import_wlaczony,'Tablica IO'!AU287*INDEX(Model!$C$2:$CA$2,Model!$A53),'Tablica IO'!AU287*1)</f>
        <v>4.7456481616607556E-6</v>
      </c>
      <c r="AV53" s="222" cm="1">
        <f t="array" aca="1" ref="AV53" ca="1">'Tablica IO'!AV209*INDEX(Model!$C$93:$CA$93,Model!$A53) + IF(wplyw_cen_import_wlaczony,'Tablica IO'!AV287*INDEX(Model!$C$2:$CA$2,Model!$A53),'Tablica IO'!AV287*1)</f>
        <v>6.0479698211227258E-4</v>
      </c>
      <c r="AW53" s="222" cm="1">
        <f t="array" aca="1" ref="AW53" ca="1">'Tablica IO'!AW209*INDEX(Model!$C$93:$CA$93,Model!$A53) + IF(wplyw_cen_import_wlaczony,'Tablica IO'!AW287*INDEX(Model!$C$2:$CA$2,Model!$A53),'Tablica IO'!AW287*1)</f>
        <v>3.968999009365576E-3</v>
      </c>
      <c r="AX53" s="222" cm="1">
        <f t="array" aca="1" ref="AX53" ca="1">'Tablica IO'!AX209*INDEX(Model!$C$93:$CA$93,Model!$A53) + IF(wplyw_cen_import_wlaczony,'Tablica IO'!AX287*INDEX(Model!$C$2:$CA$2,Model!$A53),'Tablica IO'!AX287*1)</f>
        <v>2.3761147785458336E-3</v>
      </c>
      <c r="AY53" s="222" cm="1">
        <f t="array" aca="1" ref="AY53" ca="1">'Tablica IO'!AY209*INDEX(Model!$C$93:$CA$93,Model!$A53) + IF(wplyw_cen_import_wlaczony,'Tablica IO'!AY287*INDEX(Model!$C$2:$CA$2,Model!$A53),'Tablica IO'!AY287*1)</f>
        <v>1.5090634169484481E-3</v>
      </c>
      <c r="AZ53" s="222" cm="1">
        <f t="array" aca="1" ref="AZ53" ca="1">'Tablica IO'!AZ209*INDEX(Model!$C$93:$CA$93,Model!$A53) + IF(wplyw_cen_import_wlaczony,'Tablica IO'!AZ287*INDEX(Model!$C$2:$CA$2,Model!$A53),'Tablica IO'!AZ287*1)</f>
        <v>3.1334442972488497E-3</v>
      </c>
      <c r="BA53" s="222" cm="1">
        <f t="array" aca="1" ref="BA53" ca="1">'Tablica IO'!BA209*INDEX(Model!$C$93:$CA$93,Model!$A53) + IF(wplyw_cen_import_wlaczony,'Tablica IO'!BA287*INDEX(Model!$C$2:$CA$2,Model!$A53),'Tablica IO'!BA287*1)</f>
        <v>5.5633205623144841E-3</v>
      </c>
      <c r="BB53" s="222" cm="1">
        <f t="array" aca="1" ref="BB53" ca="1">'Tablica IO'!BB209*INDEX(Model!$C$93:$CA$93,Model!$A53) + IF(wplyw_cen_import_wlaczony,'Tablica IO'!BB287*INDEX(Model!$C$2:$CA$2,Model!$A53),'Tablica IO'!BB287*1)</f>
        <v>3.9105895293684777E-4</v>
      </c>
      <c r="BC53" s="222" cm="1">
        <f t="array" aca="1" ref="BC53" ca="1">'Tablica IO'!BC209*INDEX(Model!$C$93:$CA$93,Model!$A53) + IF(wplyw_cen_import_wlaczony,'Tablica IO'!BC287*INDEX(Model!$C$2:$CA$2,Model!$A53),'Tablica IO'!BC287*1)</f>
        <v>2.1932691977897627E-3</v>
      </c>
      <c r="BD53" s="222" cm="1">
        <f t="array" aca="1" ref="BD53" ca="1">'Tablica IO'!BD209*INDEX(Model!$C$93:$CA$93,Model!$A53) + IF(wplyw_cen_import_wlaczony,'Tablica IO'!BD287*INDEX(Model!$C$2:$CA$2,Model!$A53),'Tablica IO'!BD287*1)</f>
        <v>3.2408255968790337E-3</v>
      </c>
      <c r="BE53" s="222" cm="1">
        <f t="array" aca="1" ref="BE53" ca="1">'Tablica IO'!BE209*INDEX(Model!$C$93:$CA$93,Model!$A53) + IF(wplyw_cen_import_wlaczony,'Tablica IO'!BE287*INDEX(Model!$C$2:$CA$2,Model!$A53),'Tablica IO'!BE287*1)</f>
        <v>1.5671710656063979E-3</v>
      </c>
      <c r="BF53" s="222" cm="1">
        <f t="array" aca="1" ref="BF53" ca="1">'Tablica IO'!BF209*INDEX(Model!$C$93:$CA$93,Model!$A53) + IF(wplyw_cen_import_wlaczony,'Tablica IO'!BF287*INDEX(Model!$C$2:$CA$2,Model!$A53),'Tablica IO'!BF287*1)</f>
        <v>1.0586324685095084E-3</v>
      </c>
      <c r="BG53" s="222" cm="1">
        <f t="array" aca="1" ref="BG53" ca="1">'Tablica IO'!BG209*INDEX(Model!$C$93:$CA$93,Model!$A53) + IF(wplyw_cen_import_wlaczony,'Tablica IO'!BG287*INDEX(Model!$C$2:$CA$2,Model!$A53),'Tablica IO'!BG287*1)</f>
        <v>1.2533731421531461E-3</v>
      </c>
      <c r="BH53" s="222" cm="1">
        <f t="array" aca="1" ref="BH53" ca="1">'Tablica IO'!BH209*INDEX(Model!$C$93:$CA$93,Model!$A53) + IF(wplyw_cen_import_wlaczony,'Tablica IO'!BH287*INDEX(Model!$C$2:$CA$2,Model!$A53),'Tablica IO'!BH287*1)</f>
        <v>1.7133513183905133E-3</v>
      </c>
      <c r="BI53" s="222" cm="1">
        <f t="array" aca="1" ref="BI53" ca="1">'Tablica IO'!BI209*INDEX(Model!$C$93:$CA$93,Model!$A53) + IF(wplyw_cen_import_wlaczony,'Tablica IO'!BI287*INDEX(Model!$C$2:$CA$2,Model!$A53),'Tablica IO'!BI287*1)</f>
        <v>0</v>
      </c>
      <c r="BJ53" s="222" cm="1">
        <f t="array" aca="1" ref="BJ53" ca="1">'Tablica IO'!BJ209*INDEX(Model!$C$93:$CA$93,Model!$A53) + IF(wplyw_cen_import_wlaczony,'Tablica IO'!BJ287*INDEX(Model!$C$2:$CA$2,Model!$A53),'Tablica IO'!BJ287*1)</f>
        <v>1.693566073356613E-3</v>
      </c>
      <c r="BK53" s="222" cm="1">
        <f t="array" aca="1" ref="BK53" ca="1">'Tablica IO'!BK209*INDEX(Model!$C$93:$CA$93,Model!$A53) + IF(wplyw_cen_import_wlaczony,'Tablica IO'!BK287*INDEX(Model!$C$2:$CA$2,Model!$A53),'Tablica IO'!BK287*1)</f>
        <v>4.957099882260162E-3</v>
      </c>
      <c r="BL53" s="222" cm="1">
        <f t="array" aca="1" ref="BL53" ca="1">'Tablica IO'!BL209*INDEX(Model!$C$93:$CA$93,Model!$A53) + IF(wplyw_cen_import_wlaczony,'Tablica IO'!BL287*INDEX(Model!$C$2:$CA$2,Model!$A53),'Tablica IO'!BL287*1)</f>
        <v>0.18678108772490129</v>
      </c>
      <c r="BM53" s="222" cm="1">
        <f t="array" aca="1" ref="BM53" ca="1">'Tablica IO'!BM209*INDEX(Model!$C$93:$CA$93,Model!$A53) + IF(wplyw_cen_import_wlaczony,'Tablica IO'!BM287*INDEX(Model!$C$2:$CA$2,Model!$A53),'Tablica IO'!BM287*1)</f>
        <v>5.6872366020447251E-4</v>
      </c>
      <c r="BN53" s="222" cm="1">
        <f t="array" aca="1" ref="BN53" ca="1">'Tablica IO'!BN209*INDEX(Model!$C$93:$CA$93,Model!$A53) + IF(wplyw_cen_import_wlaczony,'Tablica IO'!BN287*INDEX(Model!$C$2:$CA$2,Model!$A53),'Tablica IO'!BN287*1)</f>
        <v>1.3767077775448209E-3</v>
      </c>
      <c r="BO53" s="222" cm="1">
        <f t="array" aca="1" ref="BO53" ca="1">'Tablica IO'!BO209*INDEX(Model!$C$93:$CA$93,Model!$A53) + IF(wplyw_cen_import_wlaczony,'Tablica IO'!BO287*INDEX(Model!$C$2:$CA$2,Model!$A53),'Tablica IO'!BO287*1)</f>
        <v>1.0902255375644723E-3</v>
      </c>
      <c r="BP53" s="222" cm="1">
        <f t="array" aca="1" ref="BP53" ca="1">'Tablica IO'!BP209*INDEX(Model!$C$93:$CA$93,Model!$A53) + IF(wplyw_cen_import_wlaczony,'Tablica IO'!BP287*INDEX(Model!$C$2:$CA$2,Model!$A53),'Tablica IO'!BP287*1)</f>
        <v>7.0888512048200829E-4</v>
      </c>
      <c r="BQ53" s="222" cm="1">
        <f t="array" aca="1" ref="BQ53" ca="1">'Tablica IO'!BQ209*INDEX(Model!$C$93:$CA$93,Model!$A53) + IF(wplyw_cen_import_wlaczony,'Tablica IO'!BQ287*INDEX(Model!$C$2:$CA$2,Model!$A53),'Tablica IO'!BQ287*1)</f>
        <v>1.394454258845497E-3</v>
      </c>
      <c r="BR53" s="222" cm="1">
        <f t="array" aca="1" ref="BR53" ca="1">'Tablica IO'!BR209*INDEX(Model!$C$93:$CA$93,Model!$A53) + IF(wplyw_cen_import_wlaczony,'Tablica IO'!BR287*INDEX(Model!$C$2:$CA$2,Model!$A53),'Tablica IO'!BR287*1)</f>
        <v>7.8925960539119827E-4</v>
      </c>
      <c r="BS53" s="222" cm="1">
        <f t="array" aca="1" ref="BS53" ca="1">'Tablica IO'!BS209*INDEX(Model!$C$93:$CA$93,Model!$A53) + IF(wplyw_cen_import_wlaczony,'Tablica IO'!BS287*INDEX(Model!$C$2:$CA$2,Model!$A53),'Tablica IO'!BS287*1)</f>
        <v>9.3263100145863276E-4</v>
      </c>
      <c r="BT53" s="222" cm="1">
        <f t="array" aca="1" ref="BT53" ca="1">'Tablica IO'!BT209*INDEX(Model!$C$93:$CA$93,Model!$A53) + IF(wplyw_cen_import_wlaczony,'Tablica IO'!BT287*INDEX(Model!$C$2:$CA$2,Model!$A53),'Tablica IO'!BT287*1)</f>
        <v>1.1461819072312862E-2</v>
      </c>
      <c r="BU53" s="222" cm="1">
        <f t="array" aca="1" ref="BU53" ca="1">'Tablica IO'!BU209*INDEX(Model!$C$93:$CA$93,Model!$A53) + IF(wplyw_cen_import_wlaczony,'Tablica IO'!BU287*INDEX(Model!$C$2:$CA$2,Model!$A53),'Tablica IO'!BU287*1)</f>
        <v>3.7860390634522002E-3</v>
      </c>
      <c r="BV53" s="222" cm="1">
        <f t="array" aca="1" ref="BV53" ca="1">'Tablica IO'!BV209*INDEX(Model!$C$93:$CA$93,Model!$A53) + IF(wplyw_cen_import_wlaczony,'Tablica IO'!BV287*INDEX(Model!$C$2:$CA$2,Model!$A53),'Tablica IO'!BV287*1)</f>
        <v>2.1837356121605237E-4</v>
      </c>
      <c r="BW53" s="222" cm="1">
        <f t="array" aca="1" ref="BW53" ca="1">'Tablica IO'!BW209*INDEX(Model!$C$93:$CA$93,Model!$A53) + IF(wplyw_cen_import_wlaczony,'Tablica IO'!BW287*INDEX(Model!$C$2:$CA$2,Model!$A53),'Tablica IO'!BW287*1)</f>
        <v>4.3322812103196535E-3</v>
      </c>
      <c r="BX53" s="222" cm="1">
        <f t="array" aca="1" ref="BX53" ca="1">'Tablica IO'!BX209*INDEX(Model!$C$93:$CA$93,Model!$A53) + IF(wplyw_cen_import_wlaczony,'Tablica IO'!BX287*INDEX(Model!$C$2:$CA$2,Model!$A53),'Tablica IO'!BX287*1)</f>
        <v>7.361689483986085E-4</v>
      </c>
      <c r="BY53" s="222" cm="1">
        <f t="array" aca="1" ref="BY53" ca="1">'Tablica IO'!BY209*INDEX(Model!$C$93:$CA$93,Model!$A53) + IF(wplyw_cen_import_wlaczony,'Tablica IO'!BY287*INDEX(Model!$C$2:$CA$2,Model!$A53),'Tablica IO'!BY287*1)</f>
        <v>4.4461144510666504E-4</v>
      </c>
      <c r="BZ53" s="222" cm="1">
        <f t="array" aca="1" ref="BZ53" ca="1">'Tablica IO'!BZ209*INDEX(Model!$C$93:$CA$93,Model!$A53) + IF(wplyw_cen_import_wlaczony,'Tablica IO'!BZ287*INDEX(Model!$C$2:$CA$2,Model!$A53),'Tablica IO'!BZ287*1)</f>
        <v>1.6828178953867687E-3</v>
      </c>
      <c r="CA53" s="222" cm="1">
        <f t="array" aca="1" ref="CA53" ca="1">'Tablica IO'!CA209*INDEX(Model!$C$93:$CA$93,Model!$A53) + IF(wplyw_cen_import_wlaczony,'Tablica IO'!CA287*INDEX(Model!$C$2:$CA$2,Model!$A53),'Tablica IO'!CA287*1)</f>
        <v>0</v>
      </c>
      <c r="CB53" s="247">
        <f ca="1">'Tablica IO'!CD209*INDEX(Model!$C$93:$CA$93,Model!$A53)+'Tablica IO'!CD287*INDEX(Model!$C$2:$CA$2,Model!$A53)</f>
        <v>9.4630040790973941E-3</v>
      </c>
      <c r="CC53" s="188">
        <f ca="1">'Tablica IO'!CE209*INDEX(Model!$C$93:$CA$93,Model!$A53)+'Tablica IO'!CE287*INDEX(Model!$C$2:$CA$2,Model!$A53)</f>
        <v>3.960831208762363E-3</v>
      </c>
      <c r="CD53" s="188">
        <f ca="1">'Tablica IO'!CF209*INDEX(Model!$C$93:$CA$93,Model!$A53)+'Tablica IO'!CF287*INDEX(Model!$C$2:$CA$2,Model!$A53)</f>
        <v>1.4129360831325185E-5</v>
      </c>
      <c r="CE53" s="189">
        <f ca="1">'Tablica IO'!CG209*INDEX(Model!$C$93:$CA$93,Model!$A53)+'Tablica IO'!CG287*INDEX(Model!$C$2:$CA$2,Model!$A53)</f>
        <v>1.2954770289535535E-3</v>
      </c>
    </row>
    <row r="54" spans="1:83" x14ac:dyDescent="0.25">
      <c r="A54" s="164">
        <v>42</v>
      </c>
      <c r="B54" s="172" t="s">
        <v>41</v>
      </c>
      <c r="C54" s="221" cm="1">
        <f t="array" aca="1" ref="C54" ca="1">'Tablica IO'!C210*INDEX(Model!$C$93:$CA$93,Model!$A54) + IF(wplyw_cen_import_wlaczony,'Tablica IO'!C288*INDEX(Model!$C$2:$CA$2,Model!$A54),'Tablica IO'!C288*1)</f>
        <v>2.6601691966663624E-5</v>
      </c>
      <c r="D54" s="222" cm="1">
        <f t="array" aca="1" ref="D54" ca="1">'Tablica IO'!D210*INDEX(Model!$C$93:$CA$93,Model!$A54) + IF(wplyw_cen_import_wlaczony,'Tablica IO'!D288*INDEX(Model!$C$2:$CA$2,Model!$A54),'Tablica IO'!D288*1)</f>
        <v>5.6678427412103314E-4</v>
      </c>
      <c r="E54" s="222" cm="1">
        <f t="array" aca="1" ref="E54" ca="1">'Tablica IO'!E210*INDEX(Model!$C$93:$CA$93,Model!$A54) + IF(wplyw_cen_import_wlaczony,'Tablica IO'!E288*INDEX(Model!$C$2:$CA$2,Model!$A54),'Tablica IO'!E288*1)</f>
        <v>7.4560281442308618E-5</v>
      </c>
      <c r="F54" s="222" cm="1">
        <f t="array" aca="1" ref="F54" ca="1">'Tablica IO'!F210*INDEX(Model!$C$93:$CA$93,Model!$A54) + IF(wplyw_cen_import_wlaczony,'Tablica IO'!F288*INDEX(Model!$C$2:$CA$2,Model!$A54),'Tablica IO'!F288*1)</f>
        <v>3.1849368040259042E-3</v>
      </c>
      <c r="G54" s="222" cm="1">
        <f t="array" aca="1" ref="G54" ca="1">'Tablica IO'!G210*INDEX(Model!$C$93:$CA$93,Model!$A54) + IF(wplyw_cen_import_wlaczony,'Tablica IO'!G288*INDEX(Model!$C$2:$CA$2,Model!$A54),'Tablica IO'!G288*1)</f>
        <v>1.4767247449424246E-3</v>
      </c>
      <c r="H54" s="222" cm="1">
        <f t="array" aca="1" ref="H54" ca="1">'Tablica IO'!H210*INDEX(Model!$C$93:$CA$93,Model!$A54) + IF(wplyw_cen_import_wlaczony,'Tablica IO'!H288*INDEX(Model!$C$2:$CA$2,Model!$A54),'Tablica IO'!H288*1)</f>
        <v>4.0287120900692154E-4</v>
      </c>
      <c r="I54" s="222" cm="1">
        <f t="array" aca="1" ref="I54" ca="1">'Tablica IO'!I210*INDEX(Model!$C$93:$CA$93,Model!$A54) + IF(wplyw_cen_import_wlaczony,'Tablica IO'!I288*INDEX(Model!$C$2:$CA$2,Model!$A54),'Tablica IO'!I288*1)</f>
        <v>9.8976153510450088E-4</v>
      </c>
      <c r="J54" s="222" cm="1">
        <f t="array" aca="1" ref="J54" ca="1">'Tablica IO'!J210*INDEX(Model!$C$93:$CA$93,Model!$A54) + IF(wplyw_cen_import_wlaczony,'Tablica IO'!J288*INDEX(Model!$C$2:$CA$2,Model!$A54),'Tablica IO'!J288*1)</f>
        <v>5.4646871523330535E-4</v>
      </c>
      <c r="K54" s="222" cm="1">
        <f t="array" aca="1" ref="K54" ca="1">'Tablica IO'!K210*INDEX(Model!$C$93:$CA$93,Model!$A54) + IF(wplyw_cen_import_wlaczony,'Tablica IO'!K288*INDEX(Model!$C$2:$CA$2,Model!$A54),'Tablica IO'!K288*1)</f>
        <v>9.4033120821509673E-4</v>
      </c>
      <c r="L54" s="222" cm="1">
        <f t="array" aca="1" ref="L54" ca="1">'Tablica IO'!L210*INDEX(Model!$C$93:$CA$93,Model!$A54) + IF(wplyw_cen_import_wlaczony,'Tablica IO'!L288*INDEX(Model!$C$2:$CA$2,Model!$A54),'Tablica IO'!L288*1)</f>
        <v>6.5016484191358708E-4</v>
      </c>
      <c r="M54" s="222" cm="1">
        <f t="array" aca="1" ref="M54" ca="1">'Tablica IO'!M210*INDEX(Model!$C$93:$CA$93,Model!$A54) + IF(wplyw_cen_import_wlaczony,'Tablica IO'!M288*INDEX(Model!$C$2:$CA$2,Model!$A54),'Tablica IO'!M288*1)</f>
        <v>5.8552797445626966E-4</v>
      </c>
      <c r="N54" s="222" cm="1">
        <f t="array" aca="1" ref="N54" ca="1">'Tablica IO'!N210*INDEX(Model!$C$93:$CA$93,Model!$A54) + IF(wplyw_cen_import_wlaczony,'Tablica IO'!N288*INDEX(Model!$C$2:$CA$2,Model!$A54),'Tablica IO'!N288*1)</f>
        <v>2.4743668166310023E-4</v>
      </c>
      <c r="O54" s="222" cm="1">
        <f t="array" aca="1" ref="O54" ca="1">'Tablica IO'!O210*INDEX(Model!$C$93:$CA$93,Model!$A54) + IF(wplyw_cen_import_wlaczony,'Tablica IO'!O288*INDEX(Model!$C$2:$CA$2,Model!$A54),'Tablica IO'!O288*1)</f>
        <v>4.3934813097381474E-4</v>
      </c>
      <c r="P54" s="222" cm="1">
        <f t="array" aca="1" ref="P54" ca="1">'Tablica IO'!P210*INDEX(Model!$C$93:$CA$93,Model!$A54) + IF(wplyw_cen_import_wlaczony,'Tablica IO'!P288*INDEX(Model!$C$2:$CA$2,Model!$A54),'Tablica IO'!P288*1)</f>
        <v>7.5269080152196651E-4</v>
      </c>
      <c r="Q54" s="222" cm="1">
        <f t="array" aca="1" ref="Q54" ca="1">'Tablica IO'!Q210*INDEX(Model!$C$93:$CA$93,Model!$A54) + IF(wplyw_cen_import_wlaczony,'Tablica IO'!Q288*INDEX(Model!$C$2:$CA$2,Model!$A54),'Tablica IO'!Q288*1)</f>
        <v>2.4747444528116439E-4</v>
      </c>
      <c r="R54" s="222" cm="1">
        <f t="array" aca="1" ref="R54" ca="1">'Tablica IO'!R210*INDEX(Model!$C$93:$CA$93,Model!$A54) + IF(wplyw_cen_import_wlaczony,'Tablica IO'!R288*INDEX(Model!$C$2:$CA$2,Model!$A54),'Tablica IO'!R288*1)</f>
        <v>2.9352040896217231E-4</v>
      </c>
      <c r="S54" s="222" cm="1">
        <f t="array" aca="1" ref="S54" ca="1">'Tablica IO'!S210*INDEX(Model!$C$93:$CA$93,Model!$A54) + IF(wplyw_cen_import_wlaczony,'Tablica IO'!S288*INDEX(Model!$C$2:$CA$2,Model!$A54),'Tablica IO'!S288*1)</f>
        <v>4.4045192902193541E-4</v>
      </c>
      <c r="T54" s="222" cm="1">
        <f t="array" aca="1" ref="T54" ca="1">'Tablica IO'!T210*INDEX(Model!$C$93:$CA$93,Model!$A54) + IF(wplyw_cen_import_wlaczony,'Tablica IO'!T288*INDEX(Model!$C$2:$CA$2,Model!$A54),'Tablica IO'!T288*1)</f>
        <v>3.7744226509056199E-4</v>
      </c>
      <c r="U54" s="222" cm="1">
        <f t="array" aca="1" ref="U54" ca="1">'Tablica IO'!U210*INDEX(Model!$C$93:$CA$93,Model!$A54) + IF(wplyw_cen_import_wlaczony,'Tablica IO'!U288*INDEX(Model!$C$2:$CA$2,Model!$A54),'Tablica IO'!U288*1)</f>
        <v>5.5503666402931446E-4</v>
      </c>
      <c r="V54" s="222" cm="1">
        <f t="array" aca="1" ref="V54" ca="1">'Tablica IO'!V210*INDEX(Model!$C$93:$CA$93,Model!$A54) + IF(wplyw_cen_import_wlaczony,'Tablica IO'!V288*INDEX(Model!$C$2:$CA$2,Model!$A54),'Tablica IO'!V288*1)</f>
        <v>8.317443799380198E-5</v>
      </c>
      <c r="W54" s="222" cm="1">
        <f t="array" aca="1" ref="W54" ca="1">'Tablica IO'!W210*INDEX(Model!$C$93:$CA$93,Model!$A54) + IF(wplyw_cen_import_wlaczony,'Tablica IO'!W288*INDEX(Model!$C$2:$CA$2,Model!$A54),'Tablica IO'!W288*1)</f>
        <v>4.1204545072022318E-4</v>
      </c>
      <c r="X54" s="222" cm="1">
        <f t="array" aca="1" ref="X54" ca="1">'Tablica IO'!X210*INDEX(Model!$C$93:$CA$93,Model!$A54) + IF(wplyw_cen_import_wlaczony,'Tablica IO'!X288*INDEX(Model!$C$2:$CA$2,Model!$A54),'Tablica IO'!X288*1)</f>
        <v>1.5104469877517168E-4</v>
      </c>
      <c r="Y54" s="222" cm="1">
        <f t="array" aca="1" ref="Y54" ca="1">'Tablica IO'!Y210*INDEX(Model!$C$93:$CA$93,Model!$A54) + IF(wplyw_cen_import_wlaczony,'Tablica IO'!Y288*INDEX(Model!$C$2:$CA$2,Model!$A54),'Tablica IO'!Y288*1)</f>
        <v>9.968337872524062E-4</v>
      </c>
      <c r="Z54" s="222" cm="1">
        <f t="array" aca="1" ref="Z54" ca="1">'Tablica IO'!Z210*INDEX(Model!$C$93:$CA$93,Model!$A54) + IF(wplyw_cen_import_wlaczony,'Tablica IO'!Z288*INDEX(Model!$C$2:$CA$2,Model!$A54),'Tablica IO'!Z288*1)</f>
        <v>7.7121630354012936E-4</v>
      </c>
      <c r="AA54" s="222" cm="1">
        <f t="array" aca="1" ref="AA54" ca="1">'Tablica IO'!AA210*INDEX(Model!$C$93:$CA$93,Model!$A54) + IF(wplyw_cen_import_wlaczony,'Tablica IO'!AA288*INDEX(Model!$C$2:$CA$2,Model!$A54),'Tablica IO'!AA288*1)</f>
        <v>2.3805611209848677E-4</v>
      </c>
      <c r="AB54" s="222" cm="1">
        <f t="array" aca="1" ref="AB54" ca="1">'Tablica IO'!AB210*INDEX(Model!$C$93:$CA$93,Model!$A54) + IF(wplyw_cen_import_wlaczony,'Tablica IO'!AB288*INDEX(Model!$C$2:$CA$2,Model!$A54),'Tablica IO'!AB288*1)</f>
        <v>5.3026511297597485E-4</v>
      </c>
      <c r="AC54" s="222" cm="1">
        <f t="array" aca="1" ref="AC54" ca="1">'Tablica IO'!AC210*INDEX(Model!$C$93:$CA$93,Model!$A54) + IF(wplyw_cen_import_wlaczony,'Tablica IO'!AC288*INDEX(Model!$C$2:$CA$2,Model!$A54),'Tablica IO'!AC288*1)</f>
        <v>1.9657190686223774E-4</v>
      </c>
      <c r="AD54" s="222" cm="1">
        <f t="array" aca="1" ref="AD54" ca="1">'Tablica IO'!AD210*INDEX(Model!$C$93:$CA$93,Model!$A54) + IF(wplyw_cen_import_wlaczony,'Tablica IO'!AD288*INDEX(Model!$C$2:$CA$2,Model!$A54),'Tablica IO'!AD288*1)</f>
        <v>2.1298110673263057E-4</v>
      </c>
      <c r="AE54" s="222" cm="1">
        <f t="array" aca="1" ref="AE54" ca="1">'Tablica IO'!AE210*INDEX(Model!$C$93:$CA$93,Model!$A54) + IF(wplyw_cen_import_wlaczony,'Tablica IO'!AE288*INDEX(Model!$C$2:$CA$2,Model!$A54),'Tablica IO'!AE288*1)</f>
        <v>7.3447922158736989E-4</v>
      </c>
      <c r="AF54" s="222" cm="1">
        <f t="array" aca="1" ref="AF54" ca="1">'Tablica IO'!AF210*INDEX(Model!$C$93:$CA$93,Model!$A54) + IF(wplyw_cen_import_wlaczony,'Tablica IO'!AF288*INDEX(Model!$C$2:$CA$2,Model!$A54),'Tablica IO'!AF288*1)</f>
        <v>1.2375028281249266E-4</v>
      </c>
      <c r="AG54" s="222" cm="1">
        <f t="array" aca="1" ref="AG54" ca="1">'Tablica IO'!AG210*INDEX(Model!$C$93:$CA$93,Model!$A54) + IF(wplyw_cen_import_wlaczony,'Tablica IO'!AG288*INDEX(Model!$C$2:$CA$2,Model!$A54),'Tablica IO'!AG288*1)</f>
        <v>1.3796749544734622E-4</v>
      </c>
      <c r="AH54" s="222" cm="1">
        <f t="array" aca="1" ref="AH54" ca="1">'Tablica IO'!AH210*INDEX(Model!$C$93:$CA$93,Model!$A54) + IF(wplyw_cen_import_wlaczony,'Tablica IO'!AH288*INDEX(Model!$C$2:$CA$2,Model!$A54),'Tablica IO'!AH288*1)</f>
        <v>9.8494661399742907E-4</v>
      </c>
      <c r="AI54" s="222" cm="1">
        <f t="array" aca="1" ref="AI54" ca="1">'Tablica IO'!AI210*INDEX(Model!$C$93:$CA$93,Model!$A54) + IF(wplyw_cen_import_wlaczony,'Tablica IO'!AI288*INDEX(Model!$C$2:$CA$2,Model!$A54),'Tablica IO'!AI288*1)</f>
        <v>2.0709170833295592E-4</v>
      </c>
      <c r="AJ54" s="222" cm="1">
        <f t="array" aca="1" ref="AJ54" ca="1">'Tablica IO'!AJ210*INDEX(Model!$C$93:$CA$93,Model!$A54) + IF(wplyw_cen_import_wlaczony,'Tablica IO'!AJ288*INDEX(Model!$C$2:$CA$2,Model!$A54),'Tablica IO'!AJ288*1)</f>
        <v>2.1316168490421636E-3</v>
      </c>
      <c r="AK54" s="222" cm="1">
        <f t="array" aca="1" ref="AK54" ca="1">'Tablica IO'!AK210*INDEX(Model!$C$93:$CA$93,Model!$A54) + IF(wplyw_cen_import_wlaczony,'Tablica IO'!AK288*INDEX(Model!$C$2:$CA$2,Model!$A54),'Tablica IO'!AK288*1)</f>
        <v>8.1515820356882268E-4</v>
      </c>
      <c r="AL54" s="222" cm="1">
        <f t="array" aca="1" ref="AL54" ca="1">'Tablica IO'!AL210*INDEX(Model!$C$93:$CA$93,Model!$A54) + IF(wplyw_cen_import_wlaczony,'Tablica IO'!AL288*INDEX(Model!$C$2:$CA$2,Model!$A54),'Tablica IO'!AL288*1)</f>
        <v>2.4701467015358037E-3</v>
      </c>
      <c r="AM54" s="222" cm="1">
        <f t="array" aca="1" ref="AM54" ca="1">'Tablica IO'!AM210*INDEX(Model!$C$93:$CA$93,Model!$A54) + IF(wplyw_cen_import_wlaczony,'Tablica IO'!AM288*INDEX(Model!$C$2:$CA$2,Model!$A54),'Tablica IO'!AM288*1)</f>
        <v>1.065421420402895E-3</v>
      </c>
      <c r="AN54" s="222" cm="1">
        <f t="array" aca="1" ref="AN54" ca="1">'Tablica IO'!AN210*INDEX(Model!$C$93:$CA$93,Model!$A54) + IF(wplyw_cen_import_wlaczony,'Tablica IO'!AN288*INDEX(Model!$C$2:$CA$2,Model!$A54),'Tablica IO'!AN288*1)</f>
        <v>4.4903670085912877E-3</v>
      </c>
      <c r="AO54" s="222" cm="1">
        <f t="array" aca="1" ref="AO54" ca="1">'Tablica IO'!AO210*INDEX(Model!$C$93:$CA$93,Model!$A54) + IF(wplyw_cen_import_wlaczony,'Tablica IO'!AO288*INDEX(Model!$C$2:$CA$2,Model!$A54),'Tablica IO'!AO288*1)</f>
        <v>1.7987383415091578E-2</v>
      </c>
      <c r="AP54" s="222" cm="1">
        <f t="array" aca="1" ref="AP54" ca="1">'Tablica IO'!AP210*INDEX(Model!$C$93:$CA$93,Model!$A54) + IF(wplyw_cen_import_wlaczony,'Tablica IO'!AP288*INDEX(Model!$C$2:$CA$2,Model!$A54),'Tablica IO'!AP288*1)</f>
        <v>3.2394019843533369E-4</v>
      </c>
      <c r="AQ54" s="222" cm="1">
        <f t="array" aca="1" ref="AQ54" ca="1">'Tablica IO'!AQ210*INDEX(Model!$C$93:$CA$93,Model!$A54) + IF(wplyw_cen_import_wlaczony,'Tablica IO'!AQ288*INDEX(Model!$C$2:$CA$2,Model!$A54),'Tablica IO'!AQ288*1)</f>
        <v>1.4557050969346425E-2</v>
      </c>
      <c r="AR54" s="222" cm="1">
        <f t="array" aca="1" ref="AR54" ca="1">'Tablica IO'!AR210*INDEX(Model!$C$93:$CA$93,Model!$A54) + IF(wplyw_cen_import_wlaczony,'Tablica IO'!AR288*INDEX(Model!$C$2:$CA$2,Model!$A54),'Tablica IO'!AR288*1)</f>
        <v>1.0060718057558976E-2</v>
      </c>
      <c r="AS54" s="222" cm="1">
        <f t="array" aca="1" ref="AS54" ca="1">'Tablica IO'!AS210*INDEX(Model!$C$93:$CA$93,Model!$A54) + IF(wplyw_cen_import_wlaczony,'Tablica IO'!AS288*INDEX(Model!$C$2:$CA$2,Model!$A54),'Tablica IO'!AS288*1)</f>
        <v>1.2942950305598788E-3</v>
      </c>
      <c r="AT54" s="222" cm="1">
        <f t="array" aca="1" ref="AT54" ca="1">'Tablica IO'!AT210*INDEX(Model!$C$93:$CA$93,Model!$A54) + IF(wplyw_cen_import_wlaczony,'Tablica IO'!AT288*INDEX(Model!$C$2:$CA$2,Model!$A54),'Tablica IO'!AT288*1)</f>
        <v>5.6642799358254739E-3</v>
      </c>
      <c r="AU54" s="222" cm="1">
        <f t="array" aca="1" ref="AU54" ca="1">'Tablica IO'!AU210*INDEX(Model!$C$93:$CA$93,Model!$A54) + IF(wplyw_cen_import_wlaczony,'Tablica IO'!AU288*INDEX(Model!$C$2:$CA$2,Model!$A54),'Tablica IO'!AU288*1)</f>
        <v>4.9975689653474968E-5</v>
      </c>
      <c r="AV54" s="222" cm="1">
        <f t="array" aca="1" ref="AV54" ca="1">'Tablica IO'!AV210*INDEX(Model!$C$93:$CA$93,Model!$A54) + IF(wplyw_cen_import_wlaczony,'Tablica IO'!AV288*INDEX(Model!$C$2:$CA$2,Model!$A54),'Tablica IO'!AV288*1)</f>
        <v>3.9808921515000335E-4</v>
      </c>
      <c r="AW54" s="222" cm="1">
        <f t="array" aca="1" ref="AW54" ca="1">'Tablica IO'!AW210*INDEX(Model!$C$93:$CA$93,Model!$A54) + IF(wplyw_cen_import_wlaczony,'Tablica IO'!AW288*INDEX(Model!$C$2:$CA$2,Model!$A54),'Tablica IO'!AW288*1)</f>
        <v>9.2447745745189163E-4</v>
      </c>
      <c r="AX54" s="222" cm="1">
        <f t="array" aca="1" ref="AX54" ca="1">'Tablica IO'!AX210*INDEX(Model!$C$93:$CA$93,Model!$A54) + IF(wplyw_cen_import_wlaczony,'Tablica IO'!AX288*INDEX(Model!$C$2:$CA$2,Model!$A54),'Tablica IO'!AX288*1)</f>
        <v>2.777910820087479E-3</v>
      </c>
      <c r="AY54" s="222" cm="1">
        <f t="array" aca="1" ref="AY54" ca="1">'Tablica IO'!AY210*INDEX(Model!$C$93:$CA$93,Model!$A54) + IF(wplyw_cen_import_wlaczony,'Tablica IO'!AY288*INDEX(Model!$C$2:$CA$2,Model!$A54),'Tablica IO'!AY288*1)</f>
        <v>4.6965053305612415E-4</v>
      </c>
      <c r="AZ54" s="222" cm="1">
        <f t="array" aca="1" ref="AZ54" ca="1">'Tablica IO'!AZ210*INDEX(Model!$C$93:$CA$93,Model!$A54) + IF(wplyw_cen_import_wlaczony,'Tablica IO'!AZ288*INDEX(Model!$C$2:$CA$2,Model!$A54),'Tablica IO'!AZ288*1)</f>
        <v>2.2683458711874934E-3</v>
      </c>
      <c r="BA54" s="222" cm="1">
        <f t="array" aca="1" ref="BA54" ca="1">'Tablica IO'!BA210*INDEX(Model!$C$93:$CA$93,Model!$A54) + IF(wplyw_cen_import_wlaczony,'Tablica IO'!BA288*INDEX(Model!$C$2:$CA$2,Model!$A54),'Tablica IO'!BA288*1)</f>
        <v>7.4394865484553633E-5</v>
      </c>
      <c r="BB54" s="222" cm="1">
        <f t="array" aca="1" ref="BB54" ca="1">'Tablica IO'!BB210*INDEX(Model!$C$93:$CA$93,Model!$A54) + IF(wplyw_cen_import_wlaczony,'Tablica IO'!BB288*INDEX(Model!$C$2:$CA$2,Model!$A54),'Tablica IO'!BB288*1)</f>
        <v>1.0673686475553076E-4</v>
      </c>
      <c r="BC54" s="222" cm="1">
        <f t="array" aca="1" ref="BC54" ca="1">'Tablica IO'!BC210*INDEX(Model!$C$93:$CA$93,Model!$A54) + IF(wplyw_cen_import_wlaczony,'Tablica IO'!BC288*INDEX(Model!$C$2:$CA$2,Model!$A54),'Tablica IO'!BC288*1)</f>
        <v>2.4990755995087785E-3</v>
      </c>
      <c r="BD54" s="222" cm="1">
        <f t="array" aca="1" ref="BD54" ca="1">'Tablica IO'!BD210*INDEX(Model!$C$93:$CA$93,Model!$A54) + IF(wplyw_cen_import_wlaczony,'Tablica IO'!BD288*INDEX(Model!$C$2:$CA$2,Model!$A54),'Tablica IO'!BD288*1)</f>
        <v>2.7435209874548819E-3</v>
      </c>
      <c r="BE54" s="222" cm="1">
        <f t="array" aca="1" ref="BE54" ca="1">'Tablica IO'!BE210*INDEX(Model!$C$93:$CA$93,Model!$A54) + IF(wplyw_cen_import_wlaczony,'Tablica IO'!BE288*INDEX(Model!$C$2:$CA$2,Model!$A54),'Tablica IO'!BE288*1)</f>
        <v>1.202872088259722E-3</v>
      </c>
      <c r="BF54" s="222" cm="1">
        <f t="array" aca="1" ref="BF54" ca="1">'Tablica IO'!BF210*INDEX(Model!$C$93:$CA$93,Model!$A54) + IF(wplyw_cen_import_wlaczony,'Tablica IO'!BF288*INDEX(Model!$C$2:$CA$2,Model!$A54),'Tablica IO'!BF288*1)</f>
        <v>3.2810631411024486E-3</v>
      </c>
      <c r="BG54" s="222" cm="1">
        <f t="array" aca="1" ref="BG54" ca="1">'Tablica IO'!BG210*INDEX(Model!$C$93:$CA$93,Model!$A54) + IF(wplyw_cen_import_wlaczony,'Tablica IO'!BG288*INDEX(Model!$C$2:$CA$2,Model!$A54),'Tablica IO'!BG288*1)</f>
        <v>1.7791336976078478E-3</v>
      </c>
      <c r="BH54" s="222" cm="1">
        <f t="array" aca="1" ref="BH54" ca="1">'Tablica IO'!BH210*INDEX(Model!$C$93:$CA$93,Model!$A54) + IF(wplyw_cen_import_wlaczony,'Tablica IO'!BH288*INDEX(Model!$C$2:$CA$2,Model!$A54),'Tablica IO'!BH288*1)</f>
        <v>4.8778361643069408E-4</v>
      </c>
      <c r="BI54" s="222" cm="1">
        <f t="array" aca="1" ref="BI54" ca="1">'Tablica IO'!BI210*INDEX(Model!$C$93:$CA$93,Model!$A54) + IF(wplyw_cen_import_wlaczony,'Tablica IO'!BI288*INDEX(Model!$C$2:$CA$2,Model!$A54),'Tablica IO'!BI288*1)</f>
        <v>0</v>
      </c>
      <c r="BJ54" s="222" cm="1">
        <f t="array" aca="1" ref="BJ54" ca="1">'Tablica IO'!BJ210*INDEX(Model!$C$93:$CA$93,Model!$A54) + IF(wplyw_cen_import_wlaczony,'Tablica IO'!BJ288*INDEX(Model!$C$2:$CA$2,Model!$A54),'Tablica IO'!BJ288*1)</f>
        <v>9.754991259237815E-4</v>
      </c>
      <c r="BK54" s="222" cm="1">
        <f t="array" aca="1" ref="BK54" ca="1">'Tablica IO'!BK210*INDEX(Model!$C$93:$CA$93,Model!$A54) + IF(wplyw_cen_import_wlaczony,'Tablica IO'!BK288*INDEX(Model!$C$2:$CA$2,Model!$A54),'Tablica IO'!BK288*1)</f>
        <v>1.841024485639197E-3</v>
      </c>
      <c r="BL54" s="222" cm="1">
        <f t="array" aca="1" ref="BL54" ca="1">'Tablica IO'!BL210*INDEX(Model!$C$93:$CA$93,Model!$A54) + IF(wplyw_cen_import_wlaczony,'Tablica IO'!BL288*INDEX(Model!$C$2:$CA$2,Model!$A54),'Tablica IO'!BL288*1)</f>
        <v>3.1070692332958181E-3</v>
      </c>
      <c r="BM54" s="222" cm="1">
        <f t="array" aca="1" ref="BM54" ca="1">'Tablica IO'!BM210*INDEX(Model!$C$93:$CA$93,Model!$A54) + IF(wplyw_cen_import_wlaczony,'Tablica IO'!BM288*INDEX(Model!$C$2:$CA$2,Model!$A54),'Tablica IO'!BM288*1)</f>
        <v>1.7497031409806544E-4</v>
      </c>
      <c r="BN54" s="222" cm="1">
        <f t="array" aca="1" ref="BN54" ca="1">'Tablica IO'!BN210*INDEX(Model!$C$93:$CA$93,Model!$A54) + IF(wplyw_cen_import_wlaczony,'Tablica IO'!BN288*INDEX(Model!$C$2:$CA$2,Model!$A54),'Tablica IO'!BN288*1)</f>
        <v>5.7678820045799148E-3</v>
      </c>
      <c r="BO54" s="222" cm="1">
        <f t="array" aca="1" ref="BO54" ca="1">'Tablica IO'!BO210*INDEX(Model!$C$93:$CA$93,Model!$A54) + IF(wplyw_cen_import_wlaczony,'Tablica IO'!BO288*INDEX(Model!$C$2:$CA$2,Model!$A54),'Tablica IO'!BO288*1)</f>
        <v>1.8811572488659626E-3</v>
      </c>
      <c r="BP54" s="222" cm="1">
        <f t="array" aca="1" ref="BP54" ca="1">'Tablica IO'!BP210*INDEX(Model!$C$93:$CA$93,Model!$A54) + IF(wplyw_cen_import_wlaczony,'Tablica IO'!BP288*INDEX(Model!$C$2:$CA$2,Model!$A54),'Tablica IO'!BP288*1)</f>
        <v>1.2585735152173239E-3</v>
      </c>
      <c r="BQ54" s="222" cm="1">
        <f t="array" aca="1" ref="BQ54" ca="1">'Tablica IO'!BQ210*INDEX(Model!$C$93:$CA$93,Model!$A54) + IF(wplyw_cen_import_wlaczony,'Tablica IO'!BQ288*INDEX(Model!$C$2:$CA$2,Model!$A54),'Tablica IO'!BQ288*1)</f>
        <v>1.7729875191773124E-3</v>
      </c>
      <c r="BR54" s="222" cm="1">
        <f t="array" aca="1" ref="BR54" ca="1">'Tablica IO'!BR210*INDEX(Model!$C$93:$CA$93,Model!$A54) + IF(wplyw_cen_import_wlaczony,'Tablica IO'!BR288*INDEX(Model!$C$2:$CA$2,Model!$A54),'Tablica IO'!BR288*1)</f>
        <v>1.6639722057678549E-3</v>
      </c>
      <c r="BS54" s="222" cm="1">
        <f t="array" aca="1" ref="BS54" ca="1">'Tablica IO'!BS210*INDEX(Model!$C$93:$CA$93,Model!$A54) + IF(wplyw_cen_import_wlaczony,'Tablica IO'!BS288*INDEX(Model!$C$2:$CA$2,Model!$A54),'Tablica IO'!BS288*1)</f>
        <v>2.1218769544313613E-2</v>
      </c>
      <c r="BT54" s="222" cm="1">
        <f t="array" aca="1" ref="BT54" ca="1">'Tablica IO'!BT210*INDEX(Model!$C$93:$CA$93,Model!$A54) + IF(wplyw_cen_import_wlaczony,'Tablica IO'!BT288*INDEX(Model!$C$2:$CA$2,Model!$A54),'Tablica IO'!BT288*1)</f>
        <v>5.2454321491536516E-3</v>
      </c>
      <c r="BU54" s="222" cm="1">
        <f t="array" aca="1" ref="BU54" ca="1">'Tablica IO'!BU210*INDEX(Model!$C$93:$CA$93,Model!$A54) + IF(wplyw_cen_import_wlaczony,'Tablica IO'!BU288*INDEX(Model!$C$2:$CA$2,Model!$A54),'Tablica IO'!BU288*1)</f>
        <v>1.387446962506426E-3</v>
      </c>
      <c r="BV54" s="222" cm="1">
        <f t="array" aca="1" ref="BV54" ca="1">'Tablica IO'!BV210*INDEX(Model!$C$93:$CA$93,Model!$A54) + IF(wplyw_cen_import_wlaczony,'Tablica IO'!BV288*INDEX(Model!$C$2:$CA$2,Model!$A54),'Tablica IO'!BV288*1)</f>
        <v>1.0351872045382982E-4</v>
      </c>
      <c r="BW54" s="222" cm="1">
        <f t="array" aca="1" ref="BW54" ca="1">'Tablica IO'!BW210*INDEX(Model!$C$93:$CA$93,Model!$A54) + IF(wplyw_cen_import_wlaczony,'Tablica IO'!BW288*INDEX(Model!$C$2:$CA$2,Model!$A54),'Tablica IO'!BW288*1)</f>
        <v>3.3929480453347891E-3</v>
      </c>
      <c r="BX54" s="222" cm="1">
        <f t="array" aca="1" ref="BX54" ca="1">'Tablica IO'!BX210*INDEX(Model!$C$93:$CA$93,Model!$A54) + IF(wplyw_cen_import_wlaczony,'Tablica IO'!BX288*INDEX(Model!$C$2:$CA$2,Model!$A54),'Tablica IO'!BX288*1)</f>
        <v>1.6256926939351202E-4</v>
      </c>
      <c r="BY54" s="222" cm="1">
        <f t="array" aca="1" ref="BY54" ca="1">'Tablica IO'!BY210*INDEX(Model!$C$93:$CA$93,Model!$A54) + IF(wplyw_cen_import_wlaczony,'Tablica IO'!BY288*INDEX(Model!$C$2:$CA$2,Model!$A54),'Tablica IO'!BY288*1)</f>
        <v>3.129366357803053E-5</v>
      </c>
      <c r="BZ54" s="222" cm="1">
        <f t="array" aca="1" ref="BZ54" ca="1">'Tablica IO'!BZ210*INDEX(Model!$C$93:$CA$93,Model!$A54) + IF(wplyw_cen_import_wlaczony,'Tablica IO'!BZ288*INDEX(Model!$C$2:$CA$2,Model!$A54),'Tablica IO'!BZ288*1)</f>
        <v>8.8481913428036321E-4</v>
      </c>
      <c r="CA54" s="222" cm="1">
        <f t="array" aca="1" ref="CA54" ca="1">'Tablica IO'!CA210*INDEX(Model!$C$93:$CA$93,Model!$A54) + IF(wplyw_cen_import_wlaczony,'Tablica IO'!CA288*INDEX(Model!$C$2:$CA$2,Model!$A54),'Tablica IO'!CA288*1)</f>
        <v>0</v>
      </c>
      <c r="CB54" s="247">
        <f ca="1">'Tablica IO'!CD210*INDEX(Model!$C$93:$CA$93,Model!$A54)+'Tablica IO'!CD288*INDEX(Model!$C$2:$CA$2,Model!$A54)</f>
        <v>2.991330547084449E-2</v>
      </c>
      <c r="CC54" s="188">
        <f ca="1">'Tablica IO'!CE210*INDEX(Model!$C$93:$CA$93,Model!$A54)+'Tablica IO'!CE288*INDEX(Model!$C$2:$CA$2,Model!$A54)</f>
        <v>5.2173026064434077E-3</v>
      </c>
      <c r="CD54" s="188">
        <f ca="1">'Tablica IO'!CF210*INDEX(Model!$C$93:$CA$93,Model!$A54)+'Tablica IO'!CF288*INDEX(Model!$C$2:$CA$2,Model!$A54)</f>
        <v>1.7130177925326915E-6</v>
      </c>
      <c r="CE54" s="189">
        <f ca="1">'Tablica IO'!CG210*INDEX(Model!$C$93:$CA$93,Model!$A54)+'Tablica IO'!CG288*INDEX(Model!$C$2:$CA$2,Model!$A54)</f>
        <v>1.7738022239433702E-3</v>
      </c>
    </row>
    <row r="55" spans="1:83" x14ac:dyDescent="0.25">
      <c r="A55" s="164">
        <v>43</v>
      </c>
      <c r="B55" s="172" t="s">
        <v>42</v>
      </c>
      <c r="C55" s="221" cm="1">
        <f t="array" aca="1" ref="C55" ca="1">'Tablica IO'!C211*INDEX(Model!$C$93:$CA$93,Model!$A55) + IF(wplyw_cen_import_wlaczony,'Tablica IO'!C289*INDEX(Model!$C$2:$CA$2,Model!$A55),'Tablica IO'!C289*1)</f>
        <v>1.943625010234291E-4</v>
      </c>
      <c r="D55" s="222" cm="1">
        <f t="array" aca="1" ref="D55" ca="1">'Tablica IO'!D211*INDEX(Model!$C$93:$CA$93,Model!$A55) + IF(wplyw_cen_import_wlaczony,'Tablica IO'!D289*INDEX(Model!$C$2:$CA$2,Model!$A55),'Tablica IO'!D289*1)</f>
        <v>3.6385923747538711E-3</v>
      </c>
      <c r="E55" s="222" cm="1">
        <f t="array" aca="1" ref="E55" ca="1">'Tablica IO'!E211*INDEX(Model!$C$93:$CA$93,Model!$A55) + IF(wplyw_cen_import_wlaczony,'Tablica IO'!E289*INDEX(Model!$C$2:$CA$2,Model!$A55),'Tablica IO'!E289*1)</f>
        <v>6.7376750360863703E-4</v>
      </c>
      <c r="F55" s="222" cm="1">
        <f t="array" aca="1" ref="F55" ca="1">'Tablica IO'!F211*INDEX(Model!$C$93:$CA$93,Model!$A55) + IF(wplyw_cen_import_wlaczony,'Tablica IO'!F289*INDEX(Model!$C$2:$CA$2,Model!$A55),'Tablica IO'!F289*1)</f>
        <v>1.4093705599882412E-3</v>
      </c>
      <c r="G55" s="222" cm="1">
        <f t="array" aca="1" ref="G55" ca="1">'Tablica IO'!G211*INDEX(Model!$C$93:$CA$93,Model!$A55) + IF(wplyw_cen_import_wlaczony,'Tablica IO'!G289*INDEX(Model!$C$2:$CA$2,Model!$A55),'Tablica IO'!G289*1)</f>
        <v>1.6720270303211245E-3</v>
      </c>
      <c r="H55" s="222" cm="1">
        <f t="array" aca="1" ref="H55" ca="1">'Tablica IO'!H211*INDEX(Model!$C$93:$CA$93,Model!$A55) + IF(wplyw_cen_import_wlaczony,'Tablica IO'!H289*INDEX(Model!$C$2:$CA$2,Model!$A55),'Tablica IO'!H289*1)</f>
        <v>2.7254041488162774E-4</v>
      </c>
      <c r="I55" s="222" cm="1">
        <f t="array" aca="1" ref="I55" ca="1">'Tablica IO'!I211*INDEX(Model!$C$93:$CA$93,Model!$A55) + IF(wplyw_cen_import_wlaczony,'Tablica IO'!I289*INDEX(Model!$C$2:$CA$2,Model!$A55),'Tablica IO'!I289*1)</f>
        <v>3.7680933089188505E-4</v>
      </c>
      <c r="J55" s="222" cm="1">
        <f t="array" aca="1" ref="J55" ca="1">'Tablica IO'!J211*INDEX(Model!$C$93:$CA$93,Model!$A55) + IF(wplyw_cen_import_wlaczony,'Tablica IO'!J289*INDEX(Model!$C$2:$CA$2,Model!$A55),'Tablica IO'!J289*1)</f>
        <v>2.074406617848999E-3</v>
      </c>
      <c r="K55" s="222" cm="1">
        <f t="array" aca="1" ref="K55" ca="1">'Tablica IO'!K211*INDEX(Model!$C$93:$CA$93,Model!$A55) + IF(wplyw_cen_import_wlaczony,'Tablica IO'!K289*INDEX(Model!$C$2:$CA$2,Model!$A55),'Tablica IO'!K289*1)</f>
        <v>1.4727461783347194E-3</v>
      </c>
      <c r="L55" s="222" cm="1">
        <f t="array" aca="1" ref="L55" ca="1">'Tablica IO'!L211*INDEX(Model!$C$93:$CA$93,Model!$A55) + IF(wplyw_cen_import_wlaczony,'Tablica IO'!L289*INDEX(Model!$C$2:$CA$2,Model!$A55),'Tablica IO'!L289*1)</f>
        <v>1.3134284222912846E-3</v>
      </c>
      <c r="M55" s="222" cm="1">
        <f t="array" aca="1" ref="M55" ca="1">'Tablica IO'!M211*INDEX(Model!$C$93:$CA$93,Model!$A55) + IF(wplyw_cen_import_wlaczony,'Tablica IO'!M289*INDEX(Model!$C$2:$CA$2,Model!$A55),'Tablica IO'!M289*1)</f>
        <v>1.8473032902511337E-3</v>
      </c>
      <c r="N55" s="222" cm="1">
        <f t="array" aca="1" ref="N55" ca="1">'Tablica IO'!N211*INDEX(Model!$C$93:$CA$93,Model!$A55) + IF(wplyw_cen_import_wlaczony,'Tablica IO'!N289*INDEX(Model!$C$2:$CA$2,Model!$A55),'Tablica IO'!N289*1)</f>
        <v>4.7018094753080366E-4</v>
      </c>
      <c r="O55" s="222" cm="1">
        <f t="array" aca="1" ref="O55" ca="1">'Tablica IO'!O211*INDEX(Model!$C$93:$CA$93,Model!$A55) + IF(wplyw_cen_import_wlaczony,'Tablica IO'!O289*INDEX(Model!$C$2:$CA$2,Model!$A55),'Tablica IO'!O289*1)</f>
        <v>1.0440477060148674E-3</v>
      </c>
      <c r="P55" s="222" cm="1">
        <f t="array" aca="1" ref="P55" ca="1">'Tablica IO'!P211*INDEX(Model!$C$93:$CA$93,Model!$A55) + IF(wplyw_cen_import_wlaczony,'Tablica IO'!P289*INDEX(Model!$C$2:$CA$2,Model!$A55),'Tablica IO'!P289*1)</f>
        <v>7.7562552715078632E-3</v>
      </c>
      <c r="Q55" s="222" cm="1">
        <f t="array" aca="1" ref="Q55" ca="1">'Tablica IO'!Q211*INDEX(Model!$C$93:$CA$93,Model!$A55) + IF(wplyw_cen_import_wlaczony,'Tablica IO'!Q289*INDEX(Model!$C$2:$CA$2,Model!$A55),'Tablica IO'!Q289*1)</f>
        <v>4.3714292615887204E-4</v>
      </c>
      <c r="R55" s="222" cm="1">
        <f t="array" aca="1" ref="R55" ca="1">'Tablica IO'!R211*INDEX(Model!$C$93:$CA$93,Model!$A55) + IF(wplyw_cen_import_wlaczony,'Tablica IO'!R289*INDEX(Model!$C$2:$CA$2,Model!$A55),'Tablica IO'!R289*1)</f>
        <v>5.3280469609268577E-4</v>
      </c>
      <c r="S55" s="222" cm="1">
        <f t="array" aca="1" ref="S55" ca="1">'Tablica IO'!S211*INDEX(Model!$C$93:$CA$93,Model!$A55) + IF(wplyw_cen_import_wlaczony,'Tablica IO'!S289*INDEX(Model!$C$2:$CA$2,Model!$A55),'Tablica IO'!S289*1)</f>
        <v>1.90137286787049E-3</v>
      </c>
      <c r="T55" s="222" cm="1">
        <f t="array" aca="1" ref="T55" ca="1">'Tablica IO'!T211*INDEX(Model!$C$93:$CA$93,Model!$A55) + IF(wplyw_cen_import_wlaczony,'Tablica IO'!T289*INDEX(Model!$C$2:$CA$2,Model!$A55),'Tablica IO'!T289*1)</f>
        <v>7.7046369002560402E-4</v>
      </c>
      <c r="U55" s="222" cm="1">
        <f t="array" aca="1" ref="U55" ca="1">'Tablica IO'!U211*INDEX(Model!$C$93:$CA$93,Model!$A55) + IF(wplyw_cen_import_wlaczony,'Tablica IO'!U289*INDEX(Model!$C$2:$CA$2,Model!$A55),'Tablica IO'!U289*1)</f>
        <v>1.3189088822197752E-3</v>
      </c>
      <c r="V55" s="222" cm="1">
        <f t="array" aca="1" ref="V55" ca="1">'Tablica IO'!V211*INDEX(Model!$C$93:$CA$93,Model!$A55) + IF(wplyw_cen_import_wlaczony,'Tablica IO'!V289*INDEX(Model!$C$2:$CA$2,Model!$A55),'Tablica IO'!V289*1)</f>
        <v>4.5970429346940732E-4</v>
      </c>
      <c r="W55" s="222" cm="1">
        <f t="array" aca="1" ref="W55" ca="1">'Tablica IO'!W211*INDEX(Model!$C$93:$CA$93,Model!$A55) + IF(wplyw_cen_import_wlaczony,'Tablica IO'!W289*INDEX(Model!$C$2:$CA$2,Model!$A55),'Tablica IO'!W289*1)</f>
        <v>6.7450088816882188E-4</v>
      </c>
      <c r="X55" s="222" cm="1">
        <f t="array" aca="1" ref="X55" ca="1">'Tablica IO'!X211*INDEX(Model!$C$93:$CA$93,Model!$A55) + IF(wplyw_cen_import_wlaczony,'Tablica IO'!X289*INDEX(Model!$C$2:$CA$2,Model!$A55),'Tablica IO'!X289*1)</f>
        <v>8.2736389417040805E-6</v>
      </c>
      <c r="Y55" s="222" cm="1">
        <f t="array" aca="1" ref="Y55" ca="1">'Tablica IO'!Y211*INDEX(Model!$C$93:$CA$93,Model!$A55) + IF(wplyw_cen_import_wlaczony,'Tablica IO'!Y289*INDEX(Model!$C$2:$CA$2,Model!$A55),'Tablica IO'!Y289*1)</f>
        <v>9.640476577294371E-4</v>
      </c>
      <c r="Z55" s="222" cm="1">
        <f t="array" aca="1" ref="Z55" ca="1">'Tablica IO'!Z211*INDEX(Model!$C$93:$CA$93,Model!$A55) + IF(wplyw_cen_import_wlaczony,'Tablica IO'!Z289*INDEX(Model!$C$2:$CA$2,Model!$A55),'Tablica IO'!Z289*1)</f>
        <v>9.9716906451069584E-4</v>
      </c>
      <c r="AA55" s="222" cm="1">
        <f t="array" aca="1" ref="AA55" ca="1">'Tablica IO'!AA211*INDEX(Model!$C$93:$CA$93,Model!$A55) + IF(wplyw_cen_import_wlaczony,'Tablica IO'!AA289*INDEX(Model!$C$2:$CA$2,Model!$A55),'Tablica IO'!AA289*1)</f>
        <v>5.3783416269660982E-4</v>
      </c>
      <c r="AB55" s="222" cm="1">
        <f t="array" aca="1" ref="AB55" ca="1">'Tablica IO'!AB211*INDEX(Model!$C$93:$CA$93,Model!$A55) + IF(wplyw_cen_import_wlaczony,'Tablica IO'!AB289*INDEX(Model!$C$2:$CA$2,Model!$A55),'Tablica IO'!AB289*1)</f>
        <v>1.5546585433735918E-3</v>
      </c>
      <c r="AC55" s="222" cm="1">
        <f t="array" aca="1" ref="AC55" ca="1">'Tablica IO'!AC211*INDEX(Model!$C$93:$CA$93,Model!$A55) + IF(wplyw_cen_import_wlaczony,'Tablica IO'!AC289*INDEX(Model!$C$2:$CA$2,Model!$A55),'Tablica IO'!AC289*1)</f>
        <v>1.2980075730367312E-3</v>
      </c>
      <c r="AD55" s="222" cm="1">
        <f t="array" aca="1" ref="AD55" ca="1">'Tablica IO'!AD211*INDEX(Model!$C$93:$CA$93,Model!$A55) + IF(wplyw_cen_import_wlaczony,'Tablica IO'!AD289*INDEX(Model!$C$2:$CA$2,Model!$A55),'Tablica IO'!AD289*1)</f>
        <v>1.1356849468435902E-3</v>
      </c>
      <c r="AE55" s="222" cm="1">
        <f t="array" aca="1" ref="AE55" ca="1">'Tablica IO'!AE211*INDEX(Model!$C$93:$CA$93,Model!$A55) + IF(wplyw_cen_import_wlaczony,'Tablica IO'!AE289*INDEX(Model!$C$2:$CA$2,Model!$A55),'Tablica IO'!AE289*1)</f>
        <v>2.2751161554866655E-5</v>
      </c>
      <c r="AF55" s="222" cm="1">
        <f t="array" aca="1" ref="AF55" ca="1">'Tablica IO'!AF211*INDEX(Model!$C$93:$CA$93,Model!$A55) + IF(wplyw_cen_import_wlaczony,'Tablica IO'!AF289*INDEX(Model!$C$2:$CA$2,Model!$A55),'Tablica IO'!AF289*1)</f>
        <v>5.901243559881589E-4</v>
      </c>
      <c r="AG55" s="222" cm="1">
        <f t="array" aca="1" ref="AG55" ca="1">'Tablica IO'!AG211*INDEX(Model!$C$93:$CA$93,Model!$A55) + IF(wplyw_cen_import_wlaczony,'Tablica IO'!AG289*INDEX(Model!$C$2:$CA$2,Model!$A55),'Tablica IO'!AG289*1)</f>
        <v>2.5031265145041039E-3</v>
      </c>
      <c r="AH55" s="222" cm="1">
        <f t="array" aca="1" ref="AH55" ca="1">'Tablica IO'!AH211*INDEX(Model!$C$93:$CA$93,Model!$A55) + IF(wplyw_cen_import_wlaczony,'Tablica IO'!AH289*INDEX(Model!$C$2:$CA$2,Model!$A55),'Tablica IO'!AH289*1)</f>
        <v>2.5651599583355776E-3</v>
      </c>
      <c r="AI55" s="222" cm="1">
        <f t="array" aca="1" ref="AI55" ca="1">'Tablica IO'!AI211*INDEX(Model!$C$93:$CA$93,Model!$A55) + IF(wplyw_cen_import_wlaczony,'Tablica IO'!AI289*INDEX(Model!$C$2:$CA$2,Model!$A55),'Tablica IO'!AI289*1)</f>
        <v>7.2573777179500183E-5</v>
      </c>
      <c r="AJ55" s="222" cm="1">
        <f t="array" aca="1" ref="AJ55" ca="1">'Tablica IO'!AJ211*INDEX(Model!$C$93:$CA$93,Model!$A55) + IF(wplyw_cen_import_wlaczony,'Tablica IO'!AJ289*INDEX(Model!$C$2:$CA$2,Model!$A55),'Tablica IO'!AJ289*1)</f>
        <v>2.2440898767768454E-4</v>
      </c>
      <c r="AK55" s="222" cm="1">
        <f t="array" aca="1" ref="AK55" ca="1">'Tablica IO'!AK211*INDEX(Model!$C$93:$CA$93,Model!$A55) + IF(wplyw_cen_import_wlaczony,'Tablica IO'!AK289*INDEX(Model!$C$2:$CA$2,Model!$A55),'Tablica IO'!AK289*1)</f>
        <v>2.2381743892881958E-4</v>
      </c>
      <c r="AL55" s="222" cm="1">
        <f t="array" aca="1" ref="AL55" ca="1">'Tablica IO'!AL211*INDEX(Model!$C$93:$CA$93,Model!$A55) + IF(wplyw_cen_import_wlaczony,'Tablica IO'!AL289*INDEX(Model!$C$2:$CA$2,Model!$A55),'Tablica IO'!AL289*1)</f>
        <v>2.2679061108308337E-3</v>
      </c>
      <c r="AM55" s="222" cm="1">
        <f t="array" aca="1" ref="AM55" ca="1">'Tablica IO'!AM211*INDEX(Model!$C$93:$CA$93,Model!$A55) + IF(wplyw_cen_import_wlaczony,'Tablica IO'!AM289*INDEX(Model!$C$2:$CA$2,Model!$A55),'Tablica IO'!AM289*1)</f>
        <v>2.0594372051835259E-3</v>
      </c>
      <c r="AN55" s="222" cm="1">
        <f t="array" aca="1" ref="AN55" ca="1">'Tablica IO'!AN211*INDEX(Model!$C$93:$CA$93,Model!$A55) + IF(wplyw_cen_import_wlaczony,'Tablica IO'!AN289*INDEX(Model!$C$2:$CA$2,Model!$A55),'Tablica IO'!AN289*1)</f>
        <v>7.9625784354562883E-4</v>
      </c>
      <c r="AO55" s="222" cm="1">
        <f t="array" aca="1" ref="AO55" ca="1">'Tablica IO'!AO211*INDEX(Model!$C$93:$CA$93,Model!$A55) + IF(wplyw_cen_import_wlaczony,'Tablica IO'!AO289*INDEX(Model!$C$2:$CA$2,Model!$A55),'Tablica IO'!AO289*1)</f>
        <v>2.4278604347550891E-3</v>
      </c>
      <c r="AP55" s="222" cm="1">
        <f t="array" aca="1" ref="AP55" ca="1">'Tablica IO'!AP211*INDEX(Model!$C$93:$CA$93,Model!$A55) + IF(wplyw_cen_import_wlaczony,'Tablica IO'!AP289*INDEX(Model!$C$2:$CA$2,Model!$A55),'Tablica IO'!AP289*1)</f>
        <v>9.2385977034927766E-5</v>
      </c>
      <c r="AQ55" s="222" cm="1">
        <f t="array" aca="1" ref="AQ55" ca="1">'Tablica IO'!AQ211*INDEX(Model!$C$93:$CA$93,Model!$A55) + IF(wplyw_cen_import_wlaczony,'Tablica IO'!AQ289*INDEX(Model!$C$2:$CA$2,Model!$A55),'Tablica IO'!AQ289*1)</f>
        <v>1.9391781680683803E-4</v>
      </c>
      <c r="AR55" s="222" cm="1">
        <f t="array" aca="1" ref="AR55" ca="1">'Tablica IO'!AR211*INDEX(Model!$C$93:$CA$93,Model!$A55) + IF(wplyw_cen_import_wlaczony,'Tablica IO'!AR289*INDEX(Model!$C$2:$CA$2,Model!$A55),'Tablica IO'!AR289*1)</f>
        <v>1.3825574928367885E-3</v>
      </c>
      <c r="AS55" s="222" cm="1">
        <f t="array" aca="1" ref="AS55" ca="1">'Tablica IO'!AS211*INDEX(Model!$C$93:$CA$93,Model!$A55) + IF(wplyw_cen_import_wlaczony,'Tablica IO'!AS289*INDEX(Model!$C$2:$CA$2,Model!$A55),'Tablica IO'!AS289*1)</f>
        <v>3.2253427414667218E-2</v>
      </c>
      <c r="AT55" s="222" cm="1">
        <f t="array" aca="1" ref="AT55" ca="1">'Tablica IO'!AT211*INDEX(Model!$C$93:$CA$93,Model!$A55) + IF(wplyw_cen_import_wlaczony,'Tablica IO'!AT289*INDEX(Model!$C$2:$CA$2,Model!$A55),'Tablica IO'!AT289*1)</f>
        <v>9.1087968602244682E-4</v>
      </c>
      <c r="AU55" s="222" cm="1">
        <f t="array" aca="1" ref="AU55" ca="1">'Tablica IO'!AU211*INDEX(Model!$C$93:$CA$93,Model!$A55) + IF(wplyw_cen_import_wlaczony,'Tablica IO'!AU289*INDEX(Model!$C$2:$CA$2,Model!$A55),'Tablica IO'!AU289*1)</f>
        <v>8.8407293441648106E-5</v>
      </c>
      <c r="AV55" s="222" cm="1">
        <f t="array" aca="1" ref="AV55" ca="1">'Tablica IO'!AV211*INDEX(Model!$C$93:$CA$93,Model!$A55) + IF(wplyw_cen_import_wlaczony,'Tablica IO'!AV289*INDEX(Model!$C$2:$CA$2,Model!$A55),'Tablica IO'!AV289*1)</f>
        <v>5.4933068915999552E-3</v>
      </c>
      <c r="AW55" s="222" cm="1">
        <f t="array" aca="1" ref="AW55" ca="1">'Tablica IO'!AW211*INDEX(Model!$C$93:$CA$93,Model!$A55) + IF(wplyw_cen_import_wlaczony,'Tablica IO'!AW289*INDEX(Model!$C$2:$CA$2,Model!$A55),'Tablica IO'!AW289*1)</f>
        <v>7.1852957208465434E-3</v>
      </c>
      <c r="AX55" s="222" cm="1">
        <f t="array" aca="1" ref="AX55" ca="1">'Tablica IO'!AX211*INDEX(Model!$C$93:$CA$93,Model!$A55) + IF(wplyw_cen_import_wlaczony,'Tablica IO'!AX289*INDEX(Model!$C$2:$CA$2,Model!$A55),'Tablica IO'!AX289*1)</f>
        <v>5.460324654462426E-3</v>
      </c>
      <c r="AY55" s="222" cm="1">
        <f t="array" aca="1" ref="AY55" ca="1">'Tablica IO'!AY211*INDEX(Model!$C$93:$CA$93,Model!$A55) + IF(wplyw_cen_import_wlaczony,'Tablica IO'!AY289*INDEX(Model!$C$2:$CA$2,Model!$A55),'Tablica IO'!AY289*1)</f>
        <v>2.9252917565709483E-3</v>
      </c>
      <c r="AZ55" s="222" cm="1">
        <f t="array" aca="1" ref="AZ55" ca="1">'Tablica IO'!AZ211*INDEX(Model!$C$93:$CA$93,Model!$A55) + IF(wplyw_cen_import_wlaczony,'Tablica IO'!AZ289*INDEX(Model!$C$2:$CA$2,Model!$A55),'Tablica IO'!AZ289*1)</f>
        <v>1.2547459594895475E-2</v>
      </c>
      <c r="BA55" s="222" cm="1">
        <f t="array" aca="1" ref="BA55" ca="1">'Tablica IO'!BA211*INDEX(Model!$C$93:$CA$93,Model!$A55) + IF(wplyw_cen_import_wlaczony,'Tablica IO'!BA289*INDEX(Model!$C$2:$CA$2,Model!$A55),'Tablica IO'!BA289*1)</f>
        <v>4.3523385624892911E-3</v>
      </c>
      <c r="BB55" s="222" cm="1">
        <f t="array" aca="1" ref="BB55" ca="1">'Tablica IO'!BB211*INDEX(Model!$C$93:$CA$93,Model!$A55) + IF(wplyw_cen_import_wlaczony,'Tablica IO'!BB289*INDEX(Model!$C$2:$CA$2,Model!$A55),'Tablica IO'!BB289*1)</f>
        <v>4.4502698510034917E-4</v>
      </c>
      <c r="BC55" s="222" cm="1">
        <f t="array" aca="1" ref="BC55" ca="1">'Tablica IO'!BC211*INDEX(Model!$C$93:$CA$93,Model!$A55) + IF(wplyw_cen_import_wlaczony,'Tablica IO'!BC289*INDEX(Model!$C$2:$CA$2,Model!$A55),'Tablica IO'!BC289*1)</f>
        <v>6.8739550198737695E-4</v>
      </c>
      <c r="BD55" s="222" cm="1">
        <f t="array" aca="1" ref="BD55" ca="1">'Tablica IO'!BD211*INDEX(Model!$C$93:$CA$93,Model!$A55) + IF(wplyw_cen_import_wlaczony,'Tablica IO'!BD289*INDEX(Model!$C$2:$CA$2,Model!$A55),'Tablica IO'!BD289*1)</f>
        <v>1.7029942067289658E-3</v>
      </c>
      <c r="BE55" s="222" cm="1">
        <f t="array" aca="1" ref="BE55" ca="1">'Tablica IO'!BE211*INDEX(Model!$C$93:$CA$93,Model!$A55) + IF(wplyw_cen_import_wlaczony,'Tablica IO'!BE289*INDEX(Model!$C$2:$CA$2,Model!$A55),'Tablica IO'!BE289*1)</f>
        <v>5.2580353448300164E-3</v>
      </c>
      <c r="BF55" s="222" cm="1">
        <f t="array" aca="1" ref="BF55" ca="1">'Tablica IO'!BF211*INDEX(Model!$C$93:$CA$93,Model!$A55) + IF(wplyw_cen_import_wlaczony,'Tablica IO'!BF289*INDEX(Model!$C$2:$CA$2,Model!$A55),'Tablica IO'!BF289*1)</f>
        <v>4.8433596380691724E-3</v>
      </c>
      <c r="BG55" s="222" cm="1">
        <f t="array" aca="1" ref="BG55" ca="1">'Tablica IO'!BG211*INDEX(Model!$C$93:$CA$93,Model!$A55) + IF(wplyw_cen_import_wlaczony,'Tablica IO'!BG289*INDEX(Model!$C$2:$CA$2,Model!$A55),'Tablica IO'!BG289*1)</f>
        <v>8.48686168835012E-3</v>
      </c>
      <c r="BH55" s="222" cm="1">
        <f t="array" aca="1" ref="BH55" ca="1">'Tablica IO'!BH211*INDEX(Model!$C$93:$CA$93,Model!$A55) + IF(wplyw_cen_import_wlaczony,'Tablica IO'!BH289*INDEX(Model!$C$2:$CA$2,Model!$A55),'Tablica IO'!BH289*1)</f>
        <v>2.2035564440283264E-3</v>
      </c>
      <c r="BI55" s="222" cm="1">
        <f t="array" aca="1" ref="BI55" ca="1">'Tablica IO'!BI211*INDEX(Model!$C$93:$CA$93,Model!$A55) + IF(wplyw_cen_import_wlaczony,'Tablica IO'!BI289*INDEX(Model!$C$2:$CA$2,Model!$A55),'Tablica IO'!BI289*1)</f>
        <v>0</v>
      </c>
      <c r="BJ55" s="222" cm="1">
        <f t="array" aca="1" ref="BJ55" ca="1">'Tablica IO'!BJ211*INDEX(Model!$C$93:$CA$93,Model!$A55) + IF(wplyw_cen_import_wlaczony,'Tablica IO'!BJ289*INDEX(Model!$C$2:$CA$2,Model!$A55),'Tablica IO'!BJ289*1)</f>
        <v>4.1711581585163618E-3</v>
      </c>
      <c r="BK55" s="222" cm="1">
        <f t="array" aca="1" ref="BK55" ca="1">'Tablica IO'!BK211*INDEX(Model!$C$93:$CA$93,Model!$A55) + IF(wplyw_cen_import_wlaczony,'Tablica IO'!BK289*INDEX(Model!$C$2:$CA$2,Model!$A55),'Tablica IO'!BK289*1)</f>
        <v>6.8913621360288551E-4</v>
      </c>
      <c r="BL55" s="222" cm="1">
        <f t="array" aca="1" ref="BL55" ca="1">'Tablica IO'!BL211*INDEX(Model!$C$93:$CA$93,Model!$A55) + IF(wplyw_cen_import_wlaczony,'Tablica IO'!BL289*INDEX(Model!$C$2:$CA$2,Model!$A55),'Tablica IO'!BL289*1)</f>
        <v>1.550636024656699E-3</v>
      </c>
      <c r="BM55" s="222" cm="1">
        <f t="array" aca="1" ref="BM55" ca="1">'Tablica IO'!BM211*INDEX(Model!$C$93:$CA$93,Model!$A55) + IF(wplyw_cen_import_wlaczony,'Tablica IO'!BM289*INDEX(Model!$C$2:$CA$2,Model!$A55),'Tablica IO'!BM289*1)</f>
        <v>1.8006799990019691E-4</v>
      </c>
      <c r="BN55" s="222" cm="1">
        <f t="array" aca="1" ref="BN55" ca="1">'Tablica IO'!BN211*INDEX(Model!$C$93:$CA$93,Model!$A55) + IF(wplyw_cen_import_wlaczony,'Tablica IO'!BN289*INDEX(Model!$C$2:$CA$2,Model!$A55),'Tablica IO'!BN289*1)</f>
        <v>1.803914087509949E-4</v>
      </c>
      <c r="BO55" s="222" cm="1">
        <f t="array" aca="1" ref="BO55" ca="1">'Tablica IO'!BO211*INDEX(Model!$C$93:$CA$93,Model!$A55) + IF(wplyw_cen_import_wlaczony,'Tablica IO'!BO289*INDEX(Model!$C$2:$CA$2,Model!$A55),'Tablica IO'!BO289*1)</f>
        <v>2.6498394754782123E-4</v>
      </c>
      <c r="BP55" s="222" cm="1">
        <f t="array" aca="1" ref="BP55" ca="1">'Tablica IO'!BP211*INDEX(Model!$C$93:$CA$93,Model!$A55) + IF(wplyw_cen_import_wlaczony,'Tablica IO'!BP289*INDEX(Model!$C$2:$CA$2,Model!$A55),'Tablica IO'!BP289*1)</f>
        <v>1.4221980999633585E-3</v>
      </c>
      <c r="BQ55" s="222" cm="1">
        <f t="array" aca="1" ref="BQ55" ca="1">'Tablica IO'!BQ211*INDEX(Model!$C$93:$CA$93,Model!$A55) + IF(wplyw_cen_import_wlaczony,'Tablica IO'!BQ289*INDEX(Model!$C$2:$CA$2,Model!$A55),'Tablica IO'!BQ289*1)</f>
        <v>3.5184301171548443E-3</v>
      </c>
      <c r="BR55" s="222" cm="1">
        <f t="array" aca="1" ref="BR55" ca="1">'Tablica IO'!BR211*INDEX(Model!$C$93:$CA$93,Model!$A55) + IF(wplyw_cen_import_wlaczony,'Tablica IO'!BR289*INDEX(Model!$C$2:$CA$2,Model!$A55),'Tablica IO'!BR289*1)</f>
        <v>1.698517238722959E-3</v>
      </c>
      <c r="BS55" s="222" cm="1">
        <f t="array" aca="1" ref="BS55" ca="1">'Tablica IO'!BS211*INDEX(Model!$C$93:$CA$93,Model!$A55) + IF(wplyw_cen_import_wlaczony,'Tablica IO'!BS289*INDEX(Model!$C$2:$CA$2,Model!$A55),'Tablica IO'!BS289*1)</f>
        <v>1.1269463357315808E-4</v>
      </c>
      <c r="BT55" s="222" cm="1">
        <f t="array" aca="1" ref="BT55" ca="1">'Tablica IO'!BT211*INDEX(Model!$C$93:$CA$93,Model!$A55) + IF(wplyw_cen_import_wlaczony,'Tablica IO'!BT289*INDEX(Model!$C$2:$CA$2,Model!$A55),'Tablica IO'!BT289*1)</f>
        <v>3.0623685318741114E-3</v>
      </c>
      <c r="BU55" s="222" cm="1">
        <f t="array" aca="1" ref="BU55" ca="1">'Tablica IO'!BU211*INDEX(Model!$C$93:$CA$93,Model!$A55) + IF(wplyw_cen_import_wlaczony,'Tablica IO'!BU289*INDEX(Model!$C$2:$CA$2,Model!$A55),'Tablica IO'!BU289*1)</f>
        <v>9.0386512143350792E-3</v>
      </c>
      <c r="BV55" s="222" cm="1">
        <f t="array" aca="1" ref="BV55" ca="1">'Tablica IO'!BV211*INDEX(Model!$C$93:$CA$93,Model!$A55) + IF(wplyw_cen_import_wlaczony,'Tablica IO'!BV289*INDEX(Model!$C$2:$CA$2,Model!$A55),'Tablica IO'!BV289*1)</f>
        <v>8.9587745181034223E-5</v>
      </c>
      <c r="BW55" s="222" cm="1">
        <f t="array" aca="1" ref="BW55" ca="1">'Tablica IO'!BW211*INDEX(Model!$C$93:$CA$93,Model!$A55) + IF(wplyw_cen_import_wlaczony,'Tablica IO'!BW289*INDEX(Model!$C$2:$CA$2,Model!$A55),'Tablica IO'!BW289*1)</f>
        <v>1.2662332287448604E-3</v>
      </c>
      <c r="BX55" s="222" cm="1">
        <f t="array" aca="1" ref="BX55" ca="1">'Tablica IO'!BX211*INDEX(Model!$C$93:$CA$93,Model!$A55) + IF(wplyw_cen_import_wlaczony,'Tablica IO'!BX289*INDEX(Model!$C$2:$CA$2,Model!$A55),'Tablica IO'!BX289*1)</f>
        <v>2.8825874069958835E-2</v>
      </c>
      <c r="BY55" s="222" cm="1">
        <f t="array" aca="1" ref="BY55" ca="1">'Tablica IO'!BY211*INDEX(Model!$C$93:$CA$93,Model!$A55) + IF(wplyw_cen_import_wlaczony,'Tablica IO'!BY289*INDEX(Model!$C$2:$CA$2,Model!$A55),'Tablica IO'!BY289*1)</f>
        <v>3.9797216870698656E-6</v>
      </c>
      <c r="BZ55" s="222" cm="1">
        <f t="array" aca="1" ref="BZ55" ca="1">'Tablica IO'!BZ211*INDEX(Model!$C$93:$CA$93,Model!$A55) + IF(wplyw_cen_import_wlaczony,'Tablica IO'!BZ289*INDEX(Model!$C$2:$CA$2,Model!$A55),'Tablica IO'!BZ289*1)</f>
        <v>2.4198855747018066E-3</v>
      </c>
      <c r="CA55" s="222" cm="1">
        <f t="array" aca="1" ref="CA55" ca="1">'Tablica IO'!CA211*INDEX(Model!$C$93:$CA$93,Model!$A55) + IF(wplyw_cen_import_wlaczony,'Tablica IO'!CA289*INDEX(Model!$C$2:$CA$2,Model!$A55),'Tablica IO'!CA289*1)</f>
        <v>0</v>
      </c>
      <c r="CB55" s="247">
        <f ca="1">'Tablica IO'!CD211*INDEX(Model!$C$93:$CA$93,Model!$A55)+'Tablica IO'!CD289*INDEX(Model!$C$2:$CA$2,Model!$A55)</f>
        <v>5.036965829833014E-3</v>
      </c>
      <c r="CC55" s="188">
        <f ca="1">'Tablica IO'!CE211*INDEX(Model!$C$93:$CA$93,Model!$A55)+'Tablica IO'!CE289*INDEX(Model!$C$2:$CA$2,Model!$A55)</f>
        <v>1.9864578830926473E-3</v>
      </c>
      <c r="CD55" s="188">
        <f ca="1">'Tablica IO'!CF211*INDEX(Model!$C$93:$CA$93,Model!$A55)+'Tablica IO'!CF289*INDEX(Model!$C$2:$CA$2,Model!$A55)</f>
        <v>1.0095956678486144E-3</v>
      </c>
      <c r="CE55" s="189">
        <f ca="1">'Tablica IO'!CG211*INDEX(Model!$C$93:$CA$93,Model!$A55)+'Tablica IO'!CG289*INDEX(Model!$C$2:$CA$2,Model!$A55)</f>
        <v>8.0805125559312505E-3</v>
      </c>
    </row>
    <row r="56" spans="1:83" x14ac:dyDescent="0.25">
      <c r="A56" s="164">
        <v>44</v>
      </c>
      <c r="B56" s="172" t="s">
        <v>43</v>
      </c>
      <c r="C56" s="221" cm="1">
        <f t="array" aca="1" ref="C56" ca="1">'Tablica IO'!C212*INDEX(Model!$C$93:$CA$93,Model!$A56) + IF(wplyw_cen_import_wlaczony,'Tablica IO'!C290*INDEX(Model!$C$2:$CA$2,Model!$A56),'Tablica IO'!C290*1)</f>
        <v>9.1265593780904063E-8</v>
      </c>
      <c r="D56" s="222" cm="1">
        <f t="array" aca="1" ref="D56" ca="1">'Tablica IO'!D212*INDEX(Model!$C$93:$CA$93,Model!$A56) + IF(wplyw_cen_import_wlaczony,'Tablica IO'!D290*INDEX(Model!$C$2:$CA$2,Model!$A56),'Tablica IO'!D290*1)</f>
        <v>9.2464839816446434E-6</v>
      </c>
      <c r="E56" s="222" cm="1">
        <f t="array" aca="1" ref="E56" ca="1">'Tablica IO'!E212*INDEX(Model!$C$93:$CA$93,Model!$A56) + IF(wplyw_cen_import_wlaczony,'Tablica IO'!E290*INDEX(Model!$C$2:$CA$2,Model!$A56),'Tablica IO'!E290*1)</f>
        <v>0</v>
      </c>
      <c r="F56" s="222" cm="1">
        <f t="array" aca="1" ref="F56" ca="1">'Tablica IO'!F212*INDEX(Model!$C$93:$CA$93,Model!$A56) + IF(wplyw_cen_import_wlaczony,'Tablica IO'!F290*INDEX(Model!$C$2:$CA$2,Model!$A56),'Tablica IO'!F290*1)</f>
        <v>1.8824458833767002E-6</v>
      </c>
      <c r="G56" s="222" cm="1">
        <f t="array" aca="1" ref="G56" ca="1">'Tablica IO'!G212*INDEX(Model!$C$93:$CA$93,Model!$A56) + IF(wplyw_cen_import_wlaczony,'Tablica IO'!G290*INDEX(Model!$C$2:$CA$2,Model!$A56),'Tablica IO'!G290*1)</f>
        <v>0</v>
      </c>
      <c r="H56" s="222" cm="1">
        <f t="array" aca="1" ref="H56" ca="1">'Tablica IO'!H212*INDEX(Model!$C$93:$CA$93,Model!$A56) + IF(wplyw_cen_import_wlaczony,'Tablica IO'!H290*INDEX(Model!$C$2:$CA$2,Model!$A56),'Tablica IO'!H290*1)</f>
        <v>5.6446221734027387E-4</v>
      </c>
      <c r="I56" s="222" cm="1">
        <f t="array" aca="1" ref="I56" ca="1">'Tablica IO'!I212*INDEX(Model!$C$93:$CA$93,Model!$A56) + IF(wplyw_cen_import_wlaczony,'Tablica IO'!I290*INDEX(Model!$C$2:$CA$2,Model!$A56),'Tablica IO'!I290*1)</f>
        <v>1.443336770875079E-3</v>
      </c>
      <c r="J56" s="222" cm="1">
        <f t="array" aca="1" ref="J56" ca="1">'Tablica IO'!J212*INDEX(Model!$C$93:$CA$93,Model!$A56) + IF(wplyw_cen_import_wlaczony,'Tablica IO'!J290*INDEX(Model!$C$2:$CA$2,Model!$A56),'Tablica IO'!J290*1)</f>
        <v>0</v>
      </c>
      <c r="K56" s="222" cm="1">
        <f t="array" aca="1" ref="K56" ca="1">'Tablica IO'!K212*INDEX(Model!$C$93:$CA$93,Model!$A56) + IF(wplyw_cen_import_wlaczony,'Tablica IO'!K290*INDEX(Model!$C$2:$CA$2,Model!$A56),'Tablica IO'!K290*1)</f>
        <v>0</v>
      </c>
      <c r="L56" s="222" cm="1">
        <f t="array" aca="1" ref="L56" ca="1">'Tablica IO'!L212*INDEX(Model!$C$93:$CA$93,Model!$A56) + IF(wplyw_cen_import_wlaczony,'Tablica IO'!L290*INDEX(Model!$C$2:$CA$2,Model!$A56),'Tablica IO'!L290*1)</f>
        <v>0</v>
      </c>
      <c r="M56" s="222" cm="1">
        <f t="array" aca="1" ref="M56" ca="1">'Tablica IO'!M212*INDEX(Model!$C$93:$CA$93,Model!$A56) + IF(wplyw_cen_import_wlaczony,'Tablica IO'!M290*INDEX(Model!$C$2:$CA$2,Model!$A56),'Tablica IO'!M290*1)</f>
        <v>0</v>
      </c>
      <c r="N56" s="222" cm="1">
        <f t="array" aca="1" ref="N56" ca="1">'Tablica IO'!N212*INDEX(Model!$C$93:$CA$93,Model!$A56) + IF(wplyw_cen_import_wlaczony,'Tablica IO'!N290*INDEX(Model!$C$2:$CA$2,Model!$A56),'Tablica IO'!N290*1)</f>
        <v>1.513473579906195E-5</v>
      </c>
      <c r="O56" s="222" cm="1">
        <f t="array" aca="1" ref="O56" ca="1">'Tablica IO'!O212*INDEX(Model!$C$93:$CA$93,Model!$A56) + IF(wplyw_cen_import_wlaczony,'Tablica IO'!O290*INDEX(Model!$C$2:$CA$2,Model!$A56),'Tablica IO'!O290*1)</f>
        <v>2.6094497586577933E-5</v>
      </c>
      <c r="P56" s="222" cm="1">
        <f t="array" aca="1" ref="P56" ca="1">'Tablica IO'!P212*INDEX(Model!$C$93:$CA$93,Model!$A56) + IF(wplyw_cen_import_wlaczony,'Tablica IO'!P290*INDEX(Model!$C$2:$CA$2,Model!$A56),'Tablica IO'!P290*1)</f>
        <v>2.8180282001259126E-3</v>
      </c>
      <c r="Q56" s="222" cm="1">
        <f t="array" aca="1" ref="Q56" ca="1">'Tablica IO'!Q212*INDEX(Model!$C$93:$CA$93,Model!$A56) + IF(wplyw_cen_import_wlaczony,'Tablica IO'!Q290*INDEX(Model!$C$2:$CA$2,Model!$A56),'Tablica IO'!Q290*1)</f>
        <v>0</v>
      </c>
      <c r="R56" s="222" cm="1">
        <f t="array" aca="1" ref="R56" ca="1">'Tablica IO'!R212*INDEX(Model!$C$93:$CA$93,Model!$A56) + IF(wplyw_cen_import_wlaczony,'Tablica IO'!R290*INDEX(Model!$C$2:$CA$2,Model!$A56),'Tablica IO'!R290*1)</f>
        <v>6.366730223635782E-5</v>
      </c>
      <c r="S56" s="222" cm="1">
        <f t="array" aca="1" ref="S56" ca="1">'Tablica IO'!S212*INDEX(Model!$C$93:$CA$93,Model!$A56) + IF(wplyw_cen_import_wlaczony,'Tablica IO'!S290*INDEX(Model!$C$2:$CA$2,Model!$A56),'Tablica IO'!S290*1)</f>
        <v>1.9983155586352397E-3</v>
      </c>
      <c r="T56" s="222" cm="1">
        <f t="array" aca="1" ref="T56" ca="1">'Tablica IO'!T212*INDEX(Model!$C$93:$CA$93,Model!$A56) + IF(wplyw_cen_import_wlaczony,'Tablica IO'!T290*INDEX(Model!$C$2:$CA$2,Model!$A56),'Tablica IO'!T290*1)</f>
        <v>2.6638845772256699E-5</v>
      </c>
      <c r="U56" s="222" cm="1">
        <f t="array" aca="1" ref="U56" ca="1">'Tablica IO'!U212*INDEX(Model!$C$93:$CA$93,Model!$A56) + IF(wplyw_cen_import_wlaczony,'Tablica IO'!U290*INDEX(Model!$C$2:$CA$2,Model!$A56),'Tablica IO'!U290*1)</f>
        <v>0</v>
      </c>
      <c r="V56" s="222" cm="1">
        <f t="array" aca="1" ref="V56" ca="1">'Tablica IO'!V212*INDEX(Model!$C$93:$CA$93,Model!$A56) + IF(wplyw_cen_import_wlaczony,'Tablica IO'!V290*INDEX(Model!$C$2:$CA$2,Model!$A56),'Tablica IO'!V290*1)</f>
        <v>0</v>
      </c>
      <c r="W56" s="222" cm="1">
        <f t="array" aca="1" ref="W56" ca="1">'Tablica IO'!W212*INDEX(Model!$C$93:$CA$93,Model!$A56) + IF(wplyw_cen_import_wlaczony,'Tablica IO'!W290*INDEX(Model!$C$2:$CA$2,Model!$A56),'Tablica IO'!W290*1)</f>
        <v>7.3224106199155724E-6</v>
      </c>
      <c r="X56" s="222" cm="1">
        <f t="array" aca="1" ref="X56" ca="1">'Tablica IO'!X212*INDEX(Model!$C$93:$CA$93,Model!$A56) + IF(wplyw_cen_import_wlaczony,'Tablica IO'!X290*INDEX(Model!$C$2:$CA$2,Model!$A56),'Tablica IO'!X290*1)</f>
        <v>3.2320319586737036E-6</v>
      </c>
      <c r="Y56" s="222" cm="1">
        <f t="array" aca="1" ref="Y56" ca="1">'Tablica IO'!Y212*INDEX(Model!$C$93:$CA$93,Model!$A56) + IF(wplyw_cen_import_wlaczony,'Tablica IO'!Y290*INDEX(Model!$C$2:$CA$2,Model!$A56),'Tablica IO'!Y290*1)</f>
        <v>0</v>
      </c>
      <c r="Z56" s="222" cm="1">
        <f t="array" aca="1" ref="Z56" ca="1">'Tablica IO'!Z212*INDEX(Model!$C$93:$CA$93,Model!$A56) + IF(wplyw_cen_import_wlaczony,'Tablica IO'!Z290*INDEX(Model!$C$2:$CA$2,Model!$A56),'Tablica IO'!Z290*1)</f>
        <v>2.3328362262216362E-6</v>
      </c>
      <c r="AA56" s="222" cm="1">
        <f t="array" aca="1" ref="AA56" ca="1">'Tablica IO'!AA212*INDEX(Model!$C$93:$CA$93,Model!$A56) + IF(wplyw_cen_import_wlaczony,'Tablica IO'!AA290*INDEX(Model!$C$2:$CA$2,Model!$A56),'Tablica IO'!AA290*1)</f>
        <v>1.0528989520171339E-6</v>
      </c>
      <c r="AB56" s="222" cm="1">
        <f t="array" aca="1" ref="AB56" ca="1">'Tablica IO'!AB212*INDEX(Model!$C$93:$CA$93,Model!$A56) + IF(wplyw_cen_import_wlaczony,'Tablica IO'!AB290*INDEX(Model!$C$2:$CA$2,Model!$A56),'Tablica IO'!AB290*1)</f>
        <v>0</v>
      </c>
      <c r="AC56" s="222" cm="1">
        <f t="array" aca="1" ref="AC56" ca="1">'Tablica IO'!AC212*INDEX(Model!$C$93:$CA$93,Model!$A56) + IF(wplyw_cen_import_wlaczony,'Tablica IO'!AC290*INDEX(Model!$C$2:$CA$2,Model!$A56),'Tablica IO'!AC290*1)</f>
        <v>3.4665265404093933E-5</v>
      </c>
      <c r="AD56" s="222" cm="1">
        <f t="array" aca="1" ref="AD56" ca="1">'Tablica IO'!AD212*INDEX(Model!$C$93:$CA$93,Model!$A56) + IF(wplyw_cen_import_wlaczony,'Tablica IO'!AD290*INDEX(Model!$C$2:$CA$2,Model!$A56),'Tablica IO'!AD290*1)</f>
        <v>8.7778618371071706E-6</v>
      </c>
      <c r="AE56" s="222" cm="1">
        <f t="array" aca="1" ref="AE56" ca="1">'Tablica IO'!AE212*INDEX(Model!$C$93:$CA$93,Model!$A56) + IF(wplyw_cen_import_wlaczony,'Tablica IO'!AE290*INDEX(Model!$C$2:$CA$2,Model!$A56),'Tablica IO'!AE290*1)</f>
        <v>3.1805288294803982E-7</v>
      </c>
      <c r="AF56" s="222" cm="1">
        <f t="array" aca="1" ref="AF56" ca="1">'Tablica IO'!AF212*INDEX(Model!$C$93:$CA$93,Model!$A56) + IF(wplyw_cen_import_wlaczony,'Tablica IO'!AF290*INDEX(Model!$C$2:$CA$2,Model!$A56),'Tablica IO'!AF290*1)</f>
        <v>0</v>
      </c>
      <c r="AG56" s="222" cm="1">
        <f t="array" aca="1" ref="AG56" ca="1">'Tablica IO'!AG212*INDEX(Model!$C$93:$CA$93,Model!$A56) + IF(wplyw_cen_import_wlaczony,'Tablica IO'!AG290*INDEX(Model!$C$2:$CA$2,Model!$A56),'Tablica IO'!AG290*1)</f>
        <v>0</v>
      </c>
      <c r="AH56" s="222" cm="1">
        <f t="array" aca="1" ref="AH56" ca="1">'Tablica IO'!AH212*INDEX(Model!$C$93:$CA$93,Model!$A56) + IF(wplyw_cen_import_wlaczony,'Tablica IO'!AH290*INDEX(Model!$C$2:$CA$2,Model!$A56),'Tablica IO'!AH290*1)</f>
        <v>6.9704684514032999E-6</v>
      </c>
      <c r="AI56" s="222" cm="1">
        <f t="array" aca="1" ref="AI56" ca="1">'Tablica IO'!AI212*INDEX(Model!$C$93:$CA$93,Model!$A56) + IF(wplyw_cen_import_wlaczony,'Tablica IO'!AI290*INDEX(Model!$C$2:$CA$2,Model!$A56),'Tablica IO'!AI290*1)</f>
        <v>0</v>
      </c>
      <c r="AJ56" s="222" cm="1">
        <f t="array" aca="1" ref="AJ56" ca="1">'Tablica IO'!AJ212*INDEX(Model!$C$93:$CA$93,Model!$A56) + IF(wplyw_cen_import_wlaczony,'Tablica IO'!AJ290*INDEX(Model!$C$2:$CA$2,Model!$A56),'Tablica IO'!AJ290*1)</f>
        <v>0</v>
      </c>
      <c r="AK56" s="222" cm="1">
        <f t="array" aca="1" ref="AK56" ca="1">'Tablica IO'!AK212*INDEX(Model!$C$93:$CA$93,Model!$A56) + IF(wplyw_cen_import_wlaczony,'Tablica IO'!AK290*INDEX(Model!$C$2:$CA$2,Model!$A56),'Tablica IO'!AK290*1)</f>
        <v>2.6048990614808249E-4</v>
      </c>
      <c r="AL56" s="222" cm="1">
        <f t="array" aca="1" ref="AL56" ca="1">'Tablica IO'!AL212*INDEX(Model!$C$93:$CA$93,Model!$A56) + IF(wplyw_cen_import_wlaczony,'Tablica IO'!AL290*INDEX(Model!$C$2:$CA$2,Model!$A56),'Tablica IO'!AL290*1)</f>
        <v>4.2356175541388046E-4</v>
      </c>
      <c r="AM56" s="222" cm="1">
        <f t="array" aca="1" ref="AM56" ca="1">'Tablica IO'!AM212*INDEX(Model!$C$93:$CA$93,Model!$A56) + IF(wplyw_cen_import_wlaczony,'Tablica IO'!AM290*INDEX(Model!$C$2:$CA$2,Model!$A56),'Tablica IO'!AM290*1)</f>
        <v>1.7268427444681906E-3</v>
      </c>
      <c r="AN56" s="222" cm="1">
        <f t="array" aca="1" ref="AN56" ca="1">'Tablica IO'!AN212*INDEX(Model!$C$93:$CA$93,Model!$A56) + IF(wplyw_cen_import_wlaczony,'Tablica IO'!AN290*INDEX(Model!$C$2:$CA$2,Model!$A56),'Tablica IO'!AN290*1)</f>
        <v>1.621130461751223E-6</v>
      </c>
      <c r="AO56" s="222" cm="1">
        <f t="array" aca="1" ref="AO56" ca="1">'Tablica IO'!AO212*INDEX(Model!$C$93:$CA$93,Model!$A56) + IF(wplyw_cen_import_wlaczony,'Tablica IO'!AO290*INDEX(Model!$C$2:$CA$2,Model!$A56),'Tablica IO'!AO290*1)</f>
        <v>0</v>
      </c>
      <c r="AP56" s="222" cm="1">
        <f t="array" aca="1" ref="AP56" ca="1">'Tablica IO'!AP212*INDEX(Model!$C$93:$CA$93,Model!$A56) + IF(wplyw_cen_import_wlaczony,'Tablica IO'!AP290*INDEX(Model!$C$2:$CA$2,Model!$A56),'Tablica IO'!AP290*1)</f>
        <v>4.8412695834436034E-5</v>
      </c>
      <c r="AQ56" s="222" cm="1">
        <f t="array" aca="1" ref="AQ56" ca="1">'Tablica IO'!AQ212*INDEX(Model!$C$93:$CA$93,Model!$A56) + IF(wplyw_cen_import_wlaczony,'Tablica IO'!AQ290*INDEX(Model!$C$2:$CA$2,Model!$A56),'Tablica IO'!AQ290*1)</f>
        <v>1.6785639050318315E-4</v>
      </c>
      <c r="AR56" s="222" cm="1">
        <f t="array" aca="1" ref="AR56" ca="1">'Tablica IO'!AR212*INDEX(Model!$C$93:$CA$93,Model!$A56) + IF(wplyw_cen_import_wlaczony,'Tablica IO'!AR290*INDEX(Model!$C$2:$CA$2,Model!$A56),'Tablica IO'!AR290*1)</f>
        <v>2.0343470804444196E-4</v>
      </c>
      <c r="AS56" s="222" cm="1">
        <f t="array" aca="1" ref="AS56" ca="1">'Tablica IO'!AS212*INDEX(Model!$C$93:$CA$93,Model!$A56) + IF(wplyw_cen_import_wlaczony,'Tablica IO'!AS290*INDEX(Model!$C$2:$CA$2,Model!$A56),'Tablica IO'!AS290*1)</f>
        <v>8.3954337222554964E-4</v>
      </c>
      <c r="AT56" s="222" cm="1">
        <f t="array" aca="1" ref="AT56" ca="1">'Tablica IO'!AT212*INDEX(Model!$C$93:$CA$93,Model!$A56) + IF(wplyw_cen_import_wlaczony,'Tablica IO'!AT290*INDEX(Model!$C$2:$CA$2,Model!$A56),'Tablica IO'!AT290*1)</f>
        <v>5.279240680549218E-2</v>
      </c>
      <c r="AU56" s="222" cm="1">
        <f t="array" aca="1" ref="AU56" ca="1">'Tablica IO'!AU212*INDEX(Model!$C$93:$CA$93,Model!$A56) + IF(wplyw_cen_import_wlaczony,'Tablica IO'!AU290*INDEX(Model!$C$2:$CA$2,Model!$A56),'Tablica IO'!AU290*1)</f>
        <v>9.112841559009266E-2</v>
      </c>
      <c r="AV56" s="222" cm="1">
        <f t="array" aca="1" ref="AV56" ca="1">'Tablica IO'!AV212*INDEX(Model!$C$93:$CA$93,Model!$A56) + IF(wplyw_cen_import_wlaczony,'Tablica IO'!AV290*INDEX(Model!$C$2:$CA$2,Model!$A56),'Tablica IO'!AV290*1)</f>
        <v>6.540536911115691E-5</v>
      </c>
      <c r="AW56" s="222" cm="1">
        <f t="array" aca="1" ref="AW56" ca="1">'Tablica IO'!AW212*INDEX(Model!$C$93:$CA$93,Model!$A56) + IF(wplyw_cen_import_wlaczony,'Tablica IO'!AW290*INDEX(Model!$C$2:$CA$2,Model!$A56),'Tablica IO'!AW290*1)</f>
        <v>2.0031546954919934E-4</v>
      </c>
      <c r="AX56" s="222" cm="1">
        <f t="array" aca="1" ref="AX56" ca="1">'Tablica IO'!AX212*INDEX(Model!$C$93:$CA$93,Model!$A56) + IF(wplyw_cen_import_wlaczony,'Tablica IO'!AX290*INDEX(Model!$C$2:$CA$2,Model!$A56),'Tablica IO'!AX290*1)</f>
        <v>7.7780699396661965E-4</v>
      </c>
      <c r="AY56" s="222" cm="1">
        <f t="array" aca="1" ref="AY56" ca="1">'Tablica IO'!AY212*INDEX(Model!$C$93:$CA$93,Model!$A56) + IF(wplyw_cen_import_wlaczony,'Tablica IO'!AY290*INDEX(Model!$C$2:$CA$2,Model!$A56),'Tablica IO'!AY290*1)</f>
        <v>0</v>
      </c>
      <c r="AZ56" s="222" cm="1">
        <f t="array" aca="1" ref="AZ56" ca="1">'Tablica IO'!AZ212*INDEX(Model!$C$93:$CA$93,Model!$A56) + IF(wplyw_cen_import_wlaczony,'Tablica IO'!AZ290*INDEX(Model!$C$2:$CA$2,Model!$A56),'Tablica IO'!AZ290*1)</f>
        <v>0</v>
      </c>
      <c r="BA56" s="222" cm="1">
        <f t="array" aca="1" ref="BA56" ca="1">'Tablica IO'!BA212*INDEX(Model!$C$93:$CA$93,Model!$A56) + IF(wplyw_cen_import_wlaczony,'Tablica IO'!BA290*INDEX(Model!$C$2:$CA$2,Model!$A56),'Tablica IO'!BA290*1)</f>
        <v>0</v>
      </c>
      <c r="BB56" s="222" cm="1">
        <f t="array" aca="1" ref="BB56" ca="1">'Tablica IO'!BB212*INDEX(Model!$C$93:$CA$93,Model!$A56) + IF(wplyw_cen_import_wlaczony,'Tablica IO'!BB290*INDEX(Model!$C$2:$CA$2,Model!$A56),'Tablica IO'!BB290*1)</f>
        <v>8.1278485438124489E-5</v>
      </c>
      <c r="BC56" s="222" cm="1">
        <f t="array" aca="1" ref="BC56" ca="1">'Tablica IO'!BC212*INDEX(Model!$C$93:$CA$93,Model!$A56) + IF(wplyw_cen_import_wlaczony,'Tablica IO'!BC290*INDEX(Model!$C$2:$CA$2,Model!$A56),'Tablica IO'!BC290*1)</f>
        <v>4.0932281427220199E-5</v>
      </c>
      <c r="BD56" s="222" cm="1">
        <f t="array" aca="1" ref="BD56" ca="1">'Tablica IO'!BD212*INDEX(Model!$C$93:$CA$93,Model!$A56) + IF(wplyw_cen_import_wlaczony,'Tablica IO'!BD290*INDEX(Model!$C$2:$CA$2,Model!$A56),'Tablica IO'!BD290*1)</f>
        <v>4.7984266235687693E-3</v>
      </c>
      <c r="BE56" s="222" cm="1">
        <f t="array" aca="1" ref="BE56" ca="1">'Tablica IO'!BE212*INDEX(Model!$C$93:$CA$93,Model!$A56) + IF(wplyw_cen_import_wlaczony,'Tablica IO'!BE290*INDEX(Model!$C$2:$CA$2,Model!$A56),'Tablica IO'!BE290*1)</f>
        <v>6.9658006821812947E-6</v>
      </c>
      <c r="BF56" s="222" cm="1">
        <f t="array" aca="1" ref="BF56" ca="1">'Tablica IO'!BF212*INDEX(Model!$C$93:$CA$93,Model!$A56) + IF(wplyw_cen_import_wlaczony,'Tablica IO'!BF290*INDEX(Model!$C$2:$CA$2,Model!$A56),'Tablica IO'!BF290*1)</f>
        <v>9.198237831235858E-6</v>
      </c>
      <c r="BG56" s="222" cm="1">
        <f t="array" aca="1" ref="BG56" ca="1">'Tablica IO'!BG212*INDEX(Model!$C$93:$CA$93,Model!$A56) + IF(wplyw_cen_import_wlaczony,'Tablica IO'!BG290*INDEX(Model!$C$2:$CA$2,Model!$A56),'Tablica IO'!BG290*1)</f>
        <v>4.6013551875772243E-3</v>
      </c>
      <c r="BH56" s="222" cm="1">
        <f t="array" aca="1" ref="BH56" ca="1">'Tablica IO'!BH212*INDEX(Model!$C$93:$CA$93,Model!$A56) + IF(wplyw_cen_import_wlaczony,'Tablica IO'!BH290*INDEX(Model!$C$2:$CA$2,Model!$A56),'Tablica IO'!BH290*1)</f>
        <v>7.6017098074155558E-4</v>
      </c>
      <c r="BI56" s="222" cm="1">
        <f t="array" aca="1" ref="BI56" ca="1">'Tablica IO'!BI212*INDEX(Model!$C$93:$CA$93,Model!$A56) + IF(wplyw_cen_import_wlaczony,'Tablica IO'!BI290*INDEX(Model!$C$2:$CA$2,Model!$A56),'Tablica IO'!BI290*1)</f>
        <v>0</v>
      </c>
      <c r="BJ56" s="222" cm="1">
        <f t="array" aca="1" ref="BJ56" ca="1">'Tablica IO'!BJ212*INDEX(Model!$C$93:$CA$93,Model!$A56) + IF(wplyw_cen_import_wlaczony,'Tablica IO'!BJ290*INDEX(Model!$C$2:$CA$2,Model!$A56),'Tablica IO'!BJ290*1)</f>
        <v>0</v>
      </c>
      <c r="BK56" s="222" cm="1">
        <f t="array" aca="1" ref="BK56" ca="1">'Tablica IO'!BK212*INDEX(Model!$C$93:$CA$93,Model!$A56) + IF(wplyw_cen_import_wlaczony,'Tablica IO'!BK290*INDEX(Model!$C$2:$CA$2,Model!$A56),'Tablica IO'!BK290*1)</f>
        <v>0</v>
      </c>
      <c r="BL56" s="222" cm="1">
        <f t="array" aca="1" ref="BL56" ca="1">'Tablica IO'!BL212*INDEX(Model!$C$93:$CA$93,Model!$A56) + IF(wplyw_cen_import_wlaczony,'Tablica IO'!BL290*INDEX(Model!$C$2:$CA$2,Model!$A56),'Tablica IO'!BL290*1)</f>
        <v>8.8334058555273946E-6</v>
      </c>
      <c r="BM56" s="222" cm="1">
        <f t="array" aca="1" ref="BM56" ca="1">'Tablica IO'!BM212*INDEX(Model!$C$93:$CA$93,Model!$A56) + IF(wplyw_cen_import_wlaczony,'Tablica IO'!BM290*INDEX(Model!$C$2:$CA$2,Model!$A56),'Tablica IO'!BM290*1)</f>
        <v>0</v>
      </c>
      <c r="BN56" s="222" cm="1">
        <f t="array" aca="1" ref="BN56" ca="1">'Tablica IO'!BN212*INDEX(Model!$C$93:$CA$93,Model!$A56) + IF(wplyw_cen_import_wlaczony,'Tablica IO'!BN290*INDEX(Model!$C$2:$CA$2,Model!$A56),'Tablica IO'!BN290*1)</f>
        <v>0</v>
      </c>
      <c r="BO56" s="222" cm="1">
        <f t="array" aca="1" ref="BO56" ca="1">'Tablica IO'!BO212*INDEX(Model!$C$93:$CA$93,Model!$A56) + IF(wplyw_cen_import_wlaczony,'Tablica IO'!BO290*INDEX(Model!$C$2:$CA$2,Model!$A56),'Tablica IO'!BO290*1)</f>
        <v>2.5190261465667735E-5</v>
      </c>
      <c r="BP56" s="222" cm="1">
        <f t="array" aca="1" ref="BP56" ca="1">'Tablica IO'!BP212*INDEX(Model!$C$93:$CA$93,Model!$A56) + IF(wplyw_cen_import_wlaczony,'Tablica IO'!BP290*INDEX(Model!$C$2:$CA$2,Model!$A56),'Tablica IO'!BP290*1)</f>
        <v>9.6686368554997734E-5</v>
      </c>
      <c r="BQ56" s="222" cm="1">
        <f t="array" aca="1" ref="BQ56" ca="1">'Tablica IO'!BQ212*INDEX(Model!$C$93:$CA$93,Model!$A56) + IF(wplyw_cen_import_wlaczony,'Tablica IO'!BQ290*INDEX(Model!$C$2:$CA$2,Model!$A56),'Tablica IO'!BQ290*1)</f>
        <v>9.9866477133670853E-5</v>
      </c>
      <c r="BR56" s="222" cm="1">
        <f t="array" aca="1" ref="BR56" ca="1">'Tablica IO'!BR212*INDEX(Model!$C$93:$CA$93,Model!$A56) + IF(wplyw_cen_import_wlaczony,'Tablica IO'!BR290*INDEX(Model!$C$2:$CA$2,Model!$A56),'Tablica IO'!BR290*1)</f>
        <v>8.6828437232349152E-5</v>
      </c>
      <c r="BS56" s="222" cm="1">
        <f t="array" aca="1" ref="BS56" ca="1">'Tablica IO'!BS212*INDEX(Model!$C$93:$CA$93,Model!$A56) + IF(wplyw_cen_import_wlaczony,'Tablica IO'!BS290*INDEX(Model!$C$2:$CA$2,Model!$A56),'Tablica IO'!BS290*1)</f>
        <v>0</v>
      </c>
      <c r="BT56" s="222" cm="1">
        <f t="array" aca="1" ref="BT56" ca="1">'Tablica IO'!BT212*INDEX(Model!$C$93:$CA$93,Model!$A56) + IF(wplyw_cen_import_wlaczony,'Tablica IO'!BT290*INDEX(Model!$C$2:$CA$2,Model!$A56),'Tablica IO'!BT290*1)</f>
        <v>8.1652306470039737E-3</v>
      </c>
      <c r="BU56" s="222" cm="1">
        <f t="array" aca="1" ref="BU56" ca="1">'Tablica IO'!BU212*INDEX(Model!$C$93:$CA$93,Model!$A56) + IF(wplyw_cen_import_wlaczony,'Tablica IO'!BU290*INDEX(Model!$C$2:$CA$2,Model!$A56),'Tablica IO'!BU290*1)</f>
        <v>4.0418375632013154E-4</v>
      </c>
      <c r="BV56" s="222" cm="1">
        <f t="array" aca="1" ref="BV56" ca="1">'Tablica IO'!BV212*INDEX(Model!$C$93:$CA$93,Model!$A56) + IF(wplyw_cen_import_wlaczony,'Tablica IO'!BV290*INDEX(Model!$C$2:$CA$2,Model!$A56),'Tablica IO'!BV290*1)</f>
        <v>1.7462723153756745E-3</v>
      </c>
      <c r="BW56" s="222" cm="1">
        <f t="array" aca="1" ref="BW56" ca="1">'Tablica IO'!BW212*INDEX(Model!$C$93:$CA$93,Model!$A56) + IF(wplyw_cen_import_wlaczony,'Tablica IO'!BW290*INDEX(Model!$C$2:$CA$2,Model!$A56),'Tablica IO'!BW290*1)</f>
        <v>1.2060630291512559E-4</v>
      </c>
      <c r="BX56" s="222" cm="1">
        <f t="array" aca="1" ref="BX56" ca="1">'Tablica IO'!BX212*INDEX(Model!$C$93:$CA$93,Model!$A56) + IF(wplyw_cen_import_wlaczony,'Tablica IO'!BX290*INDEX(Model!$C$2:$CA$2,Model!$A56),'Tablica IO'!BX290*1)</f>
        <v>1.5076917332232916E-5</v>
      </c>
      <c r="BY56" s="222" cm="1">
        <f t="array" aca="1" ref="BY56" ca="1">'Tablica IO'!BY212*INDEX(Model!$C$93:$CA$93,Model!$A56) + IF(wplyw_cen_import_wlaczony,'Tablica IO'!BY290*INDEX(Model!$C$2:$CA$2,Model!$A56),'Tablica IO'!BY290*1)</f>
        <v>0</v>
      </c>
      <c r="BZ56" s="222" cm="1">
        <f t="array" aca="1" ref="BZ56" ca="1">'Tablica IO'!BZ212*INDEX(Model!$C$93:$CA$93,Model!$A56) + IF(wplyw_cen_import_wlaczony,'Tablica IO'!BZ290*INDEX(Model!$C$2:$CA$2,Model!$A56),'Tablica IO'!BZ290*1)</f>
        <v>3.334435870645279E-4</v>
      </c>
      <c r="CA56" s="222" cm="1">
        <f t="array" aca="1" ref="CA56" ca="1">'Tablica IO'!CA212*INDEX(Model!$C$93:$CA$93,Model!$A56) + IF(wplyw_cen_import_wlaczony,'Tablica IO'!CA290*INDEX(Model!$C$2:$CA$2,Model!$A56),'Tablica IO'!CA290*1)</f>
        <v>0</v>
      </c>
      <c r="CB56" s="247">
        <f ca="1">'Tablica IO'!CD212*INDEX(Model!$C$93:$CA$93,Model!$A56)+'Tablica IO'!CD290*INDEX(Model!$C$2:$CA$2,Model!$A56)</f>
        <v>4.2854316271125226E-3</v>
      </c>
      <c r="CC56" s="188">
        <f ca="1">'Tablica IO'!CE212*INDEX(Model!$C$93:$CA$93,Model!$A56)+'Tablica IO'!CE290*INDEX(Model!$C$2:$CA$2,Model!$A56)</f>
        <v>0</v>
      </c>
      <c r="CD56" s="188">
        <f ca="1">'Tablica IO'!CF212*INDEX(Model!$C$93:$CA$93,Model!$A56)+'Tablica IO'!CF290*INDEX(Model!$C$2:$CA$2,Model!$A56)</f>
        <v>9.7133838331736654E-4</v>
      </c>
      <c r="CE56" s="189">
        <f ca="1">'Tablica IO'!CG212*INDEX(Model!$C$93:$CA$93,Model!$A56)+'Tablica IO'!CG290*INDEX(Model!$C$2:$CA$2,Model!$A56)</f>
        <v>3.6912646983372176E-3</v>
      </c>
    </row>
    <row r="57" spans="1:83" x14ac:dyDescent="0.25">
      <c r="A57" s="164">
        <v>45</v>
      </c>
      <c r="B57" s="172" t="s">
        <v>44</v>
      </c>
      <c r="C57" s="221" cm="1">
        <f t="array" aca="1" ref="C57" ca="1">'Tablica IO'!C213*INDEX(Model!$C$93:$CA$93,Model!$A57) + IF(wplyw_cen_import_wlaczony,'Tablica IO'!C291*INDEX(Model!$C$2:$CA$2,Model!$A57),'Tablica IO'!C291*1)</f>
        <v>2.5812253169502079E-5</v>
      </c>
      <c r="D57" s="222" cm="1">
        <f t="array" aca="1" ref="D57" ca="1">'Tablica IO'!D213*INDEX(Model!$C$93:$CA$93,Model!$A57) + IF(wplyw_cen_import_wlaczony,'Tablica IO'!D291*INDEX(Model!$C$2:$CA$2,Model!$A57),'Tablica IO'!D291*1)</f>
        <v>4.0807410570019596E-5</v>
      </c>
      <c r="E57" s="222" cm="1">
        <f t="array" aca="1" ref="E57" ca="1">'Tablica IO'!E213*INDEX(Model!$C$93:$CA$93,Model!$A57) + IF(wplyw_cen_import_wlaczony,'Tablica IO'!E291*INDEX(Model!$C$2:$CA$2,Model!$A57),'Tablica IO'!E291*1)</f>
        <v>9.5643116417199156E-6</v>
      </c>
      <c r="F57" s="222" cm="1">
        <f t="array" aca="1" ref="F57" ca="1">'Tablica IO'!F213*INDEX(Model!$C$93:$CA$93,Model!$A57) + IF(wplyw_cen_import_wlaczony,'Tablica IO'!F291*INDEX(Model!$C$2:$CA$2,Model!$A57),'Tablica IO'!F291*1)</f>
        <v>3.5769047090419734E-4</v>
      </c>
      <c r="G57" s="222" cm="1">
        <f t="array" aca="1" ref="G57" ca="1">'Tablica IO'!G213*INDEX(Model!$C$93:$CA$93,Model!$A57) + IF(wplyw_cen_import_wlaczony,'Tablica IO'!G291*INDEX(Model!$C$2:$CA$2,Model!$A57),'Tablica IO'!G291*1)</f>
        <v>3.2653247772551706E-4</v>
      </c>
      <c r="H57" s="222" cm="1">
        <f t="array" aca="1" ref="H57" ca="1">'Tablica IO'!H213*INDEX(Model!$C$93:$CA$93,Model!$A57) + IF(wplyw_cen_import_wlaczony,'Tablica IO'!H291*INDEX(Model!$C$2:$CA$2,Model!$A57),'Tablica IO'!H291*1)</f>
        <v>5.4667142033004571E-4</v>
      </c>
      <c r="I57" s="222" cm="1">
        <f t="array" aca="1" ref="I57" ca="1">'Tablica IO'!I213*INDEX(Model!$C$93:$CA$93,Model!$A57) + IF(wplyw_cen_import_wlaczony,'Tablica IO'!I291*INDEX(Model!$C$2:$CA$2,Model!$A57),'Tablica IO'!I291*1)</f>
        <v>8.2439710912777744E-5</v>
      </c>
      <c r="J57" s="222" cm="1">
        <f t="array" aca="1" ref="J57" ca="1">'Tablica IO'!J213*INDEX(Model!$C$93:$CA$93,Model!$A57) + IF(wplyw_cen_import_wlaczony,'Tablica IO'!J291*INDEX(Model!$C$2:$CA$2,Model!$A57),'Tablica IO'!J291*1)</f>
        <v>2.4481188720289676E-4</v>
      </c>
      <c r="K57" s="222" cm="1">
        <f t="array" aca="1" ref="K57" ca="1">'Tablica IO'!K213*INDEX(Model!$C$93:$CA$93,Model!$A57) + IF(wplyw_cen_import_wlaczony,'Tablica IO'!K291*INDEX(Model!$C$2:$CA$2,Model!$A57),'Tablica IO'!K291*1)</f>
        <v>1.4703924645605607E-4</v>
      </c>
      <c r="L57" s="222" cm="1">
        <f t="array" aca="1" ref="L57" ca="1">'Tablica IO'!L213*INDEX(Model!$C$93:$CA$93,Model!$A57) + IF(wplyw_cen_import_wlaczony,'Tablica IO'!L291*INDEX(Model!$C$2:$CA$2,Model!$A57),'Tablica IO'!L291*1)</f>
        <v>2.942509130307083E-4</v>
      </c>
      <c r="M57" s="222" cm="1">
        <f t="array" aca="1" ref="M57" ca="1">'Tablica IO'!M213*INDEX(Model!$C$93:$CA$93,Model!$A57) + IF(wplyw_cen_import_wlaczony,'Tablica IO'!M291*INDEX(Model!$C$2:$CA$2,Model!$A57),'Tablica IO'!M291*1)</f>
        <v>1.0746929319963915E-4</v>
      </c>
      <c r="N57" s="222" cm="1">
        <f t="array" aca="1" ref="N57" ca="1">'Tablica IO'!N213*INDEX(Model!$C$93:$CA$93,Model!$A57) + IF(wplyw_cen_import_wlaczony,'Tablica IO'!N291*INDEX(Model!$C$2:$CA$2,Model!$A57),'Tablica IO'!N291*1)</f>
        <v>5.7130918290515531E-5</v>
      </c>
      <c r="O57" s="222" cm="1">
        <f t="array" aca="1" ref="O57" ca="1">'Tablica IO'!O213*INDEX(Model!$C$93:$CA$93,Model!$A57) + IF(wplyw_cen_import_wlaczony,'Tablica IO'!O291*INDEX(Model!$C$2:$CA$2,Model!$A57),'Tablica IO'!O291*1)</f>
        <v>2.566247515063813E-5</v>
      </c>
      <c r="P57" s="222" cm="1">
        <f t="array" aca="1" ref="P57" ca="1">'Tablica IO'!P213*INDEX(Model!$C$93:$CA$93,Model!$A57) + IF(wplyw_cen_import_wlaczony,'Tablica IO'!P291*INDEX(Model!$C$2:$CA$2,Model!$A57),'Tablica IO'!P291*1)</f>
        <v>4.9442563310507157E-4</v>
      </c>
      <c r="Q57" s="222" cm="1">
        <f t="array" aca="1" ref="Q57" ca="1">'Tablica IO'!Q213*INDEX(Model!$C$93:$CA$93,Model!$A57) + IF(wplyw_cen_import_wlaczony,'Tablica IO'!Q291*INDEX(Model!$C$2:$CA$2,Model!$A57),'Tablica IO'!Q291*1)</f>
        <v>1.2716118383156317E-5</v>
      </c>
      <c r="R57" s="222" cm="1">
        <f t="array" aca="1" ref="R57" ca="1">'Tablica IO'!R213*INDEX(Model!$C$93:$CA$93,Model!$A57) + IF(wplyw_cen_import_wlaczony,'Tablica IO'!R291*INDEX(Model!$C$2:$CA$2,Model!$A57),'Tablica IO'!R291*1)</f>
        <v>2.7686322727610152E-3</v>
      </c>
      <c r="S57" s="222" cm="1">
        <f t="array" aca="1" ref="S57" ca="1">'Tablica IO'!S213*INDEX(Model!$C$93:$CA$93,Model!$A57) + IF(wplyw_cen_import_wlaczony,'Tablica IO'!S291*INDEX(Model!$C$2:$CA$2,Model!$A57),'Tablica IO'!S291*1)</f>
        <v>2.0755634737061889E-2</v>
      </c>
      <c r="T57" s="222" cm="1">
        <f t="array" aca="1" ref="T57" ca="1">'Tablica IO'!T213*INDEX(Model!$C$93:$CA$93,Model!$A57) + IF(wplyw_cen_import_wlaczony,'Tablica IO'!T291*INDEX(Model!$C$2:$CA$2,Model!$A57),'Tablica IO'!T291*1)</f>
        <v>1.4301043815858198E-4</v>
      </c>
      <c r="U57" s="222" cm="1">
        <f t="array" aca="1" ref="U57" ca="1">'Tablica IO'!U213*INDEX(Model!$C$93:$CA$93,Model!$A57) + IF(wplyw_cen_import_wlaczony,'Tablica IO'!U291*INDEX(Model!$C$2:$CA$2,Model!$A57),'Tablica IO'!U291*1)</f>
        <v>1.5073593506590485E-4</v>
      </c>
      <c r="V57" s="222" cm="1">
        <f t="array" aca="1" ref="V57" ca="1">'Tablica IO'!V213*INDEX(Model!$C$93:$CA$93,Model!$A57) + IF(wplyw_cen_import_wlaczony,'Tablica IO'!V291*INDEX(Model!$C$2:$CA$2,Model!$A57),'Tablica IO'!V291*1)</f>
        <v>3.0698252130478093E-5</v>
      </c>
      <c r="W57" s="222" cm="1">
        <f t="array" aca="1" ref="W57" ca="1">'Tablica IO'!W213*INDEX(Model!$C$93:$CA$93,Model!$A57) + IF(wplyw_cen_import_wlaczony,'Tablica IO'!W291*INDEX(Model!$C$2:$CA$2,Model!$A57),'Tablica IO'!W291*1)</f>
        <v>1.4938996015940233E-4</v>
      </c>
      <c r="X57" s="222" cm="1">
        <f t="array" aca="1" ref="X57" ca="1">'Tablica IO'!X213*INDEX(Model!$C$93:$CA$93,Model!$A57) + IF(wplyw_cen_import_wlaczony,'Tablica IO'!X291*INDEX(Model!$C$2:$CA$2,Model!$A57),'Tablica IO'!X291*1)</f>
        <v>1.7863123041157489E-6</v>
      </c>
      <c r="Y57" s="222" cm="1">
        <f t="array" aca="1" ref="Y57" ca="1">'Tablica IO'!Y213*INDEX(Model!$C$93:$CA$93,Model!$A57) + IF(wplyw_cen_import_wlaczony,'Tablica IO'!Y291*INDEX(Model!$C$2:$CA$2,Model!$A57),'Tablica IO'!Y291*1)</f>
        <v>2.4167014953971111E-4</v>
      </c>
      <c r="Z57" s="222" cm="1">
        <f t="array" aca="1" ref="Z57" ca="1">'Tablica IO'!Z213*INDEX(Model!$C$93:$CA$93,Model!$A57) + IF(wplyw_cen_import_wlaczony,'Tablica IO'!Z291*INDEX(Model!$C$2:$CA$2,Model!$A57),'Tablica IO'!Z291*1)</f>
        <v>1.2685698422043796E-5</v>
      </c>
      <c r="AA57" s="222" cm="1">
        <f t="array" aca="1" ref="AA57" ca="1">'Tablica IO'!AA213*INDEX(Model!$C$93:$CA$93,Model!$A57) + IF(wplyw_cen_import_wlaczony,'Tablica IO'!AA291*INDEX(Model!$C$2:$CA$2,Model!$A57),'Tablica IO'!AA291*1)</f>
        <v>4.6788983297066654E-4</v>
      </c>
      <c r="AB57" s="222" cm="1">
        <f t="array" aca="1" ref="AB57" ca="1">'Tablica IO'!AB213*INDEX(Model!$C$93:$CA$93,Model!$A57) + IF(wplyw_cen_import_wlaczony,'Tablica IO'!AB291*INDEX(Model!$C$2:$CA$2,Model!$A57),'Tablica IO'!AB291*1)</f>
        <v>1.1384866617691132E-3</v>
      </c>
      <c r="AC57" s="222" cm="1">
        <f t="array" aca="1" ref="AC57" ca="1">'Tablica IO'!AC213*INDEX(Model!$C$93:$CA$93,Model!$A57) + IF(wplyw_cen_import_wlaczony,'Tablica IO'!AC291*INDEX(Model!$C$2:$CA$2,Model!$A57),'Tablica IO'!AC291*1)</f>
        <v>1.6994715687192476E-4</v>
      </c>
      <c r="AD57" s="222" cm="1">
        <f t="array" aca="1" ref="AD57" ca="1">'Tablica IO'!AD213*INDEX(Model!$C$93:$CA$93,Model!$A57) + IF(wplyw_cen_import_wlaczony,'Tablica IO'!AD291*INDEX(Model!$C$2:$CA$2,Model!$A57),'Tablica IO'!AD291*1)</f>
        <v>3.6085665696861727E-6</v>
      </c>
      <c r="AE57" s="222" cm="1">
        <f t="array" aca="1" ref="AE57" ca="1">'Tablica IO'!AE213*INDEX(Model!$C$93:$CA$93,Model!$A57) + IF(wplyw_cen_import_wlaczony,'Tablica IO'!AE291*INDEX(Model!$C$2:$CA$2,Model!$A57),'Tablica IO'!AE291*1)</f>
        <v>1.527982139684008E-4</v>
      </c>
      <c r="AF57" s="222" cm="1">
        <f t="array" aca="1" ref="AF57" ca="1">'Tablica IO'!AF213*INDEX(Model!$C$93:$CA$93,Model!$A57) + IF(wplyw_cen_import_wlaczony,'Tablica IO'!AF291*INDEX(Model!$C$2:$CA$2,Model!$A57),'Tablica IO'!AF291*1)</f>
        <v>2.464023143472171E-4</v>
      </c>
      <c r="AG57" s="222" cm="1">
        <f t="array" aca="1" ref="AG57" ca="1">'Tablica IO'!AG213*INDEX(Model!$C$93:$CA$93,Model!$A57) + IF(wplyw_cen_import_wlaczony,'Tablica IO'!AG291*INDEX(Model!$C$2:$CA$2,Model!$A57),'Tablica IO'!AG291*1)</f>
        <v>1.5937779141263144E-4</v>
      </c>
      <c r="AH57" s="222" cm="1">
        <f t="array" aca="1" ref="AH57" ca="1">'Tablica IO'!AH213*INDEX(Model!$C$93:$CA$93,Model!$A57) + IF(wplyw_cen_import_wlaczony,'Tablica IO'!AH291*INDEX(Model!$C$2:$CA$2,Model!$A57),'Tablica IO'!AH291*1)</f>
        <v>4.7930146180645848E-4</v>
      </c>
      <c r="AI57" s="222" cm="1">
        <f t="array" aca="1" ref="AI57" ca="1">'Tablica IO'!AI213*INDEX(Model!$C$93:$CA$93,Model!$A57) + IF(wplyw_cen_import_wlaczony,'Tablica IO'!AI291*INDEX(Model!$C$2:$CA$2,Model!$A57),'Tablica IO'!AI291*1)</f>
        <v>1.2001850804448816E-5</v>
      </c>
      <c r="AJ57" s="222" cm="1">
        <f t="array" aca="1" ref="AJ57" ca="1">'Tablica IO'!AJ213*INDEX(Model!$C$93:$CA$93,Model!$A57) + IF(wplyw_cen_import_wlaczony,'Tablica IO'!AJ291*INDEX(Model!$C$2:$CA$2,Model!$A57),'Tablica IO'!AJ291*1)</f>
        <v>1.1176981661099084E-4</v>
      </c>
      <c r="AK57" s="222" cm="1">
        <f t="array" aca="1" ref="AK57" ca="1">'Tablica IO'!AK213*INDEX(Model!$C$93:$CA$93,Model!$A57) + IF(wplyw_cen_import_wlaczony,'Tablica IO'!AK291*INDEX(Model!$C$2:$CA$2,Model!$A57),'Tablica IO'!AK291*1)</f>
        <v>8.8441486402304301E-5</v>
      </c>
      <c r="AL57" s="222" cm="1">
        <f t="array" aca="1" ref="AL57" ca="1">'Tablica IO'!AL213*INDEX(Model!$C$93:$CA$93,Model!$A57) + IF(wplyw_cen_import_wlaczony,'Tablica IO'!AL291*INDEX(Model!$C$2:$CA$2,Model!$A57),'Tablica IO'!AL291*1)</f>
        <v>8.9232396050734921E-4</v>
      </c>
      <c r="AM57" s="222" cm="1">
        <f t="array" aca="1" ref="AM57" ca="1">'Tablica IO'!AM213*INDEX(Model!$C$93:$CA$93,Model!$A57) + IF(wplyw_cen_import_wlaczony,'Tablica IO'!AM291*INDEX(Model!$C$2:$CA$2,Model!$A57),'Tablica IO'!AM291*1)</f>
        <v>3.3510918725521469E-4</v>
      </c>
      <c r="AN57" s="222" cm="1">
        <f t="array" aca="1" ref="AN57" ca="1">'Tablica IO'!AN213*INDEX(Model!$C$93:$CA$93,Model!$A57) + IF(wplyw_cen_import_wlaczony,'Tablica IO'!AN291*INDEX(Model!$C$2:$CA$2,Model!$A57),'Tablica IO'!AN291*1)</f>
        <v>1.0938364886529248E-4</v>
      </c>
      <c r="AO57" s="222" cm="1">
        <f t="array" aca="1" ref="AO57" ca="1">'Tablica IO'!AO213*INDEX(Model!$C$93:$CA$93,Model!$A57) + IF(wplyw_cen_import_wlaczony,'Tablica IO'!AO291*INDEX(Model!$C$2:$CA$2,Model!$A57),'Tablica IO'!AO291*1)</f>
        <v>3.3396069295518342E-4</v>
      </c>
      <c r="AP57" s="222" cm="1">
        <f t="array" aca="1" ref="AP57" ca="1">'Tablica IO'!AP213*INDEX(Model!$C$93:$CA$93,Model!$A57) + IF(wplyw_cen_import_wlaczony,'Tablica IO'!AP291*INDEX(Model!$C$2:$CA$2,Model!$A57),'Tablica IO'!AP291*1)</f>
        <v>4.6600093871668152E-6</v>
      </c>
      <c r="AQ57" s="222" cm="1">
        <f t="array" aca="1" ref="AQ57" ca="1">'Tablica IO'!AQ213*INDEX(Model!$C$93:$CA$93,Model!$A57) + IF(wplyw_cen_import_wlaczony,'Tablica IO'!AQ291*INDEX(Model!$C$2:$CA$2,Model!$A57),'Tablica IO'!AQ291*1)</f>
        <v>3.9726836765383291E-3</v>
      </c>
      <c r="AR57" s="222" cm="1">
        <f t="array" aca="1" ref="AR57" ca="1">'Tablica IO'!AR213*INDEX(Model!$C$93:$CA$93,Model!$A57) + IF(wplyw_cen_import_wlaczony,'Tablica IO'!AR291*INDEX(Model!$C$2:$CA$2,Model!$A57),'Tablica IO'!AR291*1)</f>
        <v>5.2491346495335441E-3</v>
      </c>
      <c r="AS57" s="222" cm="1">
        <f t="array" aca="1" ref="AS57" ca="1">'Tablica IO'!AS213*INDEX(Model!$C$93:$CA$93,Model!$A57) + IF(wplyw_cen_import_wlaczony,'Tablica IO'!AS291*INDEX(Model!$C$2:$CA$2,Model!$A57),'Tablica IO'!AS291*1)</f>
        <v>1.8879085218715445E-3</v>
      </c>
      <c r="AT57" s="222" cm="1">
        <f t="array" aca="1" ref="AT57" ca="1">'Tablica IO'!AT213*INDEX(Model!$C$93:$CA$93,Model!$A57) + IF(wplyw_cen_import_wlaczony,'Tablica IO'!AT291*INDEX(Model!$C$2:$CA$2,Model!$A57),'Tablica IO'!AT291*1)</f>
        <v>0.23756020849107001</v>
      </c>
      <c r="AU57" s="222" cm="1">
        <f t="array" aca="1" ref="AU57" ca="1">'Tablica IO'!AU213*INDEX(Model!$C$93:$CA$93,Model!$A57) + IF(wplyw_cen_import_wlaczony,'Tablica IO'!AU291*INDEX(Model!$C$2:$CA$2,Model!$A57),'Tablica IO'!AU291*1)</f>
        <v>0.20127167886963504</v>
      </c>
      <c r="AV57" s="222" cm="1">
        <f t="array" aca="1" ref="AV57" ca="1">'Tablica IO'!AV213*INDEX(Model!$C$93:$CA$93,Model!$A57) + IF(wplyw_cen_import_wlaczony,'Tablica IO'!AV291*INDEX(Model!$C$2:$CA$2,Model!$A57),'Tablica IO'!AV291*1)</f>
        <v>3.7040799767494503E-3</v>
      </c>
      <c r="AW57" s="222" cm="1">
        <f t="array" aca="1" ref="AW57" ca="1">'Tablica IO'!AW213*INDEX(Model!$C$93:$CA$93,Model!$A57) + IF(wplyw_cen_import_wlaczony,'Tablica IO'!AW291*INDEX(Model!$C$2:$CA$2,Model!$A57),'Tablica IO'!AW291*1)</f>
        <v>1.1915006349135511E-3</v>
      </c>
      <c r="AX57" s="222" cm="1">
        <f t="array" aca="1" ref="AX57" ca="1">'Tablica IO'!AX213*INDEX(Model!$C$93:$CA$93,Model!$A57) + IF(wplyw_cen_import_wlaczony,'Tablica IO'!AX291*INDEX(Model!$C$2:$CA$2,Model!$A57),'Tablica IO'!AX291*1)</f>
        <v>6.5249955666324085E-4</v>
      </c>
      <c r="AY57" s="222" cm="1">
        <f t="array" aca="1" ref="AY57" ca="1">'Tablica IO'!AY213*INDEX(Model!$C$93:$CA$93,Model!$A57) + IF(wplyw_cen_import_wlaczony,'Tablica IO'!AY291*INDEX(Model!$C$2:$CA$2,Model!$A57),'Tablica IO'!AY291*1)</f>
        <v>1.391609752677317E-5</v>
      </c>
      <c r="AZ57" s="222" cm="1">
        <f t="array" aca="1" ref="AZ57" ca="1">'Tablica IO'!AZ213*INDEX(Model!$C$93:$CA$93,Model!$A57) + IF(wplyw_cen_import_wlaczony,'Tablica IO'!AZ291*INDEX(Model!$C$2:$CA$2,Model!$A57),'Tablica IO'!AZ291*1)</f>
        <v>5.8161455679855341E-5</v>
      </c>
      <c r="BA57" s="222" cm="1">
        <f t="array" aca="1" ref="BA57" ca="1">'Tablica IO'!BA213*INDEX(Model!$C$93:$CA$93,Model!$A57) + IF(wplyw_cen_import_wlaczony,'Tablica IO'!BA291*INDEX(Model!$C$2:$CA$2,Model!$A57),'Tablica IO'!BA291*1)</f>
        <v>3.9312905219977785E-5</v>
      </c>
      <c r="BB57" s="222" cm="1">
        <f t="array" aca="1" ref="BB57" ca="1">'Tablica IO'!BB213*INDEX(Model!$C$93:$CA$93,Model!$A57) + IF(wplyw_cen_import_wlaczony,'Tablica IO'!BB291*INDEX(Model!$C$2:$CA$2,Model!$A57),'Tablica IO'!BB291*1)</f>
        <v>2.01121652300403E-3</v>
      </c>
      <c r="BC57" s="222" cm="1">
        <f t="array" aca="1" ref="BC57" ca="1">'Tablica IO'!BC213*INDEX(Model!$C$93:$CA$93,Model!$A57) + IF(wplyw_cen_import_wlaczony,'Tablica IO'!BC291*INDEX(Model!$C$2:$CA$2,Model!$A57),'Tablica IO'!BC291*1)</f>
        <v>2.3680049981540606E-4</v>
      </c>
      <c r="BD57" s="222" cm="1">
        <f t="array" aca="1" ref="BD57" ca="1">'Tablica IO'!BD213*INDEX(Model!$C$93:$CA$93,Model!$A57) + IF(wplyw_cen_import_wlaczony,'Tablica IO'!BD291*INDEX(Model!$C$2:$CA$2,Model!$A57),'Tablica IO'!BD291*1)</f>
        <v>4.0966807359471223E-5</v>
      </c>
      <c r="BE57" s="222" cm="1">
        <f t="array" aca="1" ref="BE57" ca="1">'Tablica IO'!BE213*INDEX(Model!$C$93:$CA$93,Model!$A57) + IF(wplyw_cen_import_wlaczony,'Tablica IO'!BE291*INDEX(Model!$C$2:$CA$2,Model!$A57),'Tablica IO'!BE291*1)</f>
        <v>1.9246061991986751E-5</v>
      </c>
      <c r="BF57" s="222" cm="1">
        <f t="array" aca="1" ref="BF57" ca="1">'Tablica IO'!BF213*INDEX(Model!$C$93:$CA$93,Model!$A57) + IF(wplyw_cen_import_wlaczony,'Tablica IO'!BF291*INDEX(Model!$C$2:$CA$2,Model!$A57),'Tablica IO'!BF291*1)</f>
        <v>4.1783120209504796E-4</v>
      </c>
      <c r="BG57" s="222" cm="1">
        <f t="array" aca="1" ref="BG57" ca="1">'Tablica IO'!BG213*INDEX(Model!$C$93:$CA$93,Model!$A57) + IF(wplyw_cen_import_wlaczony,'Tablica IO'!BG291*INDEX(Model!$C$2:$CA$2,Model!$A57),'Tablica IO'!BG291*1)</f>
        <v>3.1174590271950062E-3</v>
      </c>
      <c r="BH57" s="222" cm="1">
        <f t="array" aca="1" ref="BH57" ca="1">'Tablica IO'!BH213*INDEX(Model!$C$93:$CA$93,Model!$A57) + IF(wplyw_cen_import_wlaczony,'Tablica IO'!BH291*INDEX(Model!$C$2:$CA$2,Model!$A57),'Tablica IO'!BH291*1)</f>
        <v>4.8653193908180628E-6</v>
      </c>
      <c r="BI57" s="222" cm="1">
        <f t="array" aca="1" ref="BI57" ca="1">'Tablica IO'!BI213*INDEX(Model!$C$93:$CA$93,Model!$A57) + IF(wplyw_cen_import_wlaczony,'Tablica IO'!BI291*INDEX(Model!$C$2:$CA$2,Model!$A57),'Tablica IO'!BI291*1)</f>
        <v>0</v>
      </c>
      <c r="BJ57" s="222" cm="1">
        <f t="array" aca="1" ref="BJ57" ca="1">'Tablica IO'!BJ213*INDEX(Model!$C$93:$CA$93,Model!$A57) + IF(wplyw_cen_import_wlaczony,'Tablica IO'!BJ291*INDEX(Model!$C$2:$CA$2,Model!$A57),'Tablica IO'!BJ291*1)</f>
        <v>1.4697614502856823E-4</v>
      </c>
      <c r="BK57" s="222" cm="1">
        <f t="array" aca="1" ref="BK57" ca="1">'Tablica IO'!BK213*INDEX(Model!$C$93:$CA$93,Model!$A57) + IF(wplyw_cen_import_wlaczony,'Tablica IO'!BK291*INDEX(Model!$C$2:$CA$2,Model!$A57),'Tablica IO'!BK291*1)</f>
        <v>1.304352667902746E-6</v>
      </c>
      <c r="BL57" s="222" cm="1">
        <f t="array" aca="1" ref="BL57" ca="1">'Tablica IO'!BL213*INDEX(Model!$C$93:$CA$93,Model!$A57) + IF(wplyw_cen_import_wlaczony,'Tablica IO'!BL291*INDEX(Model!$C$2:$CA$2,Model!$A57),'Tablica IO'!BL291*1)</f>
        <v>7.3731431527561029E-5</v>
      </c>
      <c r="BM57" s="222" cm="1">
        <f t="array" aca="1" ref="BM57" ca="1">'Tablica IO'!BM213*INDEX(Model!$C$93:$CA$93,Model!$A57) + IF(wplyw_cen_import_wlaczony,'Tablica IO'!BM291*INDEX(Model!$C$2:$CA$2,Model!$A57),'Tablica IO'!BM291*1)</f>
        <v>6.4814837167550323E-5</v>
      </c>
      <c r="BN57" s="222" cm="1">
        <f t="array" aca="1" ref="BN57" ca="1">'Tablica IO'!BN213*INDEX(Model!$C$93:$CA$93,Model!$A57) + IF(wplyw_cen_import_wlaczony,'Tablica IO'!BN291*INDEX(Model!$C$2:$CA$2,Model!$A57),'Tablica IO'!BN291*1)</f>
        <v>5.2125592888795086E-5</v>
      </c>
      <c r="BO57" s="222" cm="1">
        <f t="array" aca="1" ref="BO57" ca="1">'Tablica IO'!BO213*INDEX(Model!$C$93:$CA$93,Model!$A57) + IF(wplyw_cen_import_wlaczony,'Tablica IO'!BO291*INDEX(Model!$C$2:$CA$2,Model!$A57),'Tablica IO'!BO291*1)</f>
        <v>6.8337261498432177E-3</v>
      </c>
      <c r="BP57" s="222" cm="1">
        <f t="array" aca="1" ref="BP57" ca="1">'Tablica IO'!BP213*INDEX(Model!$C$93:$CA$93,Model!$A57) + IF(wplyw_cen_import_wlaczony,'Tablica IO'!BP291*INDEX(Model!$C$2:$CA$2,Model!$A57),'Tablica IO'!BP291*1)</f>
        <v>1.2051616890712304E-3</v>
      </c>
      <c r="BQ57" s="222" cm="1">
        <f t="array" aca="1" ref="BQ57" ca="1">'Tablica IO'!BQ213*INDEX(Model!$C$93:$CA$93,Model!$A57) + IF(wplyw_cen_import_wlaczony,'Tablica IO'!BQ291*INDEX(Model!$C$2:$CA$2,Model!$A57),'Tablica IO'!BQ291*1)</f>
        <v>1.023329930861484E-4</v>
      </c>
      <c r="BR57" s="222" cm="1">
        <f t="array" aca="1" ref="BR57" ca="1">'Tablica IO'!BR213*INDEX(Model!$C$93:$CA$93,Model!$A57) + IF(wplyw_cen_import_wlaczony,'Tablica IO'!BR291*INDEX(Model!$C$2:$CA$2,Model!$A57),'Tablica IO'!BR291*1)</f>
        <v>7.5541509221252337E-5</v>
      </c>
      <c r="BS57" s="222" cm="1">
        <f t="array" aca="1" ref="BS57" ca="1">'Tablica IO'!BS213*INDEX(Model!$C$93:$CA$93,Model!$A57) + IF(wplyw_cen_import_wlaczony,'Tablica IO'!BS291*INDEX(Model!$C$2:$CA$2,Model!$A57),'Tablica IO'!BS291*1)</f>
        <v>3.3619000939837893E-4</v>
      </c>
      <c r="BT57" s="222" cm="1">
        <f t="array" aca="1" ref="BT57" ca="1">'Tablica IO'!BT213*INDEX(Model!$C$93:$CA$93,Model!$A57) + IF(wplyw_cen_import_wlaczony,'Tablica IO'!BT291*INDEX(Model!$C$2:$CA$2,Model!$A57),'Tablica IO'!BT291*1)</f>
        <v>1.4334472678277327E-3</v>
      </c>
      <c r="BU57" s="222" cm="1">
        <f t="array" aca="1" ref="BU57" ca="1">'Tablica IO'!BU213*INDEX(Model!$C$93:$CA$93,Model!$A57) + IF(wplyw_cen_import_wlaczony,'Tablica IO'!BU291*INDEX(Model!$C$2:$CA$2,Model!$A57),'Tablica IO'!BU291*1)</f>
        <v>7.1923854619709523E-4</v>
      </c>
      <c r="BV57" s="222" cm="1">
        <f t="array" aca="1" ref="BV57" ca="1">'Tablica IO'!BV213*INDEX(Model!$C$93:$CA$93,Model!$A57) + IF(wplyw_cen_import_wlaczony,'Tablica IO'!BV291*INDEX(Model!$C$2:$CA$2,Model!$A57),'Tablica IO'!BV291*1)</f>
        <v>1.1251193665587966E-4</v>
      </c>
      <c r="BW57" s="222" cm="1">
        <f t="array" aca="1" ref="BW57" ca="1">'Tablica IO'!BW213*INDEX(Model!$C$93:$CA$93,Model!$A57) + IF(wplyw_cen_import_wlaczony,'Tablica IO'!BW291*INDEX(Model!$C$2:$CA$2,Model!$A57),'Tablica IO'!BW291*1)</f>
        <v>6.8825976115266454E-4</v>
      </c>
      <c r="BX57" s="222" cm="1">
        <f t="array" aca="1" ref="BX57" ca="1">'Tablica IO'!BX213*INDEX(Model!$C$93:$CA$93,Model!$A57) + IF(wplyw_cen_import_wlaczony,'Tablica IO'!BX291*INDEX(Model!$C$2:$CA$2,Model!$A57),'Tablica IO'!BX291*1)</f>
        <v>1.0144653614387877E-3</v>
      </c>
      <c r="BY57" s="222" cm="1">
        <f t="array" aca="1" ref="BY57" ca="1">'Tablica IO'!BY213*INDEX(Model!$C$93:$CA$93,Model!$A57) + IF(wplyw_cen_import_wlaczony,'Tablica IO'!BY291*INDEX(Model!$C$2:$CA$2,Model!$A57),'Tablica IO'!BY291*1)</f>
        <v>0</v>
      </c>
      <c r="BZ57" s="222" cm="1">
        <f t="array" aca="1" ref="BZ57" ca="1">'Tablica IO'!BZ213*INDEX(Model!$C$93:$CA$93,Model!$A57) + IF(wplyw_cen_import_wlaczony,'Tablica IO'!BZ291*INDEX(Model!$C$2:$CA$2,Model!$A57),'Tablica IO'!BZ291*1)</f>
        <v>1.2055264392447269E-3</v>
      </c>
      <c r="CA57" s="222" cm="1">
        <f t="array" aca="1" ref="CA57" ca="1">'Tablica IO'!CA213*INDEX(Model!$C$93:$CA$93,Model!$A57) + IF(wplyw_cen_import_wlaczony,'Tablica IO'!CA291*INDEX(Model!$C$2:$CA$2,Model!$A57),'Tablica IO'!CA291*1)</f>
        <v>0</v>
      </c>
      <c r="CB57" s="247">
        <f ca="1">'Tablica IO'!CD213*INDEX(Model!$C$93:$CA$93,Model!$A57)+'Tablica IO'!CD291*INDEX(Model!$C$2:$CA$2,Model!$A57)</f>
        <v>3.6025697537780473E-3</v>
      </c>
      <c r="CC57" s="188">
        <f ca="1">'Tablica IO'!CE213*INDEX(Model!$C$93:$CA$93,Model!$A57)+'Tablica IO'!CE291*INDEX(Model!$C$2:$CA$2,Model!$A57)</f>
        <v>1.2162495472692054E-3</v>
      </c>
      <c r="CD57" s="188">
        <f ca="1">'Tablica IO'!CF213*INDEX(Model!$C$93:$CA$93,Model!$A57)+'Tablica IO'!CF291*INDEX(Model!$C$2:$CA$2,Model!$A57)</f>
        <v>-2.5783290376181782E-4</v>
      </c>
      <c r="CE57" s="189">
        <f ca="1">'Tablica IO'!CG213*INDEX(Model!$C$93:$CA$93,Model!$A57)+'Tablica IO'!CG291*INDEX(Model!$C$2:$CA$2,Model!$A57)</f>
        <v>0</v>
      </c>
    </row>
    <row r="58" spans="1:83" x14ac:dyDescent="0.25">
      <c r="A58" s="164">
        <v>46</v>
      </c>
      <c r="B58" s="172" t="s">
        <v>45</v>
      </c>
      <c r="C58" s="221" cm="1">
        <f t="array" aca="1" ref="C58" ca="1">'Tablica IO'!C214*INDEX(Model!$C$93:$CA$93,Model!$A58) + IF(wplyw_cen_import_wlaczony,'Tablica IO'!C292*INDEX(Model!$C$2:$CA$2,Model!$A58),'Tablica IO'!C292*1)</f>
        <v>6.8685659320367771E-4</v>
      </c>
      <c r="D58" s="222" cm="1">
        <f t="array" aca="1" ref="D58" ca="1">'Tablica IO'!D214*INDEX(Model!$C$93:$CA$93,Model!$A58) + IF(wplyw_cen_import_wlaczony,'Tablica IO'!D292*INDEX(Model!$C$2:$CA$2,Model!$A58),'Tablica IO'!D292*1)</f>
        <v>2.0733211319867049E-3</v>
      </c>
      <c r="E58" s="222" cm="1">
        <f t="array" aca="1" ref="E58" ca="1">'Tablica IO'!E214*INDEX(Model!$C$93:$CA$93,Model!$A58) + IF(wplyw_cen_import_wlaczony,'Tablica IO'!E292*INDEX(Model!$C$2:$CA$2,Model!$A58),'Tablica IO'!E292*1)</f>
        <v>1.7303304455053199E-3</v>
      </c>
      <c r="F58" s="222" cm="1">
        <f t="array" aca="1" ref="F58" ca="1">'Tablica IO'!F214*INDEX(Model!$C$93:$CA$93,Model!$A58) + IF(wplyw_cen_import_wlaczony,'Tablica IO'!F292*INDEX(Model!$C$2:$CA$2,Model!$A58),'Tablica IO'!F292*1)</f>
        <v>9.7510228054936894E-4</v>
      </c>
      <c r="G58" s="222" cm="1">
        <f t="array" aca="1" ref="G58" ca="1">'Tablica IO'!G214*INDEX(Model!$C$93:$CA$93,Model!$A58) + IF(wplyw_cen_import_wlaczony,'Tablica IO'!G292*INDEX(Model!$C$2:$CA$2,Model!$A58),'Tablica IO'!G292*1)</f>
        <v>1.6178555543605723E-3</v>
      </c>
      <c r="H58" s="222" cm="1">
        <f t="array" aca="1" ref="H58" ca="1">'Tablica IO'!H214*INDEX(Model!$C$93:$CA$93,Model!$A58) + IF(wplyw_cen_import_wlaczony,'Tablica IO'!H292*INDEX(Model!$C$2:$CA$2,Model!$A58),'Tablica IO'!H292*1)</f>
        <v>1.5818636936957172E-3</v>
      </c>
      <c r="I58" s="222" cm="1">
        <f t="array" aca="1" ref="I58" ca="1">'Tablica IO'!I214*INDEX(Model!$C$93:$CA$93,Model!$A58) + IF(wplyw_cen_import_wlaczony,'Tablica IO'!I292*INDEX(Model!$C$2:$CA$2,Model!$A58),'Tablica IO'!I292*1)</f>
        <v>1.2359973103386261E-3</v>
      </c>
      <c r="J58" s="222" cm="1">
        <f t="array" aca="1" ref="J58" ca="1">'Tablica IO'!J214*INDEX(Model!$C$93:$CA$93,Model!$A58) + IF(wplyw_cen_import_wlaczony,'Tablica IO'!J292*INDEX(Model!$C$2:$CA$2,Model!$A58),'Tablica IO'!J292*1)</f>
        <v>4.2143352228897777E-4</v>
      </c>
      <c r="K58" s="222" cm="1">
        <f t="array" aca="1" ref="K58" ca="1">'Tablica IO'!K214*INDEX(Model!$C$93:$CA$93,Model!$A58) + IF(wplyw_cen_import_wlaczony,'Tablica IO'!K292*INDEX(Model!$C$2:$CA$2,Model!$A58),'Tablica IO'!K292*1)</f>
        <v>3.1181819209827335E-3</v>
      </c>
      <c r="L58" s="222" cm="1">
        <f t="array" aca="1" ref="L58" ca="1">'Tablica IO'!L214*INDEX(Model!$C$93:$CA$93,Model!$A58) + IF(wplyw_cen_import_wlaczony,'Tablica IO'!L292*INDEX(Model!$C$2:$CA$2,Model!$A58),'Tablica IO'!L292*1)</f>
        <v>2.7647084692531787E-3</v>
      </c>
      <c r="M58" s="222" cm="1">
        <f t="array" aca="1" ref="M58" ca="1">'Tablica IO'!M214*INDEX(Model!$C$93:$CA$93,Model!$A58) + IF(wplyw_cen_import_wlaczony,'Tablica IO'!M292*INDEX(Model!$C$2:$CA$2,Model!$A58),'Tablica IO'!M292*1)</f>
        <v>3.6363298605704207E-3</v>
      </c>
      <c r="N58" s="222" cm="1">
        <f t="array" aca="1" ref="N58" ca="1">'Tablica IO'!N214*INDEX(Model!$C$93:$CA$93,Model!$A58) + IF(wplyw_cen_import_wlaczony,'Tablica IO'!N292*INDEX(Model!$C$2:$CA$2,Model!$A58),'Tablica IO'!N292*1)</f>
        <v>2.8672976932258205E-3</v>
      </c>
      <c r="O58" s="222" cm="1">
        <f t="array" aca="1" ref="O58" ca="1">'Tablica IO'!O214*INDEX(Model!$C$93:$CA$93,Model!$A58) + IF(wplyw_cen_import_wlaczony,'Tablica IO'!O292*INDEX(Model!$C$2:$CA$2,Model!$A58),'Tablica IO'!O292*1)</f>
        <v>1.2087069219076088E-3</v>
      </c>
      <c r="P58" s="222" cm="1">
        <f t="array" aca="1" ref="P58" ca="1">'Tablica IO'!P214*INDEX(Model!$C$93:$CA$93,Model!$A58) + IF(wplyw_cen_import_wlaczony,'Tablica IO'!P292*INDEX(Model!$C$2:$CA$2,Model!$A58),'Tablica IO'!P292*1)</f>
        <v>2.9389861111528918E-3</v>
      </c>
      <c r="Q58" s="222" cm="1">
        <f t="array" aca="1" ref="Q58" ca="1">'Tablica IO'!Q214*INDEX(Model!$C$93:$CA$93,Model!$A58) + IF(wplyw_cen_import_wlaczony,'Tablica IO'!Q292*INDEX(Model!$C$2:$CA$2,Model!$A58),'Tablica IO'!Q292*1)</f>
        <v>3.5510652797208966E-4</v>
      </c>
      <c r="R58" s="222" cm="1">
        <f t="array" aca="1" ref="R58" ca="1">'Tablica IO'!R214*INDEX(Model!$C$93:$CA$93,Model!$A58) + IF(wplyw_cen_import_wlaczony,'Tablica IO'!R292*INDEX(Model!$C$2:$CA$2,Model!$A58),'Tablica IO'!R292*1)</f>
        <v>6.0796565165702008E-3</v>
      </c>
      <c r="S58" s="222" cm="1">
        <f t="array" aca="1" ref="S58" ca="1">'Tablica IO'!S214*INDEX(Model!$C$93:$CA$93,Model!$A58) + IF(wplyw_cen_import_wlaczony,'Tablica IO'!S292*INDEX(Model!$C$2:$CA$2,Model!$A58),'Tablica IO'!S292*1)</f>
        <v>2.1710919240479115E-3</v>
      </c>
      <c r="T58" s="222" cm="1">
        <f t="array" aca="1" ref="T58" ca="1">'Tablica IO'!T214*INDEX(Model!$C$93:$CA$93,Model!$A58) + IF(wplyw_cen_import_wlaczony,'Tablica IO'!T292*INDEX(Model!$C$2:$CA$2,Model!$A58),'Tablica IO'!T292*1)</f>
        <v>1.4659234482999421E-3</v>
      </c>
      <c r="U58" s="222" cm="1">
        <f t="array" aca="1" ref="U58" ca="1">'Tablica IO'!U214*INDEX(Model!$C$93:$CA$93,Model!$A58) + IF(wplyw_cen_import_wlaczony,'Tablica IO'!U292*INDEX(Model!$C$2:$CA$2,Model!$A58),'Tablica IO'!U292*1)</f>
        <v>2.8530291448887152E-3</v>
      </c>
      <c r="V58" s="222" cm="1">
        <f t="array" aca="1" ref="V58" ca="1">'Tablica IO'!V214*INDEX(Model!$C$93:$CA$93,Model!$A58) + IF(wplyw_cen_import_wlaczony,'Tablica IO'!V292*INDEX(Model!$C$2:$CA$2,Model!$A58),'Tablica IO'!V292*1)</f>
        <v>2.8179864094010989E-4</v>
      </c>
      <c r="W58" s="222" cm="1">
        <f t="array" aca="1" ref="W58" ca="1">'Tablica IO'!W214*INDEX(Model!$C$93:$CA$93,Model!$A58) + IF(wplyw_cen_import_wlaczony,'Tablica IO'!W292*INDEX(Model!$C$2:$CA$2,Model!$A58),'Tablica IO'!W292*1)</f>
        <v>4.0466209701521616E-3</v>
      </c>
      <c r="X58" s="222" cm="1">
        <f t="array" aca="1" ref="X58" ca="1">'Tablica IO'!X214*INDEX(Model!$C$93:$CA$93,Model!$A58) + IF(wplyw_cen_import_wlaczony,'Tablica IO'!X292*INDEX(Model!$C$2:$CA$2,Model!$A58),'Tablica IO'!X292*1)</f>
        <v>5.5161598943463436E-4</v>
      </c>
      <c r="Y58" s="222" cm="1">
        <f t="array" aca="1" ref="Y58" ca="1">'Tablica IO'!Y214*INDEX(Model!$C$93:$CA$93,Model!$A58) + IF(wplyw_cen_import_wlaczony,'Tablica IO'!Y292*INDEX(Model!$C$2:$CA$2,Model!$A58),'Tablica IO'!Y292*1)</f>
        <v>1.6115551690821827E-3</v>
      </c>
      <c r="Z58" s="222" cm="1">
        <f t="array" aca="1" ref="Z58" ca="1">'Tablica IO'!Z214*INDEX(Model!$C$93:$CA$93,Model!$A58) + IF(wplyw_cen_import_wlaczony,'Tablica IO'!Z292*INDEX(Model!$C$2:$CA$2,Model!$A58),'Tablica IO'!Z292*1)</f>
        <v>2.0725689237294466E-3</v>
      </c>
      <c r="AA58" s="222" cm="1">
        <f t="array" aca="1" ref="AA58" ca="1">'Tablica IO'!AA214*INDEX(Model!$C$93:$CA$93,Model!$A58) + IF(wplyw_cen_import_wlaczony,'Tablica IO'!AA292*INDEX(Model!$C$2:$CA$2,Model!$A58),'Tablica IO'!AA292*1)</f>
        <v>2.6503722543842023E-3</v>
      </c>
      <c r="AB58" s="222" cm="1">
        <f t="array" aca="1" ref="AB58" ca="1">'Tablica IO'!AB214*INDEX(Model!$C$93:$CA$93,Model!$A58) + IF(wplyw_cen_import_wlaczony,'Tablica IO'!AB292*INDEX(Model!$C$2:$CA$2,Model!$A58),'Tablica IO'!AB292*1)</f>
        <v>1.8831588471288285E-3</v>
      </c>
      <c r="AC58" s="222" cm="1">
        <f t="array" aca="1" ref="AC58" ca="1">'Tablica IO'!AC214*INDEX(Model!$C$93:$CA$93,Model!$A58) + IF(wplyw_cen_import_wlaczony,'Tablica IO'!AC292*INDEX(Model!$C$2:$CA$2,Model!$A58),'Tablica IO'!AC292*1)</f>
        <v>5.3933310179582463E-3</v>
      </c>
      <c r="AD58" s="222" cm="1">
        <f t="array" aca="1" ref="AD58" ca="1">'Tablica IO'!AD214*INDEX(Model!$C$93:$CA$93,Model!$A58) + IF(wplyw_cen_import_wlaczony,'Tablica IO'!AD292*INDEX(Model!$C$2:$CA$2,Model!$A58),'Tablica IO'!AD292*1)</f>
        <v>1.0246067226820756E-3</v>
      </c>
      <c r="AE58" s="222" cm="1">
        <f t="array" aca="1" ref="AE58" ca="1">'Tablica IO'!AE214*INDEX(Model!$C$93:$CA$93,Model!$A58) + IF(wplyw_cen_import_wlaczony,'Tablica IO'!AE292*INDEX(Model!$C$2:$CA$2,Model!$A58),'Tablica IO'!AE292*1)</f>
        <v>9.6749356665811576E-4</v>
      </c>
      <c r="AF58" s="222" cm="1">
        <f t="array" aca="1" ref="AF58" ca="1">'Tablica IO'!AF214*INDEX(Model!$C$93:$CA$93,Model!$A58) + IF(wplyw_cen_import_wlaczony,'Tablica IO'!AF292*INDEX(Model!$C$2:$CA$2,Model!$A58),'Tablica IO'!AF292*1)</f>
        <v>1.6641935165086887E-3</v>
      </c>
      <c r="AG58" s="222" cm="1">
        <f t="array" aca="1" ref="AG58" ca="1">'Tablica IO'!AG214*INDEX(Model!$C$93:$CA$93,Model!$A58) + IF(wplyw_cen_import_wlaczony,'Tablica IO'!AG292*INDEX(Model!$C$2:$CA$2,Model!$A58),'Tablica IO'!AG292*1)</f>
        <v>2.7687148214469298E-3</v>
      </c>
      <c r="AH58" s="222" cm="1">
        <f t="array" aca="1" ref="AH58" ca="1">'Tablica IO'!AH214*INDEX(Model!$C$93:$CA$93,Model!$A58) + IF(wplyw_cen_import_wlaczony,'Tablica IO'!AH292*INDEX(Model!$C$2:$CA$2,Model!$A58),'Tablica IO'!AH292*1)</f>
        <v>5.1592494108543092E-3</v>
      </c>
      <c r="AI58" s="222" cm="1">
        <f t="array" aca="1" ref="AI58" ca="1">'Tablica IO'!AI214*INDEX(Model!$C$93:$CA$93,Model!$A58) + IF(wplyw_cen_import_wlaczony,'Tablica IO'!AI292*INDEX(Model!$C$2:$CA$2,Model!$A58),'Tablica IO'!AI292*1)</f>
        <v>1.6978800540250881E-3</v>
      </c>
      <c r="AJ58" s="222" cm="1">
        <f t="array" aca="1" ref="AJ58" ca="1">'Tablica IO'!AJ214*INDEX(Model!$C$93:$CA$93,Model!$A58) + IF(wplyw_cen_import_wlaczony,'Tablica IO'!AJ292*INDEX(Model!$C$2:$CA$2,Model!$A58),'Tablica IO'!AJ292*1)</f>
        <v>1.70626922262546E-3</v>
      </c>
      <c r="AK58" s="222" cm="1">
        <f t="array" aca="1" ref="AK58" ca="1">'Tablica IO'!AK214*INDEX(Model!$C$93:$CA$93,Model!$A58) + IF(wplyw_cen_import_wlaczony,'Tablica IO'!AK292*INDEX(Model!$C$2:$CA$2,Model!$A58),'Tablica IO'!AK292*1)</f>
        <v>1.4576559581878878E-2</v>
      </c>
      <c r="AL58" s="222" cm="1">
        <f t="array" aca="1" ref="AL58" ca="1">'Tablica IO'!AL214*INDEX(Model!$C$93:$CA$93,Model!$A58) + IF(wplyw_cen_import_wlaczony,'Tablica IO'!AL292*INDEX(Model!$C$2:$CA$2,Model!$A58),'Tablica IO'!AL292*1)</f>
        <v>5.0019453701511049E-3</v>
      </c>
      <c r="AM58" s="222" cm="1">
        <f t="array" aca="1" ref="AM58" ca="1">'Tablica IO'!AM214*INDEX(Model!$C$93:$CA$93,Model!$A58) + IF(wplyw_cen_import_wlaczony,'Tablica IO'!AM292*INDEX(Model!$C$2:$CA$2,Model!$A58),'Tablica IO'!AM292*1)</f>
        <v>1.5208402731177006E-3</v>
      </c>
      <c r="AN58" s="222" cm="1">
        <f t="array" aca="1" ref="AN58" ca="1">'Tablica IO'!AN214*INDEX(Model!$C$93:$CA$93,Model!$A58) + IF(wplyw_cen_import_wlaczony,'Tablica IO'!AN292*INDEX(Model!$C$2:$CA$2,Model!$A58),'Tablica IO'!AN292*1)</f>
        <v>8.7391291640727068E-3</v>
      </c>
      <c r="AO58" s="222" cm="1">
        <f t="array" aca="1" ref="AO58" ca="1">'Tablica IO'!AO214*INDEX(Model!$C$93:$CA$93,Model!$A58) + IF(wplyw_cen_import_wlaczony,'Tablica IO'!AO292*INDEX(Model!$C$2:$CA$2,Model!$A58),'Tablica IO'!AO292*1)</f>
        <v>5.0616974231020833E-3</v>
      </c>
      <c r="AP58" s="222" cm="1">
        <f t="array" aca="1" ref="AP58" ca="1">'Tablica IO'!AP214*INDEX(Model!$C$93:$CA$93,Model!$A58) + IF(wplyw_cen_import_wlaczony,'Tablica IO'!AP292*INDEX(Model!$C$2:$CA$2,Model!$A58),'Tablica IO'!AP292*1)</f>
        <v>1.0068637138818209E-2</v>
      </c>
      <c r="AQ58" s="222" cm="1">
        <f t="array" aca="1" ref="AQ58" ca="1">'Tablica IO'!AQ214*INDEX(Model!$C$93:$CA$93,Model!$A58) + IF(wplyw_cen_import_wlaczony,'Tablica IO'!AQ292*INDEX(Model!$C$2:$CA$2,Model!$A58),'Tablica IO'!AQ292*1)</f>
        <v>5.2167560992944792E-3</v>
      </c>
      <c r="AR58" s="222" cm="1">
        <f t="array" aca="1" ref="AR58" ca="1">'Tablica IO'!AR214*INDEX(Model!$C$93:$CA$93,Model!$A58) + IF(wplyw_cen_import_wlaczony,'Tablica IO'!AR292*INDEX(Model!$C$2:$CA$2,Model!$A58),'Tablica IO'!AR292*1)</f>
        <v>1.6610077298516647E-3</v>
      </c>
      <c r="AS58" s="222" cm="1">
        <f t="array" aca="1" ref="AS58" ca="1">'Tablica IO'!AS214*INDEX(Model!$C$93:$CA$93,Model!$A58) + IF(wplyw_cen_import_wlaczony,'Tablica IO'!AS292*INDEX(Model!$C$2:$CA$2,Model!$A58),'Tablica IO'!AS292*1)</f>
        <v>4.4474513742487542E-3</v>
      </c>
      <c r="AT58" s="222" cm="1">
        <f t="array" aca="1" ref="AT58" ca="1">'Tablica IO'!AT214*INDEX(Model!$C$93:$CA$93,Model!$A58) + IF(wplyw_cen_import_wlaczony,'Tablica IO'!AT292*INDEX(Model!$C$2:$CA$2,Model!$A58),'Tablica IO'!AT292*1)</f>
        <v>5.2916796322561525E-3</v>
      </c>
      <c r="AU58" s="222" cm="1">
        <f t="array" aca="1" ref="AU58" ca="1">'Tablica IO'!AU214*INDEX(Model!$C$93:$CA$93,Model!$A58) + IF(wplyw_cen_import_wlaczony,'Tablica IO'!AU292*INDEX(Model!$C$2:$CA$2,Model!$A58),'Tablica IO'!AU292*1)</f>
        <v>1.9136553485878786E-2</v>
      </c>
      <c r="AV58" s="222" cm="1">
        <f t="array" aca="1" ref="AV58" ca="1">'Tablica IO'!AV214*INDEX(Model!$C$93:$CA$93,Model!$A58) + IF(wplyw_cen_import_wlaczony,'Tablica IO'!AV292*INDEX(Model!$C$2:$CA$2,Model!$A58),'Tablica IO'!AV292*1)</f>
        <v>5.1010334427751519E-2</v>
      </c>
      <c r="AW58" s="222" cm="1">
        <f t="array" aca="1" ref="AW58" ca="1">'Tablica IO'!AW214*INDEX(Model!$C$93:$CA$93,Model!$A58) + IF(wplyw_cen_import_wlaczony,'Tablica IO'!AW292*INDEX(Model!$C$2:$CA$2,Model!$A58),'Tablica IO'!AW292*1)</f>
        <v>1.4804785903654232E-2</v>
      </c>
      <c r="AX58" s="222" cm="1">
        <f t="array" aca="1" ref="AX58" ca="1">'Tablica IO'!AX214*INDEX(Model!$C$93:$CA$93,Model!$A58) + IF(wplyw_cen_import_wlaczony,'Tablica IO'!AX292*INDEX(Model!$C$2:$CA$2,Model!$A58),'Tablica IO'!AX292*1)</f>
        <v>7.8749887427077316E-3</v>
      </c>
      <c r="AY58" s="222" cm="1">
        <f t="array" aca="1" ref="AY58" ca="1">'Tablica IO'!AY214*INDEX(Model!$C$93:$CA$93,Model!$A58) + IF(wplyw_cen_import_wlaczony,'Tablica IO'!AY292*INDEX(Model!$C$2:$CA$2,Model!$A58),'Tablica IO'!AY292*1)</f>
        <v>1.0814216009576367E-2</v>
      </c>
      <c r="AZ58" s="222" cm="1">
        <f t="array" aca="1" ref="AZ58" ca="1">'Tablica IO'!AZ214*INDEX(Model!$C$93:$CA$93,Model!$A58) + IF(wplyw_cen_import_wlaczony,'Tablica IO'!AZ292*INDEX(Model!$C$2:$CA$2,Model!$A58),'Tablica IO'!AZ292*1)</f>
        <v>3.6750722319981083E-2</v>
      </c>
      <c r="BA58" s="222" cm="1">
        <f t="array" aca="1" ref="BA58" ca="1">'Tablica IO'!BA214*INDEX(Model!$C$93:$CA$93,Model!$A58) + IF(wplyw_cen_import_wlaczony,'Tablica IO'!BA292*INDEX(Model!$C$2:$CA$2,Model!$A58),'Tablica IO'!BA292*1)</f>
        <v>2.6145135914280141E-2</v>
      </c>
      <c r="BB58" s="222" cm="1">
        <f t="array" aca="1" ref="BB58" ca="1">'Tablica IO'!BB214*INDEX(Model!$C$93:$CA$93,Model!$A58) + IF(wplyw_cen_import_wlaczony,'Tablica IO'!BB292*INDEX(Model!$C$2:$CA$2,Model!$A58),'Tablica IO'!BB292*1)</f>
        <v>2.9075315514788288E-3</v>
      </c>
      <c r="BC58" s="222" cm="1">
        <f t="array" aca="1" ref="BC58" ca="1">'Tablica IO'!BC214*INDEX(Model!$C$93:$CA$93,Model!$A58) + IF(wplyw_cen_import_wlaczony,'Tablica IO'!BC292*INDEX(Model!$C$2:$CA$2,Model!$A58),'Tablica IO'!BC292*1)</f>
        <v>2.7838674915812971E-3</v>
      </c>
      <c r="BD58" s="222" cm="1">
        <f t="array" aca="1" ref="BD58" ca="1">'Tablica IO'!BD214*INDEX(Model!$C$93:$CA$93,Model!$A58) + IF(wplyw_cen_import_wlaczony,'Tablica IO'!BD292*INDEX(Model!$C$2:$CA$2,Model!$A58),'Tablica IO'!BD292*1)</f>
        <v>1.0797452403950848E-2</v>
      </c>
      <c r="BE58" s="222" cm="1">
        <f t="array" aca="1" ref="BE58" ca="1">'Tablica IO'!BE214*INDEX(Model!$C$93:$CA$93,Model!$A58) + IF(wplyw_cen_import_wlaczony,'Tablica IO'!BE292*INDEX(Model!$C$2:$CA$2,Model!$A58),'Tablica IO'!BE292*1)</f>
        <v>2.587819860170515E-3</v>
      </c>
      <c r="BF58" s="222" cm="1">
        <f t="array" aca="1" ref="BF58" ca="1">'Tablica IO'!BF214*INDEX(Model!$C$93:$CA$93,Model!$A58) + IF(wplyw_cen_import_wlaczony,'Tablica IO'!BF292*INDEX(Model!$C$2:$CA$2,Model!$A58),'Tablica IO'!BF292*1)</f>
        <v>6.8190508640654591E-3</v>
      </c>
      <c r="BG58" s="222" cm="1">
        <f t="array" aca="1" ref="BG58" ca="1">'Tablica IO'!BG214*INDEX(Model!$C$93:$CA$93,Model!$A58) + IF(wplyw_cen_import_wlaczony,'Tablica IO'!BG292*INDEX(Model!$C$2:$CA$2,Model!$A58),'Tablica IO'!BG292*1)</f>
        <v>3.7838668266608039E-3</v>
      </c>
      <c r="BH58" s="222" cm="1">
        <f t="array" aca="1" ref="BH58" ca="1">'Tablica IO'!BH214*INDEX(Model!$C$93:$CA$93,Model!$A58) + IF(wplyw_cen_import_wlaczony,'Tablica IO'!BH292*INDEX(Model!$C$2:$CA$2,Model!$A58),'Tablica IO'!BH292*1)</f>
        <v>8.8311386686625061E-3</v>
      </c>
      <c r="BI58" s="222" cm="1">
        <f t="array" aca="1" ref="BI58" ca="1">'Tablica IO'!BI214*INDEX(Model!$C$93:$CA$93,Model!$A58) + IF(wplyw_cen_import_wlaczony,'Tablica IO'!BI292*INDEX(Model!$C$2:$CA$2,Model!$A58),'Tablica IO'!BI292*1)</f>
        <v>2.3880099323131927E-4</v>
      </c>
      <c r="BJ58" s="222" cm="1">
        <f t="array" aca="1" ref="BJ58" ca="1">'Tablica IO'!BJ214*INDEX(Model!$C$93:$CA$93,Model!$A58) + IF(wplyw_cen_import_wlaczony,'Tablica IO'!BJ292*INDEX(Model!$C$2:$CA$2,Model!$A58),'Tablica IO'!BJ292*1)</f>
        <v>4.335994626730435E-3</v>
      </c>
      <c r="BK58" s="222" cm="1">
        <f t="array" aca="1" ref="BK58" ca="1">'Tablica IO'!BK214*INDEX(Model!$C$93:$CA$93,Model!$A58) + IF(wplyw_cen_import_wlaczony,'Tablica IO'!BK292*INDEX(Model!$C$2:$CA$2,Model!$A58),'Tablica IO'!BK292*1)</f>
        <v>4.773448693870622E-3</v>
      </c>
      <c r="BL58" s="222" cm="1">
        <f t="array" aca="1" ref="BL58" ca="1">'Tablica IO'!BL214*INDEX(Model!$C$93:$CA$93,Model!$A58) + IF(wplyw_cen_import_wlaczony,'Tablica IO'!BL292*INDEX(Model!$C$2:$CA$2,Model!$A58),'Tablica IO'!BL292*1)</f>
        <v>5.4847137876646223E-3</v>
      </c>
      <c r="BM58" s="222" cm="1">
        <f t="array" aca="1" ref="BM58" ca="1">'Tablica IO'!BM214*INDEX(Model!$C$93:$CA$93,Model!$A58) + IF(wplyw_cen_import_wlaczony,'Tablica IO'!BM292*INDEX(Model!$C$2:$CA$2,Model!$A58),'Tablica IO'!BM292*1)</f>
        <v>1.5756294018151647E-2</v>
      </c>
      <c r="BN58" s="222" cm="1">
        <f t="array" aca="1" ref="BN58" ca="1">'Tablica IO'!BN214*INDEX(Model!$C$93:$CA$93,Model!$A58) + IF(wplyw_cen_import_wlaczony,'Tablica IO'!BN292*INDEX(Model!$C$2:$CA$2,Model!$A58),'Tablica IO'!BN292*1)</f>
        <v>4.3641472825588952E-3</v>
      </c>
      <c r="BO58" s="222" cm="1">
        <f t="array" aca="1" ref="BO58" ca="1">'Tablica IO'!BO214*INDEX(Model!$C$93:$CA$93,Model!$A58) + IF(wplyw_cen_import_wlaczony,'Tablica IO'!BO292*INDEX(Model!$C$2:$CA$2,Model!$A58),'Tablica IO'!BO292*1)</f>
        <v>3.0226137495099545E-3</v>
      </c>
      <c r="BP58" s="222" cm="1">
        <f t="array" aca="1" ref="BP58" ca="1">'Tablica IO'!BP214*INDEX(Model!$C$93:$CA$93,Model!$A58) + IF(wplyw_cen_import_wlaczony,'Tablica IO'!BP292*INDEX(Model!$C$2:$CA$2,Model!$A58),'Tablica IO'!BP292*1)</f>
        <v>5.2292344975072187E-3</v>
      </c>
      <c r="BQ58" s="222" cm="1">
        <f t="array" aca="1" ref="BQ58" ca="1">'Tablica IO'!BQ214*INDEX(Model!$C$93:$CA$93,Model!$A58) + IF(wplyw_cen_import_wlaczony,'Tablica IO'!BQ292*INDEX(Model!$C$2:$CA$2,Model!$A58),'Tablica IO'!BQ292*1)</f>
        <v>2.4037633851362247E-3</v>
      </c>
      <c r="BR58" s="222" cm="1">
        <f t="array" aca="1" ref="BR58" ca="1">'Tablica IO'!BR214*INDEX(Model!$C$93:$CA$93,Model!$A58) + IF(wplyw_cen_import_wlaczony,'Tablica IO'!BR292*INDEX(Model!$C$2:$CA$2,Model!$A58),'Tablica IO'!BR292*1)</f>
        <v>5.5363423221917729E-3</v>
      </c>
      <c r="BS58" s="222" cm="1">
        <f t="array" aca="1" ref="BS58" ca="1">'Tablica IO'!BS214*INDEX(Model!$C$93:$CA$93,Model!$A58) + IF(wplyw_cen_import_wlaczony,'Tablica IO'!BS292*INDEX(Model!$C$2:$CA$2,Model!$A58),'Tablica IO'!BS292*1)</f>
        <v>1.8628521412775839E-3</v>
      </c>
      <c r="BT58" s="222" cm="1">
        <f t="array" aca="1" ref="BT58" ca="1">'Tablica IO'!BT214*INDEX(Model!$C$93:$CA$93,Model!$A58) + IF(wplyw_cen_import_wlaczony,'Tablica IO'!BT292*INDEX(Model!$C$2:$CA$2,Model!$A58),'Tablica IO'!BT292*1)</f>
        <v>6.0256685828279826E-3</v>
      </c>
      <c r="BU58" s="222" cm="1">
        <f t="array" aca="1" ref="BU58" ca="1">'Tablica IO'!BU214*INDEX(Model!$C$93:$CA$93,Model!$A58) + IF(wplyw_cen_import_wlaczony,'Tablica IO'!BU292*INDEX(Model!$C$2:$CA$2,Model!$A58),'Tablica IO'!BU292*1)</f>
        <v>5.8949326669187037E-3</v>
      </c>
      <c r="BV58" s="222" cm="1">
        <f t="array" aca="1" ref="BV58" ca="1">'Tablica IO'!BV214*INDEX(Model!$C$93:$CA$93,Model!$A58) + IF(wplyw_cen_import_wlaczony,'Tablica IO'!BV292*INDEX(Model!$C$2:$CA$2,Model!$A58),'Tablica IO'!BV292*1)</f>
        <v>1.5758444689600555E-3</v>
      </c>
      <c r="BW58" s="222" cm="1">
        <f t="array" aca="1" ref="BW58" ca="1">'Tablica IO'!BW214*INDEX(Model!$C$93:$CA$93,Model!$A58) + IF(wplyw_cen_import_wlaczony,'Tablica IO'!BW292*INDEX(Model!$C$2:$CA$2,Model!$A58),'Tablica IO'!BW292*1)</f>
        <v>4.9345973471355943E-3</v>
      </c>
      <c r="BX58" s="222" cm="1">
        <f t="array" aca="1" ref="BX58" ca="1">'Tablica IO'!BX214*INDEX(Model!$C$93:$CA$93,Model!$A58) + IF(wplyw_cen_import_wlaczony,'Tablica IO'!BX292*INDEX(Model!$C$2:$CA$2,Model!$A58),'Tablica IO'!BX292*1)</f>
        <v>4.6374346573086082E-2</v>
      </c>
      <c r="BY58" s="222" cm="1">
        <f t="array" aca="1" ref="BY58" ca="1">'Tablica IO'!BY214*INDEX(Model!$C$93:$CA$93,Model!$A58) + IF(wplyw_cen_import_wlaczony,'Tablica IO'!BY292*INDEX(Model!$C$2:$CA$2,Model!$A58),'Tablica IO'!BY292*1)</f>
        <v>1.0767967433971547E-3</v>
      </c>
      <c r="BZ58" s="222" cm="1">
        <f t="array" aca="1" ref="BZ58" ca="1">'Tablica IO'!BZ214*INDEX(Model!$C$93:$CA$93,Model!$A58) + IF(wplyw_cen_import_wlaczony,'Tablica IO'!BZ292*INDEX(Model!$C$2:$CA$2,Model!$A58),'Tablica IO'!BZ292*1)</f>
        <v>6.1136043177979034E-3</v>
      </c>
      <c r="CA58" s="222" cm="1">
        <f t="array" aca="1" ref="CA58" ca="1">'Tablica IO'!CA214*INDEX(Model!$C$93:$CA$93,Model!$A58) + IF(wplyw_cen_import_wlaczony,'Tablica IO'!CA292*INDEX(Model!$C$2:$CA$2,Model!$A58),'Tablica IO'!CA292*1)</f>
        <v>0</v>
      </c>
      <c r="CB58" s="247">
        <f ca="1">'Tablica IO'!CD214*INDEX(Model!$C$93:$CA$93,Model!$A58)+'Tablica IO'!CD292*INDEX(Model!$C$2:$CA$2,Model!$A58)</f>
        <v>3.0111802036182019E-2</v>
      </c>
      <c r="CC58" s="188">
        <f ca="1">'Tablica IO'!CE214*INDEX(Model!$C$93:$CA$93,Model!$A58)+'Tablica IO'!CE292*INDEX(Model!$C$2:$CA$2,Model!$A58)</f>
        <v>-3.8296448881922415E-4</v>
      </c>
      <c r="CD58" s="188">
        <f ca="1">'Tablica IO'!CF214*INDEX(Model!$C$93:$CA$93,Model!$A58)+'Tablica IO'!CF292*INDEX(Model!$C$2:$CA$2,Model!$A58)</f>
        <v>3.0429680628385808E-5</v>
      </c>
      <c r="CE58" s="189">
        <f ca="1">'Tablica IO'!CG214*INDEX(Model!$C$93:$CA$93,Model!$A58)+'Tablica IO'!CG292*INDEX(Model!$C$2:$CA$2,Model!$A58)</f>
        <v>3.12608778177921E-3</v>
      </c>
    </row>
    <row r="59" spans="1:83" ht="27.6" x14ac:dyDescent="0.25">
      <c r="A59" s="164">
        <v>47</v>
      </c>
      <c r="B59" s="172" t="s">
        <v>46</v>
      </c>
      <c r="C59" s="221" cm="1">
        <f t="array" aca="1" ref="C59" ca="1">'Tablica IO'!C215*INDEX(Model!$C$93:$CA$93,Model!$A59) + IF(wplyw_cen_import_wlaczony,'Tablica IO'!C293*INDEX(Model!$C$2:$CA$2,Model!$A59),'Tablica IO'!C293*1)</f>
        <v>7.9991339327929308E-5</v>
      </c>
      <c r="D59" s="222" cm="1">
        <f t="array" aca="1" ref="D59" ca="1">'Tablica IO'!D215*INDEX(Model!$C$93:$CA$93,Model!$A59) + IF(wplyw_cen_import_wlaczony,'Tablica IO'!D293*INDEX(Model!$C$2:$CA$2,Model!$A59),'Tablica IO'!D293*1)</f>
        <v>2.0986579954727214E-4</v>
      </c>
      <c r="E59" s="222" cm="1">
        <f t="array" aca="1" ref="E59" ca="1">'Tablica IO'!E215*INDEX(Model!$C$93:$CA$93,Model!$A59) + IF(wplyw_cen_import_wlaczony,'Tablica IO'!E293*INDEX(Model!$C$2:$CA$2,Model!$A59),'Tablica IO'!E293*1)</f>
        <v>1.2204368631708721E-4</v>
      </c>
      <c r="F59" s="222" cm="1">
        <f t="array" aca="1" ref="F59" ca="1">'Tablica IO'!F215*INDEX(Model!$C$93:$CA$93,Model!$A59) + IF(wplyw_cen_import_wlaczony,'Tablica IO'!F293*INDEX(Model!$C$2:$CA$2,Model!$A59),'Tablica IO'!F293*1)</f>
        <v>3.4502322499865828E-3</v>
      </c>
      <c r="G59" s="222" cm="1">
        <f t="array" aca="1" ref="G59" ca="1">'Tablica IO'!G215*INDEX(Model!$C$93:$CA$93,Model!$A59) + IF(wplyw_cen_import_wlaczony,'Tablica IO'!G293*INDEX(Model!$C$2:$CA$2,Model!$A59),'Tablica IO'!G293*1)</f>
        <v>1.5598692254405696E-3</v>
      </c>
      <c r="H59" s="222" cm="1">
        <f t="array" aca="1" ref="H59" ca="1">'Tablica IO'!H215*INDEX(Model!$C$93:$CA$93,Model!$A59) + IF(wplyw_cen_import_wlaczony,'Tablica IO'!H293*INDEX(Model!$C$2:$CA$2,Model!$A59),'Tablica IO'!H293*1)</f>
        <v>2.1171387167348899E-3</v>
      </c>
      <c r="I59" s="222" cm="1">
        <f t="array" aca="1" ref="I59" ca="1">'Tablica IO'!I215*INDEX(Model!$C$93:$CA$93,Model!$A59) + IF(wplyw_cen_import_wlaczony,'Tablica IO'!I293*INDEX(Model!$C$2:$CA$2,Model!$A59),'Tablica IO'!I293*1)</f>
        <v>6.528150217790258E-3</v>
      </c>
      <c r="J59" s="222" cm="1">
        <f t="array" aca="1" ref="J59" ca="1">'Tablica IO'!J215*INDEX(Model!$C$93:$CA$93,Model!$A59) + IF(wplyw_cen_import_wlaczony,'Tablica IO'!J293*INDEX(Model!$C$2:$CA$2,Model!$A59),'Tablica IO'!J293*1)</f>
        <v>7.8231793103197261E-3</v>
      </c>
      <c r="K59" s="222" cm="1">
        <f t="array" aca="1" ref="K59" ca="1">'Tablica IO'!K215*INDEX(Model!$C$93:$CA$93,Model!$A59) + IF(wplyw_cen_import_wlaczony,'Tablica IO'!K293*INDEX(Model!$C$2:$CA$2,Model!$A59),'Tablica IO'!K293*1)</f>
        <v>2.2715011806767539E-3</v>
      </c>
      <c r="L59" s="222" cm="1">
        <f t="array" aca="1" ref="L59" ca="1">'Tablica IO'!L215*INDEX(Model!$C$93:$CA$93,Model!$A59) + IF(wplyw_cen_import_wlaczony,'Tablica IO'!L293*INDEX(Model!$C$2:$CA$2,Model!$A59),'Tablica IO'!L293*1)</f>
        <v>6.1021542872132862E-4</v>
      </c>
      <c r="M59" s="222" cm="1">
        <f t="array" aca="1" ref="M59" ca="1">'Tablica IO'!M215*INDEX(Model!$C$93:$CA$93,Model!$A59) + IF(wplyw_cen_import_wlaczony,'Tablica IO'!M293*INDEX(Model!$C$2:$CA$2,Model!$A59),'Tablica IO'!M293*1)</f>
        <v>1.7375175281233775E-3</v>
      </c>
      <c r="N59" s="222" cm="1">
        <f t="array" aca="1" ref="N59" ca="1">'Tablica IO'!N215*INDEX(Model!$C$93:$CA$93,Model!$A59) + IF(wplyw_cen_import_wlaczony,'Tablica IO'!N293*INDEX(Model!$C$2:$CA$2,Model!$A59),'Tablica IO'!N293*1)</f>
        <v>1.7418479057619036E-3</v>
      </c>
      <c r="O59" s="222" cm="1">
        <f t="array" aca="1" ref="O59" ca="1">'Tablica IO'!O215*INDEX(Model!$C$93:$CA$93,Model!$A59) + IF(wplyw_cen_import_wlaczony,'Tablica IO'!O293*INDEX(Model!$C$2:$CA$2,Model!$A59),'Tablica IO'!O293*1)</f>
        <v>2.5962273797307386E-3</v>
      </c>
      <c r="P59" s="222" cm="1">
        <f t="array" aca="1" ref="P59" ca="1">'Tablica IO'!P215*INDEX(Model!$C$93:$CA$93,Model!$A59) + IF(wplyw_cen_import_wlaczony,'Tablica IO'!P293*INDEX(Model!$C$2:$CA$2,Model!$A59),'Tablica IO'!P293*1)</f>
        <v>3.0761666417762325E-2</v>
      </c>
      <c r="Q59" s="222" cm="1">
        <f t="array" aca="1" ref="Q59" ca="1">'Tablica IO'!Q215*INDEX(Model!$C$93:$CA$93,Model!$A59) + IF(wplyw_cen_import_wlaczony,'Tablica IO'!Q293*INDEX(Model!$C$2:$CA$2,Model!$A59),'Tablica IO'!Q293*1)</f>
        <v>1.5446327109099837E-3</v>
      </c>
      <c r="R59" s="222" cm="1">
        <f t="array" aca="1" ref="R59" ca="1">'Tablica IO'!R215*INDEX(Model!$C$93:$CA$93,Model!$A59) + IF(wplyw_cen_import_wlaczony,'Tablica IO'!R293*INDEX(Model!$C$2:$CA$2,Model!$A59),'Tablica IO'!R293*1)</f>
        <v>5.1926060476362793E-3</v>
      </c>
      <c r="S59" s="222" cm="1">
        <f t="array" aca="1" ref="S59" ca="1">'Tablica IO'!S215*INDEX(Model!$C$93:$CA$93,Model!$A59) + IF(wplyw_cen_import_wlaczony,'Tablica IO'!S293*INDEX(Model!$C$2:$CA$2,Model!$A59),'Tablica IO'!S293*1)</f>
        <v>7.2128268007728806E-3</v>
      </c>
      <c r="T59" s="222" cm="1">
        <f t="array" aca="1" ref="T59" ca="1">'Tablica IO'!T215*INDEX(Model!$C$93:$CA$93,Model!$A59) + IF(wplyw_cen_import_wlaczony,'Tablica IO'!T293*INDEX(Model!$C$2:$CA$2,Model!$A59),'Tablica IO'!T293*1)</f>
        <v>4.4557543763985661E-3</v>
      </c>
      <c r="U59" s="222" cm="1">
        <f t="array" aca="1" ref="U59" ca="1">'Tablica IO'!U215*INDEX(Model!$C$93:$CA$93,Model!$A59) + IF(wplyw_cen_import_wlaczony,'Tablica IO'!U293*INDEX(Model!$C$2:$CA$2,Model!$A59),'Tablica IO'!U293*1)</f>
        <v>2.6076505536634714E-3</v>
      </c>
      <c r="V59" s="222" cm="1">
        <f t="array" aca="1" ref="V59" ca="1">'Tablica IO'!V215*INDEX(Model!$C$93:$CA$93,Model!$A59) + IF(wplyw_cen_import_wlaczony,'Tablica IO'!V293*INDEX(Model!$C$2:$CA$2,Model!$A59),'Tablica IO'!V293*1)</f>
        <v>3.2869724010387838E-3</v>
      </c>
      <c r="W59" s="222" cm="1">
        <f t="array" aca="1" ref="W59" ca="1">'Tablica IO'!W215*INDEX(Model!$C$93:$CA$93,Model!$A59) + IF(wplyw_cen_import_wlaczony,'Tablica IO'!W293*INDEX(Model!$C$2:$CA$2,Model!$A59),'Tablica IO'!W293*1)</f>
        <v>3.3835919642656847E-3</v>
      </c>
      <c r="X59" s="222" cm="1">
        <f t="array" aca="1" ref="X59" ca="1">'Tablica IO'!X215*INDEX(Model!$C$93:$CA$93,Model!$A59) + IF(wplyw_cen_import_wlaczony,'Tablica IO'!X293*INDEX(Model!$C$2:$CA$2,Model!$A59),'Tablica IO'!X293*1)</f>
        <v>4.0865746607938085E-3</v>
      </c>
      <c r="Y59" s="222" cm="1">
        <f t="array" aca="1" ref="Y59" ca="1">'Tablica IO'!Y215*INDEX(Model!$C$93:$CA$93,Model!$A59) + IF(wplyw_cen_import_wlaczony,'Tablica IO'!Y293*INDEX(Model!$C$2:$CA$2,Model!$A59),'Tablica IO'!Y293*1)</f>
        <v>5.3045271144994618E-3</v>
      </c>
      <c r="Z59" s="222" cm="1">
        <f t="array" aca="1" ref="Z59" ca="1">'Tablica IO'!Z215*INDEX(Model!$C$93:$CA$93,Model!$A59) + IF(wplyw_cen_import_wlaczony,'Tablica IO'!Z293*INDEX(Model!$C$2:$CA$2,Model!$A59),'Tablica IO'!Z293*1)</f>
        <v>2.167504971164001E-3</v>
      </c>
      <c r="AA59" s="222" cm="1">
        <f t="array" aca="1" ref="AA59" ca="1">'Tablica IO'!AA215*INDEX(Model!$C$93:$CA$93,Model!$A59) + IF(wplyw_cen_import_wlaczony,'Tablica IO'!AA293*INDEX(Model!$C$2:$CA$2,Model!$A59),'Tablica IO'!AA293*1)</f>
        <v>3.0068148997245215E-3</v>
      </c>
      <c r="AB59" s="222" cm="1">
        <f t="array" aca="1" ref="AB59" ca="1">'Tablica IO'!AB215*INDEX(Model!$C$93:$CA$93,Model!$A59) + IF(wplyw_cen_import_wlaczony,'Tablica IO'!AB293*INDEX(Model!$C$2:$CA$2,Model!$A59),'Tablica IO'!AB293*1)</f>
        <v>4.3496761700918662E-3</v>
      </c>
      <c r="AC59" s="222" cm="1">
        <f t="array" aca="1" ref="AC59" ca="1">'Tablica IO'!AC215*INDEX(Model!$C$93:$CA$93,Model!$A59) + IF(wplyw_cen_import_wlaczony,'Tablica IO'!AC293*INDEX(Model!$C$2:$CA$2,Model!$A59),'Tablica IO'!AC293*1)</f>
        <v>1.7643534082947016E-3</v>
      </c>
      <c r="AD59" s="222" cm="1">
        <f t="array" aca="1" ref="AD59" ca="1">'Tablica IO'!AD215*INDEX(Model!$C$93:$CA$93,Model!$A59) + IF(wplyw_cen_import_wlaczony,'Tablica IO'!AD293*INDEX(Model!$C$2:$CA$2,Model!$A59),'Tablica IO'!AD293*1)</f>
        <v>1.9612377938469489E-3</v>
      </c>
      <c r="AE59" s="222" cm="1">
        <f t="array" aca="1" ref="AE59" ca="1">'Tablica IO'!AE215*INDEX(Model!$C$93:$CA$93,Model!$A59) + IF(wplyw_cen_import_wlaczony,'Tablica IO'!AE293*INDEX(Model!$C$2:$CA$2,Model!$A59),'Tablica IO'!AE293*1)</f>
        <v>4.1667418606482123E-3</v>
      </c>
      <c r="AF59" s="222" cm="1">
        <f t="array" aca="1" ref="AF59" ca="1">'Tablica IO'!AF215*INDEX(Model!$C$93:$CA$93,Model!$A59) + IF(wplyw_cen_import_wlaczony,'Tablica IO'!AF293*INDEX(Model!$C$2:$CA$2,Model!$A59),'Tablica IO'!AF293*1)</f>
        <v>7.9971268439124228E-3</v>
      </c>
      <c r="AG59" s="222" cm="1">
        <f t="array" aca="1" ref="AG59" ca="1">'Tablica IO'!AG215*INDEX(Model!$C$93:$CA$93,Model!$A59) + IF(wplyw_cen_import_wlaczony,'Tablica IO'!AG293*INDEX(Model!$C$2:$CA$2,Model!$A59),'Tablica IO'!AG293*1)</f>
        <v>2.8841103476209976E-3</v>
      </c>
      <c r="AH59" s="222" cm="1">
        <f t="array" aca="1" ref="AH59" ca="1">'Tablica IO'!AH215*INDEX(Model!$C$93:$CA$93,Model!$A59) + IF(wplyw_cen_import_wlaczony,'Tablica IO'!AH293*INDEX(Model!$C$2:$CA$2,Model!$A59),'Tablica IO'!AH293*1)</f>
        <v>1.1843043162953148E-3</v>
      </c>
      <c r="AI59" s="222" cm="1">
        <f t="array" aca="1" ref="AI59" ca="1">'Tablica IO'!AI215*INDEX(Model!$C$93:$CA$93,Model!$A59) + IF(wplyw_cen_import_wlaczony,'Tablica IO'!AI293*INDEX(Model!$C$2:$CA$2,Model!$A59),'Tablica IO'!AI293*1)</f>
        <v>8.7016521373042518E-4</v>
      </c>
      <c r="AJ59" s="222" cm="1">
        <f t="array" aca="1" ref="AJ59" ca="1">'Tablica IO'!AJ215*INDEX(Model!$C$93:$CA$93,Model!$A59) + IF(wplyw_cen_import_wlaczony,'Tablica IO'!AJ293*INDEX(Model!$C$2:$CA$2,Model!$A59),'Tablica IO'!AJ293*1)</f>
        <v>1.7208709305039907E-3</v>
      </c>
      <c r="AK59" s="222" cm="1">
        <f t="array" aca="1" ref="AK59" ca="1">'Tablica IO'!AK215*INDEX(Model!$C$93:$CA$93,Model!$A59) + IF(wplyw_cen_import_wlaczony,'Tablica IO'!AK293*INDEX(Model!$C$2:$CA$2,Model!$A59),'Tablica IO'!AK293*1)</f>
        <v>1.0238493084404096E-2</v>
      </c>
      <c r="AL59" s="222" cm="1">
        <f t="array" aca="1" ref="AL59" ca="1">'Tablica IO'!AL215*INDEX(Model!$C$93:$CA$93,Model!$A59) + IF(wplyw_cen_import_wlaczony,'Tablica IO'!AL293*INDEX(Model!$C$2:$CA$2,Model!$A59),'Tablica IO'!AL293*1)</f>
        <v>1.4847703460178529E-2</v>
      </c>
      <c r="AM59" s="222" cm="1">
        <f t="array" aca="1" ref="AM59" ca="1">'Tablica IO'!AM215*INDEX(Model!$C$93:$CA$93,Model!$A59) + IF(wplyw_cen_import_wlaczony,'Tablica IO'!AM293*INDEX(Model!$C$2:$CA$2,Model!$A59),'Tablica IO'!AM293*1)</f>
        <v>8.4757211261567381E-3</v>
      </c>
      <c r="AN59" s="222" cm="1">
        <f t="array" aca="1" ref="AN59" ca="1">'Tablica IO'!AN215*INDEX(Model!$C$93:$CA$93,Model!$A59) + IF(wplyw_cen_import_wlaczony,'Tablica IO'!AN293*INDEX(Model!$C$2:$CA$2,Model!$A59),'Tablica IO'!AN293*1)</f>
        <v>3.5800108614862935E-3</v>
      </c>
      <c r="AO59" s="222" cm="1">
        <f t="array" aca="1" ref="AO59" ca="1">'Tablica IO'!AO215*INDEX(Model!$C$93:$CA$93,Model!$A59) + IF(wplyw_cen_import_wlaczony,'Tablica IO'!AO293*INDEX(Model!$C$2:$CA$2,Model!$A59),'Tablica IO'!AO293*1)</f>
        <v>3.7240267080563697E-3</v>
      </c>
      <c r="AP59" s="222" cm="1">
        <f t="array" aca="1" ref="AP59" ca="1">'Tablica IO'!AP215*INDEX(Model!$C$93:$CA$93,Model!$A59) + IF(wplyw_cen_import_wlaczony,'Tablica IO'!AP293*INDEX(Model!$C$2:$CA$2,Model!$A59),'Tablica IO'!AP293*1)</f>
        <v>8.0681442205556043E-3</v>
      </c>
      <c r="AQ59" s="222" cm="1">
        <f t="array" aca="1" ref="AQ59" ca="1">'Tablica IO'!AQ215*INDEX(Model!$C$93:$CA$93,Model!$A59) + IF(wplyw_cen_import_wlaczony,'Tablica IO'!AQ293*INDEX(Model!$C$2:$CA$2,Model!$A59),'Tablica IO'!AQ293*1)</f>
        <v>7.5886731518716704E-3</v>
      </c>
      <c r="AR59" s="222" cm="1">
        <f t="array" aca="1" ref="AR59" ca="1">'Tablica IO'!AR215*INDEX(Model!$C$93:$CA$93,Model!$A59) + IF(wplyw_cen_import_wlaczony,'Tablica IO'!AR293*INDEX(Model!$C$2:$CA$2,Model!$A59),'Tablica IO'!AR293*1)</f>
        <v>8.7395871247734273E-4</v>
      </c>
      <c r="AS59" s="222" cm="1">
        <f t="array" aca="1" ref="AS59" ca="1">'Tablica IO'!AS215*INDEX(Model!$C$93:$CA$93,Model!$A59) + IF(wplyw_cen_import_wlaczony,'Tablica IO'!AS293*INDEX(Model!$C$2:$CA$2,Model!$A59),'Tablica IO'!AS293*1)</f>
        <v>7.9628685843880734E-2</v>
      </c>
      <c r="AT59" s="222" cm="1">
        <f t="array" aca="1" ref="AT59" ca="1">'Tablica IO'!AT215*INDEX(Model!$C$93:$CA$93,Model!$A59) + IF(wplyw_cen_import_wlaczony,'Tablica IO'!AT293*INDEX(Model!$C$2:$CA$2,Model!$A59),'Tablica IO'!AT293*1)</f>
        <v>1.0309343884297245E-2</v>
      </c>
      <c r="AU59" s="222" cm="1">
        <f t="array" aca="1" ref="AU59" ca="1">'Tablica IO'!AU215*INDEX(Model!$C$93:$CA$93,Model!$A59) + IF(wplyw_cen_import_wlaczony,'Tablica IO'!AU293*INDEX(Model!$C$2:$CA$2,Model!$A59),'Tablica IO'!AU293*1)</f>
        <v>1.3436251132729899E-3</v>
      </c>
      <c r="AV59" s="222" cm="1">
        <f t="array" aca="1" ref="AV59" ca="1">'Tablica IO'!AV215*INDEX(Model!$C$93:$CA$93,Model!$A59) + IF(wplyw_cen_import_wlaczony,'Tablica IO'!AV293*INDEX(Model!$C$2:$CA$2,Model!$A59),'Tablica IO'!AV293*1)</f>
        <v>5.6178611932718045E-2</v>
      </c>
      <c r="AW59" s="222" cm="1">
        <f t="array" aca="1" ref="AW59" ca="1">'Tablica IO'!AW215*INDEX(Model!$C$93:$CA$93,Model!$A59) + IF(wplyw_cen_import_wlaczony,'Tablica IO'!AW293*INDEX(Model!$C$2:$CA$2,Model!$A59),'Tablica IO'!AW293*1)</f>
        <v>0.18543501570601686</v>
      </c>
      <c r="AX59" s="222" cm="1">
        <f t="array" aca="1" ref="AX59" ca="1">'Tablica IO'!AX215*INDEX(Model!$C$93:$CA$93,Model!$A59) + IF(wplyw_cen_import_wlaczony,'Tablica IO'!AX293*INDEX(Model!$C$2:$CA$2,Model!$A59),'Tablica IO'!AX293*1)</f>
        <v>9.8403697344581126E-2</v>
      </c>
      <c r="AY59" s="222" cm="1">
        <f t="array" aca="1" ref="AY59" ca="1">'Tablica IO'!AY215*INDEX(Model!$C$93:$CA$93,Model!$A59) + IF(wplyw_cen_import_wlaczony,'Tablica IO'!AY293*INDEX(Model!$C$2:$CA$2,Model!$A59),'Tablica IO'!AY293*1)</f>
        <v>3.2925791658632755E-2</v>
      </c>
      <c r="AZ59" s="222" cm="1">
        <f t="array" aca="1" ref="AZ59" ca="1">'Tablica IO'!AZ215*INDEX(Model!$C$93:$CA$93,Model!$A59) + IF(wplyw_cen_import_wlaczony,'Tablica IO'!AZ293*INDEX(Model!$C$2:$CA$2,Model!$A59),'Tablica IO'!AZ293*1)</f>
        <v>5.1340634572643401E-2</v>
      </c>
      <c r="BA59" s="222" cm="1">
        <f t="array" aca="1" ref="BA59" ca="1">'Tablica IO'!BA215*INDEX(Model!$C$93:$CA$93,Model!$A59) + IF(wplyw_cen_import_wlaczony,'Tablica IO'!BA293*INDEX(Model!$C$2:$CA$2,Model!$A59),'Tablica IO'!BA293*1)</f>
        <v>5.5021368452298207E-2</v>
      </c>
      <c r="BB59" s="222" cm="1">
        <f t="array" aca="1" ref="BB59" ca="1">'Tablica IO'!BB215*INDEX(Model!$C$93:$CA$93,Model!$A59) + IF(wplyw_cen_import_wlaczony,'Tablica IO'!BB293*INDEX(Model!$C$2:$CA$2,Model!$A59),'Tablica IO'!BB293*1)</f>
        <v>2.8273602195266756E-3</v>
      </c>
      <c r="BC59" s="222" cm="1">
        <f t="array" aca="1" ref="BC59" ca="1">'Tablica IO'!BC215*INDEX(Model!$C$93:$CA$93,Model!$A59) + IF(wplyw_cen_import_wlaczony,'Tablica IO'!BC293*INDEX(Model!$C$2:$CA$2,Model!$A59),'Tablica IO'!BC293*1)</f>
        <v>3.925083590530952E-2</v>
      </c>
      <c r="BD59" s="222" cm="1">
        <f t="array" aca="1" ref="BD59" ca="1">'Tablica IO'!BD215*INDEX(Model!$C$93:$CA$93,Model!$A59) + IF(wplyw_cen_import_wlaczony,'Tablica IO'!BD293*INDEX(Model!$C$2:$CA$2,Model!$A59),'Tablica IO'!BD293*1)</f>
        <v>4.8276069429652298E-2</v>
      </c>
      <c r="BE59" s="222" cm="1">
        <f t="array" aca="1" ref="BE59" ca="1">'Tablica IO'!BE215*INDEX(Model!$C$93:$CA$93,Model!$A59) + IF(wplyw_cen_import_wlaczony,'Tablica IO'!BE293*INDEX(Model!$C$2:$CA$2,Model!$A59),'Tablica IO'!BE293*1)</f>
        <v>7.3408865490210973E-3</v>
      </c>
      <c r="BF59" s="222" cm="1">
        <f t="array" aca="1" ref="BF59" ca="1">'Tablica IO'!BF215*INDEX(Model!$C$93:$CA$93,Model!$A59) + IF(wplyw_cen_import_wlaczony,'Tablica IO'!BF293*INDEX(Model!$C$2:$CA$2,Model!$A59),'Tablica IO'!BF293*1)</f>
        <v>1.2192207821853988E-2</v>
      </c>
      <c r="BG59" s="222" cm="1">
        <f t="array" aca="1" ref="BG59" ca="1">'Tablica IO'!BG215*INDEX(Model!$C$93:$CA$93,Model!$A59) + IF(wplyw_cen_import_wlaczony,'Tablica IO'!BG293*INDEX(Model!$C$2:$CA$2,Model!$A59),'Tablica IO'!BG293*1)</f>
        <v>1.0026801653391253E-2</v>
      </c>
      <c r="BH59" s="222" cm="1">
        <f t="array" aca="1" ref="BH59" ca="1">'Tablica IO'!BH215*INDEX(Model!$C$93:$CA$93,Model!$A59) + IF(wplyw_cen_import_wlaczony,'Tablica IO'!BH293*INDEX(Model!$C$2:$CA$2,Model!$A59),'Tablica IO'!BH293*1)</f>
        <v>3.5511862134896032E-3</v>
      </c>
      <c r="BI59" s="222" cm="1">
        <f t="array" aca="1" ref="BI59" ca="1">'Tablica IO'!BI215*INDEX(Model!$C$93:$CA$93,Model!$A59) + IF(wplyw_cen_import_wlaczony,'Tablica IO'!BI293*INDEX(Model!$C$2:$CA$2,Model!$A59),'Tablica IO'!BI293*1)</f>
        <v>4.0578431192615311E-4</v>
      </c>
      <c r="BJ59" s="222" cm="1">
        <f t="array" aca="1" ref="BJ59" ca="1">'Tablica IO'!BJ215*INDEX(Model!$C$93:$CA$93,Model!$A59) + IF(wplyw_cen_import_wlaczony,'Tablica IO'!BJ293*INDEX(Model!$C$2:$CA$2,Model!$A59),'Tablica IO'!BJ293*1)</f>
        <v>6.0488902566404332E-3</v>
      </c>
      <c r="BK59" s="222" cm="1">
        <f t="array" aca="1" ref="BK59" ca="1">'Tablica IO'!BK215*INDEX(Model!$C$93:$CA$93,Model!$A59) + IF(wplyw_cen_import_wlaczony,'Tablica IO'!BK293*INDEX(Model!$C$2:$CA$2,Model!$A59),'Tablica IO'!BK293*1)</f>
        <v>5.8055448092294865E-3</v>
      </c>
      <c r="BL59" s="222" cm="1">
        <f t="array" aca="1" ref="BL59" ca="1">'Tablica IO'!BL215*INDEX(Model!$C$93:$CA$93,Model!$A59) + IF(wplyw_cen_import_wlaczony,'Tablica IO'!BL293*INDEX(Model!$C$2:$CA$2,Model!$A59),'Tablica IO'!BL293*1)</f>
        <v>1.2503961261703098E-3</v>
      </c>
      <c r="BM59" s="222" cm="1">
        <f t="array" aca="1" ref="BM59" ca="1">'Tablica IO'!BM215*INDEX(Model!$C$93:$CA$93,Model!$A59) + IF(wplyw_cen_import_wlaczony,'Tablica IO'!BM293*INDEX(Model!$C$2:$CA$2,Model!$A59),'Tablica IO'!BM293*1)</f>
        <v>5.4056461213405488E-3</v>
      </c>
      <c r="BN59" s="222" cm="1">
        <f t="array" aca="1" ref="BN59" ca="1">'Tablica IO'!BN215*INDEX(Model!$C$93:$CA$93,Model!$A59) + IF(wplyw_cen_import_wlaczony,'Tablica IO'!BN293*INDEX(Model!$C$2:$CA$2,Model!$A59),'Tablica IO'!BN293*1)</f>
        <v>2.7858196660134438E-3</v>
      </c>
      <c r="BO59" s="222" cm="1">
        <f t="array" aca="1" ref="BO59" ca="1">'Tablica IO'!BO215*INDEX(Model!$C$93:$CA$93,Model!$A59) + IF(wplyw_cen_import_wlaczony,'Tablica IO'!BO293*INDEX(Model!$C$2:$CA$2,Model!$A59),'Tablica IO'!BO293*1)</f>
        <v>3.8189961376705684E-3</v>
      </c>
      <c r="BP59" s="222" cm="1">
        <f t="array" aca="1" ref="BP59" ca="1">'Tablica IO'!BP215*INDEX(Model!$C$93:$CA$93,Model!$A59) + IF(wplyw_cen_import_wlaczony,'Tablica IO'!BP293*INDEX(Model!$C$2:$CA$2,Model!$A59),'Tablica IO'!BP293*1)</f>
        <v>4.5422593114293102E-3</v>
      </c>
      <c r="BQ59" s="222" cm="1">
        <f t="array" aca="1" ref="BQ59" ca="1">'Tablica IO'!BQ215*INDEX(Model!$C$93:$CA$93,Model!$A59) + IF(wplyw_cen_import_wlaczony,'Tablica IO'!BQ293*INDEX(Model!$C$2:$CA$2,Model!$A59),'Tablica IO'!BQ293*1)</f>
        <v>4.3809672319800527E-3</v>
      </c>
      <c r="BR59" s="222" cm="1">
        <f t="array" aca="1" ref="BR59" ca="1">'Tablica IO'!BR215*INDEX(Model!$C$93:$CA$93,Model!$A59) + IF(wplyw_cen_import_wlaczony,'Tablica IO'!BR293*INDEX(Model!$C$2:$CA$2,Model!$A59),'Tablica IO'!BR293*1)</f>
        <v>2.7817056166378595E-3</v>
      </c>
      <c r="BS59" s="222" cm="1">
        <f t="array" aca="1" ref="BS59" ca="1">'Tablica IO'!BS215*INDEX(Model!$C$93:$CA$93,Model!$A59) + IF(wplyw_cen_import_wlaczony,'Tablica IO'!BS293*INDEX(Model!$C$2:$CA$2,Model!$A59),'Tablica IO'!BS293*1)</f>
        <v>1.2145368411129345E-3</v>
      </c>
      <c r="BT59" s="222" cm="1">
        <f t="array" aca="1" ref="BT59" ca="1">'Tablica IO'!BT215*INDEX(Model!$C$93:$CA$93,Model!$A59) + IF(wplyw_cen_import_wlaczony,'Tablica IO'!BT293*INDEX(Model!$C$2:$CA$2,Model!$A59),'Tablica IO'!BT293*1)</f>
        <v>5.1903604168892902E-3</v>
      </c>
      <c r="BU59" s="222" cm="1">
        <f t="array" aca="1" ref="BU59" ca="1">'Tablica IO'!BU215*INDEX(Model!$C$93:$CA$93,Model!$A59) + IF(wplyw_cen_import_wlaczony,'Tablica IO'!BU293*INDEX(Model!$C$2:$CA$2,Model!$A59),'Tablica IO'!BU293*1)</f>
        <v>7.857483664821651E-3</v>
      </c>
      <c r="BV59" s="222" cm="1">
        <f t="array" aca="1" ref="BV59" ca="1">'Tablica IO'!BV215*INDEX(Model!$C$93:$CA$93,Model!$A59) + IF(wplyw_cen_import_wlaczony,'Tablica IO'!BV293*INDEX(Model!$C$2:$CA$2,Model!$A59),'Tablica IO'!BV293*1)</f>
        <v>2.3665080454112065E-2</v>
      </c>
      <c r="BW59" s="222" cm="1">
        <f t="array" aca="1" ref="BW59" ca="1">'Tablica IO'!BW215*INDEX(Model!$C$93:$CA$93,Model!$A59) + IF(wplyw_cen_import_wlaczony,'Tablica IO'!BW293*INDEX(Model!$C$2:$CA$2,Model!$A59),'Tablica IO'!BW293*1)</f>
        <v>7.2993269998855356E-3</v>
      </c>
      <c r="BX59" s="222" cm="1">
        <f t="array" aca="1" ref="BX59" ca="1">'Tablica IO'!BX215*INDEX(Model!$C$93:$CA$93,Model!$A59) + IF(wplyw_cen_import_wlaczony,'Tablica IO'!BX293*INDEX(Model!$C$2:$CA$2,Model!$A59),'Tablica IO'!BX293*1)</f>
        <v>2.049255038162745E-2</v>
      </c>
      <c r="BY59" s="222" cm="1">
        <f t="array" aca="1" ref="BY59" ca="1">'Tablica IO'!BY215*INDEX(Model!$C$93:$CA$93,Model!$A59) + IF(wplyw_cen_import_wlaczony,'Tablica IO'!BY293*INDEX(Model!$C$2:$CA$2,Model!$A59),'Tablica IO'!BY293*1)</f>
        <v>1.5294700523791501E-2</v>
      </c>
      <c r="BZ59" s="222" cm="1">
        <f t="array" aca="1" ref="BZ59" ca="1">'Tablica IO'!BZ215*INDEX(Model!$C$93:$CA$93,Model!$A59) + IF(wplyw_cen_import_wlaczony,'Tablica IO'!BZ293*INDEX(Model!$C$2:$CA$2,Model!$A59),'Tablica IO'!BZ293*1)</f>
        <v>4.1061624086570986E-3</v>
      </c>
      <c r="CA59" s="222" cm="1">
        <f t="array" aca="1" ref="CA59" ca="1">'Tablica IO'!CA215*INDEX(Model!$C$93:$CA$93,Model!$A59) + IF(wplyw_cen_import_wlaczony,'Tablica IO'!CA293*INDEX(Model!$C$2:$CA$2,Model!$A59),'Tablica IO'!CA293*1)</f>
        <v>0</v>
      </c>
      <c r="CB59" s="247">
        <f ca="1">'Tablica IO'!CD215*INDEX(Model!$C$93:$CA$93,Model!$A59)+'Tablica IO'!CD293*INDEX(Model!$C$2:$CA$2,Model!$A59)</f>
        <v>0</v>
      </c>
      <c r="CC59" s="188">
        <f ca="1">'Tablica IO'!CE215*INDEX(Model!$C$93:$CA$93,Model!$A59)+'Tablica IO'!CE293*INDEX(Model!$C$2:$CA$2,Model!$A59)</f>
        <v>1.1112365296878925E-3</v>
      </c>
      <c r="CD59" s="188">
        <f ca="1">'Tablica IO'!CF215*INDEX(Model!$C$93:$CA$93,Model!$A59)+'Tablica IO'!CF293*INDEX(Model!$C$2:$CA$2,Model!$A59)</f>
        <v>2.4493677194199655E-2</v>
      </c>
      <c r="CE59" s="189">
        <f ca="1">'Tablica IO'!CG215*INDEX(Model!$C$93:$CA$93,Model!$A59)+'Tablica IO'!CG293*INDEX(Model!$C$2:$CA$2,Model!$A59)</f>
        <v>1.6086287946543883E-2</v>
      </c>
    </row>
    <row r="60" spans="1:83" x14ac:dyDescent="0.25">
      <c r="A60" s="164">
        <v>48</v>
      </c>
      <c r="B60" s="172" t="s">
        <v>47</v>
      </c>
      <c r="C60" s="221" cm="1">
        <f t="array" aca="1" ref="C60" ca="1">'Tablica IO'!C216*INDEX(Model!$C$93:$CA$93,Model!$A60) + IF(wplyw_cen_import_wlaczony,'Tablica IO'!C294*INDEX(Model!$C$2:$CA$2,Model!$A60),'Tablica IO'!C294*1)</f>
        <v>2.1908928610743985E-5</v>
      </c>
      <c r="D60" s="222" cm="1">
        <f t="array" aca="1" ref="D60" ca="1">'Tablica IO'!D216*INDEX(Model!$C$93:$CA$93,Model!$A60) + IF(wplyw_cen_import_wlaczony,'Tablica IO'!D294*INDEX(Model!$C$2:$CA$2,Model!$A60),'Tablica IO'!D294*1)</f>
        <v>3.0986254791680036E-4</v>
      </c>
      <c r="E60" s="222" cm="1">
        <f t="array" aca="1" ref="E60" ca="1">'Tablica IO'!E216*INDEX(Model!$C$93:$CA$93,Model!$A60) + IF(wplyw_cen_import_wlaczony,'Tablica IO'!E294*INDEX(Model!$C$2:$CA$2,Model!$A60),'Tablica IO'!E294*1)</f>
        <v>6.2014461192718041E-5</v>
      </c>
      <c r="F60" s="222" cm="1">
        <f t="array" aca="1" ref="F60" ca="1">'Tablica IO'!F216*INDEX(Model!$C$93:$CA$93,Model!$A60) + IF(wplyw_cen_import_wlaczony,'Tablica IO'!F294*INDEX(Model!$C$2:$CA$2,Model!$A60),'Tablica IO'!F294*1)</f>
        <v>1.59416176145566E-3</v>
      </c>
      <c r="G60" s="222" cm="1">
        <f t="array" aca="1" ref="G60" ca="1">'Tablica IO'!G216*INDEX(Model!$C$93:$CA$93,Model!$A60) + IF(wplyw_cen_import_wlaczony,'Tablica IO'!G294*INDEX(Model!$C$2:$CA$2,Model!$A60),'Tablica IO'!G294*1)</f>
        <v>2.6494753616716505E-4</v>
      </c>
      <c r="H60" s="222" cm="1">
        <f t="array" aca="1" ref="H60" ca="1">'Tablica IO'!H216*INDEX(Model!$C$93:$CA$93,Model!$A60) + IF(wplyw_cen_import_wlaczony,'Tablica IO'!H294*INDEX(Model!$C$2:$CA$2,Model!$A60),'Tablica IO'!H294*1)</f>
        <v>3.308412177188279E-4</v>
      </c>
      <c r="I60" s="222" cm="1">
        <f t="array" aca="1" ref="I60" ca="1">'Tablica IO'!I216*INDEX(Model!$C$93:$CA$93,Model!$A60) + IF(wplyw_cen_import_wlaczony,'Tablica IO'!I294*INDEX(Model!$C$2:$CA$2,Model!$A60),'Tablica IO'!I294*1)</f>
        <v>9.8429738627135483E-4</v>
      </c>
      <c r="J60" s="222" cm="1">
        <f t="array" aca="1" ref="J60" ca="1">'Tablica IO'!J216*INDEX(Model!$C$93:$CA$93,Model!$A60) + IF(wplyw_cen_import_wlaczony,'Tablica IO'!J294*INDEX(Model!$C$2:$CA$2,Model!$A60),'Tablica IO'!J294*1)</f>
        <v>1.7327229015248889E-3</v>
      </c>
      <c r="K60" s="222" cm="1">
        <f t="array" aca="1" ref="K60" ca="1">'Tablica IO'!K216*INDEX(Model!$C$93:$CA$93,Model!$A60) + IF(wplyw_cen_import_wlaczony,'Tablica IO'!K294*INDEX(Model!$C$2:$CA$2,Model!$A60),'Tablica IO'!K294*1)</f>
        <v>1.926141216754888E-4</v>
      </c>
      <c r="L60" s="222" cm="1">
        <f t="array" aca="1" ref="L60" ca="1">'Tablica IO'!L216*INDEX(Model!$C$93:$CA$93,Model!$A60) + IF(wplyw_cen_import_wlaczony,'Tablica IO'!L294*INDEX(Model!$C$2:$CA$2,Model!$A60),'Tablica IO'!L294*1)</f>
        <v>9.3136906269775544E-5</v>
      </c>
      <c r="M60" s="222" cm="1">
        <f t="array" aca="1" ref="M60" ca="1">'Tablica IO'!M216*INDEX(Model!$C$93:$CA$93,Model!$A60) + IF(wplyw_cen_import_wlaczony,'Tablica IO'!M294*INDEX(Model!$C$2:$CA$2,Model!$A60),'Tablica IO'!M294*1)</f>
        <v>2.419205538338056E-4</v>
      </c>
      <c r="N60" s="222" cm="1">
        <f t="array" aca="1" ref="N60" ca="1">'Tablica IO'!N216*INDEX(Model!$C$93:$CA$93,Model!$A60) + IF(wplyw_cen_import_wlaczony,'Tablica IO'!N294*INDEX(Model!$C$2:$CA$2,Model!$A60),'Tablica IO'!N294*1)</f>
        <v>1.700783599687792E-4</v>
      </c>
      <c r="O60" s="222" cm="1">
        <f t="array" aca="1" ref="O60" ca="1">'Tablica IO'!O216*INDEX(Model!$C$93:$CA$93,Model!$A60) + IF(wplyw_cen_import_wlaczony,'Tablica IO'!O294*INDEX(Model!$C$2:$CA$2,Model!$A60),'Tablica IO'!O294*1)</f>
        <v>2.5195000227807115E-4</v>
      </c>
      <c r="P60" s="222" cm="1">
        <f t="array" aca="1" ref="P60" ca="1">'Tablica IO'!P216*INDEX(Model!$C$93:$CA$93,Model!$A60) + IF(wplyw_cen_import_wlaczony,'Tablica IO'!P294*INDEX(Model!$C$2:$CA$2,Model!$A60),'Tablica IO'!P294*1)</f>
        <v>2.0286813049413379E-3</v>
      </c>
      <c r="Q60" s="222" cm="1">
        <f t="array" aca="1" ref="Q60" ca="1">'Tablica IO'!Q216*INDEX(Model!$C$93:$CA$93,Model!$A60) + IF(wplyw_cen_import_wlaczony,'Tablica IO'!Q294*INDEX(Model!$C$2:$CA$2,Model!$A60),'Tablica IO'!Q294*1)</f>
        <v>1.4179311976974409E-4</v>
      </c>
      <c r="R60" s="222" cm="1">
        <f t="array" aca="1" ref="R60" ca="1">'Tablica IO'!R216*INDEX(Model!$C$93:$CA$93,Model!$A60) + IF(wplyw_cen_import_wlaczony,'Tablica IO'!R294*INDEX(Model!$C$2:$CA$2,Model!$A60),'Tablica IO'!R294*1)</f>
        <v>8.0617736478915737E-4</v>
      </c>
      <c r="S60" s="222" cm="1">
        <f t="array" aca="1" ref="S60" ca="1">'Tablica IO'!S216*INDEX(Model!$C$93:$CA$93,Model!$A60) + IF(wplyw_cen_import_wlaczony,'Tablica IO'!S294*INDEX(Model!$C$2:$CA$2,Model!$A60),'Tablica IO'!S294*1)</f>
        <v>3.8308460396018844E-3</v>
      </c>
      <c r="T60" s="222" cm="1">
        <f t="array" aca="1" ref="T60" ca="1">'Tablica IO'!T216*INDEX(Model!$C$93:$CA$93,Model!$A60) + IF(wplyw_cen_import_wlaczony,'Tablica IO'!T294*INDEX(Model!$C$2:$CA$2,Model!$A60),'Tablica IO'!T294*1)</f>
        <v>9.1845134907290126E-4</v>
      </c>
      <c r="U60" s="222" cm="1">
        <f t="array" aca="1" ref="U60" ca="1">'Tablica IO'!U216*INDEX(Model!$C$93:$CA$93,Model!$A60) + IF(wplyw_cen_import_wlaczony,'Tablica IO'!U294*INDEX(Model!$C$2:$CA$2,Model!$A60),'Tablica IO'!U294*1)</f>
        <v>2.2486371785881892E-4</v>
      </c>
      <c r="V60" s="222" cm="1">
        <f t="array" aca="1" ref="V60" ca="1">'Tablica IO'!V216*INDEX(Model!$C$93:$CA$93,Model!$A60) + IF(wplyw_cen_import_wlaczony,'Tablica IO'!V294*INDEX(Model!$C$2:$CA$2,Model!$A60),'Tablica IO'!V294*1)</f>
        <v>3.4484537421963519E-4</v>
      </c>
      <c r="W60" s="222" cm="1">
        <f t="array" aca="1" ref="W60" ca="1">'Tablica IO'!W216*INDEX(Model!$C$93:$CA$93,Model!$A60) + IF(wplyw_cen_import_wlaczony,'Tablica IO'!W294*INDEX(Model!$C$2:$CA$2,Model!$A60),'Tablica IO'!W294*1)</f>
        <v>1.9165672459510222E-4</v>
      </c>
      <c r="X60" s="222" cm="1">
        <f t="array" aca="1" ref="X60" ca="1">'Tablica IO'!X216*INDEX(Model!$C$93:$CA$93,Model!$A60) + IF(wplyw_cen_import_wlaczony,'Tablica IO'!X294*INDEX(Model!$C$2:$CA$2,Model!$A60),'Tablica IO'!X294*1)</f>
        <v>1.0294009183565384E-3</v>
      </c>
      <c r="Y60" s="222" cm="1">
        <f t="array" aca="1" ref="Y60" ca="1">'Tablica IO'!Y216*INDEX(Model!$C$93:$CA$93,Model!$A60) + IF(wplyw_cen_import_wlaczony,'Tablica IO'!Y294*INDEX(Model!$C$2:$CA$2,Model!$A60),'Tablica IO'!Y294*1)</f>
        <v>1.0672880375492914E-3</v>
      </c>
      <c r="Z60" s="222" cm="1">
        <f t="array" aca="1" ref="Z60" ca="1">'Tablica IO'!Z216*INDEX(Model!$C$93:$CA$93,Model!$A60) + IF(wplyw_cen_import_wlaczony,'Tablica IO'!Z294*INDEX(Model!$C$2:$CA$2,Model!$A60),'Tablica IO'!Z294*1)</f>
        <v>9.1188604770946086E-5</v>
      </c>
      <c r="AA60" s="222" cm="1">
        <f t="array" aca="1" ref="AA60" ca="1">'Tablica IO'!AA216*INDEX(Model!$C$93:$CA$93,Model!$A60) + IF(wplyw_cen_import_wlaczony,'Tablica IO'!AA294*INDEX(Model!$C$2:$CA$2,Model!$A60),'Tablica IO'!AA294*1)</f>
        <v>9.713491290024537E-5</v>
      </c>
      <c r="AB60" s="222" cm="1">
        <f t="array" aca="1" ref="AB60" ca="1">'Tablica IO'!AB216*INDEX(Model!$C$93:$CA$93,Model!$A60) + IF(wplyw_cen_import_wlaczony,'Tablica IO'!AB294*INDEX(Model!$C$2:$CA$2,Model!$A60),'Tablica IO'!AB294*1)</f>
        <v>7.4858598208479583E-4</v>
      </c>
      <c r="AC60" s="222" cm="1">
        <f t="array" aca="1" ref="AC60" ca="1">'Tablica IO'!AC216*INDEX(Model!$C$93:$CA$93,Model!$A60) + IF(wplyw_cen_import_wlaczony,'Tablica IO'!AC294*INDEX(Model!$C$2:$CA$2,Model!$A60),'Tablica IO'!AC294*1)</f>
        <v>1.7055849224500364E-4</v>
      </c>
      <c r="AD60" s="222" cm="1">
        <f t="array" aca="1" ref="AD60" ca="1">'Tablica IO'!AD216*INDEX(Model!$C$93:$CA$93,Model!$A60) + IF(wplyw_cen_import_wlaczony,'Tablica IO'!AD294*INDEX(Model!$C$2:$CA$2,Model!$A60),'Tablica IO'!AD294*1)</f>
        <v>4.4576814963083054E-4</v>
      </c>
      <c r="AE60" s="222" cm="1">
        <f t="array" aca="1" ref="AE60" ca="1">'Tablica IO'!AE216*INDEX(Model!$C$93:$CA$93,Model!$A60) + IF(wplyw_cen_import_wlaczony,'Tablica IO'!AE294*INDEX(Model!$C$2:$CA$2,Model!$A60),'Tablica IO'!AE294*1)</f>
        <v>1.3207185472225344E-4</v>
      </c>
      <c r="AF60" s="222" cm="1">
        <f t="array" aca="1" ref="AF60" ca="1">'Tablica IO'!AF216*INDEX(Model!$C$93:$CA$93,Model!$A60) + IF(wplyw_cen_import_wlaczony,'Tablica IO'!AF294*INDEX(Model!$C$2:$CA$2,Model!$A60),'Tablica IO'!AF294*1)</f>
        <v>4.4521590566953438E-4</v>
      </c>
      <c r="AG60" s="222" cm="1">
        <f t="array" aca="1" ref="AG60" ca="1">'Tablica IO'!AG216*INDEX(Model!$C$93:$CA$93,Model!$A60) + IF(wplyw_cen_import_wlaczony,'Tablica IO'!AG294*INDEX(Model!$C$2:$CA$2,Model!$A60),'Tablica IO'!AG294*1)</f>
        <v>7.3973094342058023E-4</v>
      </c>
      <c r="AH60" s="222" cm="1">
        <f t="array" aca="1" ref="AH60" ca="1">'Tablica IO'!AH216*INDEX(Model!$C$93:$CA$93,Model!$A60) + IF(wplyw_cen_import_wlaczony,'Tablica IO'!AH294*INDEX(Model!$C$2:$CA$2,Model!$A60),'Tablica IO'!AH294*1)</f>
        <v>1.8019532450429693E-4</v>
      </c>
      <c r="AI60" s="222" cm="1">
        <f t="array" aca="1" ref="AI60" ca="1">'Tablica IO'!AI216*INDEX(Model!$C$93:$CA$93,Model!$A60) + IF(wplyw_cen_import_wlaczony,'Tablica IO'!AI294*INDEX(Model!$C$2:$CA$2,Model!$A60),'Tablica IO'!AI294*1)</f>
        <v>1.5633888796964338E-4</v>
      </c>
      <c r="AJ60" s="222" cm="1">
        <f t="array" aca="1" ref="AJ60" ca="1">'Tablica IO'!AJ216*INDEX(Model!$C$93:$CA$93,Model!$A60) + IF(wplyw_cen_import_wlaczony,'Tablica IO'!AJ294*INDEX(Model!$C$2:$CA$2,Model!$A60),'Tablica IO'!AJ294*1)</f>
        <v>3.961965416802069E-4</v>
      </c>
      <c r="AK60" s="222" cm="1">
        <f t="array" aca="1" ref="AK60" ca="1">'Tablica IO'!AK216*INDEX(Model!$C$93:$CA$93,Model!$A60) + IF(wplyw_cen_import_wlaczony,'Tablica IO'!AK294*INDEX(Model!$C$2:$CA$2,Model!$A60),'Tablica IO'!AK294*1)</f>
        <v>3.2229882196093546E-3</v>
      </c>
      <c r="AL60" s="222" cm="1">
        <f t="array" aca="1" ref="AL60" ca="1">'Tablica IO'!AL216*INDEX(Model!$C$93:$CA$93,Model!$A60) + IF(wplyw_cen_import_wlaczony,'Tablica IO'!AL294*INDEX(Model!$C$2:$CA$2,Model!$A60),'Tablica IO'!AL294*1)</f>
        <v>3.5262194511833365E-3</v>
      </c>
      <c r="AM60" s="222" cm="1">
        <f t="array" aca="1" ref="AM60" ca="1">'Tablica IO'!AM216*INDEX(Model!$C$93:$CA$93,Model!$A60) + IF(wplyw_cen_import_wlaczony,'Tablica IO'!AM294*INDEX(Model!$C$2:$CA$2,Model!$A60),'Tablica IO'!AM294*1)</f>
        <v>2.1720928427795667E-3</v>
      </c>
      <c r="AN60" s="222" cm="1">
        <f t="array" aca="1" ref="AN60" ca="1">'Tablica IO'!AN216*INDEX(Model!$C$93:$CA$93,Model!$A60) + IF(wplyw_cen_import_wlaczony,'Tablica IO'!AN294*INDEX(Model!$C$2:$CA$2,Model!$A60),'Tablica IO'!AN294*1)</f>
        <v>1.3703117711760535E-3</v>
      </c>
      <c r="AO60" s="222" cm="1">
        <f t="array" aca="1" ref="AO60" ca="1">'Tablica IO'!AO216*INDEX(Model!$C$93:$CA$93,Model!$A60) + IF(wplyw_cen_import_wlaczony,'Tablica IO'!AO294*INDEX(Model!$C$2:$CA$2,Model!$A60),'Tablica IO'!AO294*1)</f>
        <v>8.3323887376282706E-3</v>
      </c>
      <c r="AP60" s="222" cm="1">
        <f t="array" aca="1" ref="AP60" ca="1">'Tablica IO'!AP216*INDEX(Model!$C$93:$CA$93,Model!$A60) + IF(wplyw_cen_import_wlaczony,'Tablica IO'!AP294*INDEX(Model!$C$2:$CA$2,Model!$A60),'Tablica IO'!AP294*1)</f>
        <v>8.5021606098951031E-4</v>
      </c>
      <c r="AQ60" s="222" cm="1">
        <f t="array" aca="1" ref="AQ60" ca="1">'Tablica IO'!AQ216*INDEX(Model!$C$93:$CA$93,Model!$A60) + IF(wplyw_cen_import_wlaczony,'Tablica IO'!AQ294*INDEX(Model!$C$2:$CA$2,Model!$A60),'Tablica IO'!AQ294*1)</f>
        <v>1.1717598885400409E-3</v>
      </c>
      <c r="AR60" s="222" cm="1">
        <f t="array" aca="1" ref="AR60" ca="1">'Tablica IO'!AR216*INDEX(Model!$C$93:$CA$93,Model!$A60) + IF(wplyw_cen_import_wlaczony,'Tablica IO'!AR294*INDEX(Model!$C$2:$CA$2,Model!$A60),'Tablica IO'!AR294*1)</f>
        <v>3.6602996602528188E-4</v>
      </c>
      <c r="AS60" s="222" cm="1">
        <f t="array" aca="1" ref="AS60" ca="1">'Tablica IO'!AS216*INDEX(Model!$C$93:$CA$93,Model!$A60) + IF(wplyw_cen_import_wlaczony,'Tablica IO'!AS294*INDEX(Model!$C$2:$CA$2,Model!$A60),'Tablica IO'!AS294*1)</f>
        <v>2.0835312213235004E-2</v>
      </c>
      <c r="AT60" s="222" cm="1">
        <f t="array" aca="1" ref="AT60" ca="1">'Tablica IO'!AT216*INDEX(Model!$C$93:$CA$93,Model!$A60) + IF(wplyw_cen_import_wlaczony,'Tablica IO'!AT294*INDEX(Model!$C$2:$CA$2,Model!$A60),'Tablica IO'!AT294*1)</f>
        <v>1.5212205984057978E-3</v>
      </c>
      <c r="AU60" s="222" cm="1">
        <f t="array" aca="1" ref="AU60" ca="1">'Tablica IO'!AU216*INDEX(Model!$C$93:$CA$93,Model!$A60) + IF(wplyw_cen_import_wlaczony,'Tablica IO'!AU294*INDEX(Model!$C$2:$CA$2,Model!$A60),'Tablica IO'!AU294*1)</f>
        <v>0.12859832240004446</v>
      </c>
      <c r="AV60" s="222" cm="1">
        <f t="array" aca="1" ref="AV60" ca="1">'Tablica IO'!AV216*INDEX(Model!$C$93:$CA$93,Model!$A60) + IF(wplyw_cen_import_wlaczony,'Tablica IO'!AV294*INDEX(Model!$C$2:$CA$2,Model!$A60),'Tablica IO'!AV294*1)</f>
        <v>9.6360721556536418E-3</v>
      </c>
      <c r="AW60" s="222" cm="1">
        <f t="array" aca="1" ref="AW60" ca="1">'Tablica IO'!AW216*INDEX(Model!$C$93:$CA$93,Model!$A60) + IF(wplyw_cen_import_wlaczony,'Tablica IO'!AW294*INDEX(Model!$C$2:$CA$2,Model!$A60),'Tablica IO'!AW294*1)</f>
        <v>1.8728831983694193E-2</v>
      </c>
      <c r="AX60" s="222" cm="1">
        <f t="array" aca="1" ref="AX60" ca="1">'Tablica IO'!AX216*INDEX(Model!$C$93:$CA$93,Model!$A60) + IF(wplyw_cen_import_wlaczony,'Tablica IO'!AX294*INDEX(Model!$C$2:$CA$2,Model!$A60),'Tablica IO'!AX294*1)</f>
        <v>0.16355347917547536</v>
      </c>
      <c r="AY60" s="222" cm="1">
        <f t="array" aca="1" ref="AY60" ca="1">'Tablica IO'!AY216*INDEX(Model!$C$93:$CA$93,Model!$A60) + IF(wplyw_cen_import_wlaczony,'Tablica IO'!AY294*INDEX(Model!$C$2:$CA$2,Model!$A60),'Tablica IO'!AY294*1)</f>
        <v>1.2349107976155238E-2</v>
      </c>
      <c r="AZ60" s="222" cm="1">
        <f t="array" aca="1" ref="AZ60" ca="1">'Tablica IO'!AZ216*INDEX(Model!$C$93:$CA$93,Model!$A60) + IF(wplyw_cen_import_wlaczony,'Tablica IO'!AZ294*INDEX(Model!$C$2:$CA$2,Model!$A60),'Tablica IO'!AZ294*1)</f>
        <v>1.802056842730107E-2</v>
      </c>
      <c r="BA60" s="222" cm="1">
        <f t="array" aca="1" ref="BA60" ca="1">'Tablica IO'!BA216*INDEX(Model!$C$93:$CA$93,Model!$A60) + IF(wplyw_cen_import_wlaczony,'Tablica IO'!BA294*INDEX(Model!$C$2:$CA$2,Model!$A60),'Tablica IO'!BA294*1)</f>
        <v>1.0023273603581838E-2</v>
      </c>
      <c r="BB60" s="222" cm="1">
        <f t="array" aca="1" ref="BB60" ca="1">'Tablica IO'!BB216*INDEX(Model!$C$93:$CA$93,Model!$A60) + IF(wplyw_cen_import_wlaczony,'Tablica IO'!BB294*INDEX(Model!$C$2:$CA$2,Model!$A60),'Tablica IO'!BB294*1)</f>
        <v>8.5623205721687568E-3</v>
      </c>
      <c r="BC60" s="222" cm="1">
        <f t="array" aca="1" ref="BC60" ca="1">'Tablica IO'!BC216*INDEX(Model!$C$93:$CA$93,Model!$A60) + IF(wplyw_cen_import_wlaczony,'Tablica IO'!BC294*INDEX(Model!$C$2:$CA$2,Model!$A60),'Tablica IO'!BC294*1)</f>
        <v>1.634938408955369E-3</v>
      </c>
      <c r="BD60" s="222" cm="1">
        <f t="array" aca="1" ref="BD60" ca="1">'Tablica IO'!BD216*INDEX(Model!$C$93:$CA$93,Model!$A60) + IF(wplyw_cen_import_wlaczony,'Tablica IO'!BD294*INDEX(Model!$C$2:$CA$2,Model!$A60),'Tablica IO'!BD294*1)</f>
        <v>4.3834502266673313E-3</v>
      </c>
      <c r="BE60" s="222" cm="1">
        <f t="array" aca="1" ref="BE60" ca="1">'Tablica IO'!BE216*INDEX(Model!$C$93:$CA$93,Model!$A60) + IF(wplyw_cen_import_wlaczony,'Tablica IO'!BE294*INDEX(Model!$C$2:$CA$2,Model!$A60),'Tablica IO'!BE294*1)</f>
        <v>4.1191522040929694E-4</v>
      </c>
      <c r="BF60" s="222" cm="1">
        <f t="array" aca="1" ref="BF60" ca="1">'Tablica IO'!BF216*INDEX(Model!$C$93:$CA$93,Model!$A60) + IF(wplyw_cen_import_wlaczony,'Tablica IO'!BF294*INDEX(Model!$C$2:$CA$2,Model!$A60),'Tablica IO'!BF294*1)</f>
        <v>9.1130713771184983E-4</v>
      </c>
      <c r="BG60" s="222" cm="1">
        <f t="array" aca="1" ref="BG60" ca="1">'Tablica IO'!BG216*INDEX(Model!$C$93:$CA$93,Model!$A60) + IF(wplyw_cen_import_wlaczony,'Tablica IO'!BG294*INDEX(Model!$C$2:$CA$2,Model!$A60),'Tablica IO'!BG294*1)</f>
        <v>3.1415883993719065E-3</v>
      </c>
      <c r="BH60" s="222" cm="1">
        <f t="array" aca="1" ref="BH60" ca="1">'Tablica IO'!BH216*INDEX(Model!$C$93:$CA$93,Model!$A60) + IF(wplyw_cen_import_wlaczony,'Tablica IO'!BH294*INDEX(Model!$C$2:$CA$2,Model!$A60),'Tablica IO'!BH294*1)</f>
        <v>2.8785274694523977E-4</v>
      </c>
      <c r="BI60" s="222" cm="1">
        <f t="array" aca="1" ref="BI60" ca="1">'Tablica IO'!BI216*INDEX(Model!$C$93:$CA$93,Model!$A60) + IF(wplyw_cen_import_wlaczony,'Tablica IO'!BI294*INDEX(Model!$C$2:$CA$2,Model!$A60),'Tablica IO'!BI294*1)</f>
        <v>0</v>
      </c>
      <c r="BJ60" s="222" cm="1">
        <f t="array" aca="1" ref="BJ60" ca="1">'Tablica IO'!BJ216*INDEX(Model!$C$93:$CA$93,Model!$A60) + IF(wplyw_cen_import_wlaczony,'Tablica IO'!BJ294*INDEX(Model!$C$2:$CA$2,Model!$A60),'Tablica IO'!BJ294*1)</f>
        <v>4.0177659222882681E-4</v>
      </c>
      <c r="BK60" s="222" cm="1">
        <f t="array" aca="1" ref="BK60" ca="1">'Tablica IO'!BK216*INDEX(Model!$C$93:$CA$93,Model!$A60) + IF(wplyw_cen_import_wlaczony,'Tablica IO'!BK294*INDEX(Model!$C$2:$CA$2,Model!$A60),'Tablica IO'!BK294*1)</f>
        <v>1.7857623547212181E-4</v>
      </c>
      <c r="BL60" s="222" cm="1">
        <f t="array" aca="1" ref="BL60" ca="1">'Tablica IO'!BL216*INDEX(Model!$C$93:$CA$93,Model!$A60) + IF(wplyw_cen_import_wlaczony,'Tablica IO'!BL294*INDEX(Model!$C$2:$CA$2,Model!$A60),'Tablica IO'!BL294*1)</f>
        <v>2.7926579293318244E-4</v>
      </c>
      <c r="BM60" s="222" cm="1">
        <f t="array" aca="1" ref="BM60" ca="1">'Tablica IO'!BM216*INDEX(Model!$C$93:$CA$93,Model!$A60) + IF(wplyw_cen_import_wlaczony,'Tablica IO'!BM294*INDEX(Model!$C$2:$CA$2,Model!$A60),'Tablica IO'!BM294*1)</f>
        <v>1.2133094959003194E-3</v>
      </c>
      <c r="BN60" s="222" cm="1">
        <f t="array" aca="1" ref="BN60" ca="1">'Tablica IO'!BN216*INDEX(Model!$C$93:$CA$93,Model!$A60) + IF(wplyw_cen_import_wlaczony,'Tablica IO'!BN294*INDEX(Model!$C$2:$CA$2,Model!$A60),'Tablica IO'!BN294*1)</f>
        <v>1.155980880330659E-5</v>
      </c>
      <c r="BO60" s="222" cm="1">
        <f t="array" aca="1" ref="BO60" ca="1">'Tablica IO'!BO216*INDEX(Model!$C$93:$CA$93,Model!$A60) + IF(wplyw_cen_import_wlaczony,'Tablica IO'!BO294*INDEX(Model!$C$2:$CA$2,Model!$A60),'Tablica IO'!BO294*1)</f>
        <v>1.0184064083855306E-3</v>
      </c>
      <c r="BP60" s="222" cm="1">
        <f t="array" aca="1" ref="BP60" ca="1">'Tablica IO'!BP216*INDEX(Model!$C$93:$CA$93,Model!$A60) + IF(wplyw_cen_import_wlaczony,'Tablica IO'!BP294*INDEX(Model!$C$2:$CA$2,Model!$A60),'Tablica IO'!BP294*1)</f>
        <v>4.8058773606700915E-5</v>
      </c>
      <c r="BQ60" s="222" cm="1">
        <f t="array" aca="1" ref="BQ60" ca="1">'Tablica IO'!BQ216*INDEX(Model!$C$93:$CA$93,Model!$A60) + IF(wplyw_cen_import_wlaczony,'Tablica IO'!BQ294*INDEX(Model!$C$2:$CA$2,Model!$A60),'Tablica IO'!BQ294*1)</f>
        <v>3.9126059025588562E-3</v>
      </c>
      <c r="BR60" s="222" cm="1">
        <f t="array" aca="1" ref="BR60" ca="1">'Tablica IO'!BR216*INDEX(Model!$C$93:$CA$93,Model!$A60) + IF(wplyw_cen_import_wlaczony,'Tablica IO'!BR294*INDEX(Model!$C$2:$CA$2,Model!$A60),'Tablica IO'!BR294*1)</f>
        <v>4.1864978571293172E-4</v>
      </c>
      <c r="BS60" s="222" cm="1">
        <f t="array" aca="1" ref="BS60" ca="1">'Tablica IO'!BS216*INDEX(Model!$C$93:$CA$93,Model!$A60) + IF(wplyw_cen_import_wlaczony,'Tablica IO'!BS294*INDEX(Model!$C$2:$CA$2,Model!$A60),'Tablica IO'!BS294*1)</f>
        <v>2.0720261990986707E-5</v>
      </c>
      <c r="BT60" s="222" cm="1">
        <f t="array" aca="1" ref="BT60" ca="1">'Tablica IO'!BT216*INDEX(Model!$C$93:$CA$93,Model!$A60) + IF(wplyw_cen_import_wlaczony,'Tablica IO'!BT294*INDEX(Model!$C$2:$CA$2,Model!$A60),'Tablica IO'!BT294*1)</f>
        <v>1.2509758682796432E-3</v>
      </c>
      <c r="BU60" s="222" cm="1">
        <f t="array" aca="1" ref="BU60" ca="1">'Tablica IO'!BU216*INDEX(Model!$C$93:$CA$93,Model!$A60) + IF(wplyw_cen_import_wlaczony,'Tablica IO'!BU294*INDEX(Model!$C$2:$CA$2,Model!$A60),'Tablica IO'!BU294*1)</f>
        <v>1.4477830323946894E-3</v>
      </c>
      <c r="BV60" s="222" cm="1">
        <f t="array" aca="1" ref="BV60" ca="1">'Tablica IO'!BV216*INDEX(Model!$C$93:$CA$93,Model!$A60) + IF(wplyw_cen_import_wlaczony,'Tablica IO'!BV294*INDEX(Model!$C$2:$CA$2,Model!$A60),'Tablica IO'!BV294*1)</f>
        <v>1.5784795543193129E-4</v>
      </c>
      <c r="BW60" s="222" cm="1">
        <f t="array" aca="1" ref="BW60" ca="1">'Tablica IO'!BW216*INDEX(Model!$C$93:$CA$93,Model!$A60) + IF(wplyw_cen_import_wlaczony,'Tablica IO'!BW294*INDEX(Model!$C$2:$CA$2,Model!$A60),'Tablica IO'!BW294*1)</f>
        <v>9.8173892266767887E-5</v>
      </c>
      <c r="BX60" s="222" cm="1">
        <f t="array" aca="1" ref="BX60" ca="1">'Tablica IO'!BX216*INDEX(Model!$C$93:$CA$93,Model!$A60) + IF(wplyw_cen_import_wlaczony,'Tablica IO'!BX294*INDEX(Model!$C$2:$CA$2,Model!$A60),'Tablica IO'!BX294*1)</f>
        <v>2.1564825395630576E-5</v>
      </c>
      <c r="BY60" s="222" cm="1">
        <f t="array" aca="1" ref="BY60" ca="1">'Tablica IO'!BY216*INDEX(Model!$C$93:$CA$93,Model!$A60) + IF(wplyw_cen_import_wlaczony,'Tablica IO'!BY294*INDEX(Model!$C$2:$CA$2,Model!$A60),'Tablica IO'!BY294*1)</f>
        <v>6.8823529858440653E-5</v>
      </c>
      <c r="BZ60" s="222" cm="1">
        <f t="array" aca="1" ref="BZ60" ca="1">'Tablica IO'!BZ216*INDEX(Model!$C$93:$CA$93,Model!$A60) + IF(wplyw_cen_import_wlaczony,'Tablica IO'!BZ294*INDEX(Model!$C$2:$CA$2,Model!$A60),'Tablica IO'!BZ294*1)</f>
        <v>1.610953698575193E-4</v>
      </c>
      <c r="CA60" s="222" cm="1">
        <f t="array" aca="1" ref="CA60" ca="1">'Tablica IO'!CA216*INDEX(Model!$C$93:$CA$93,Model!$A60) + IF(wplyw_cen_import_wlaczony,'Tablica IO'!CA294*INDEX(Model!$C$2:$CA$2,Model!$A60),'Tablica IO'!CA294*1)</f>
        <v>0</v>
      </c>
      <c r="CB60" s="247">
        <f ca="1">'Tablica IO'!CD216*INDEX(Model!$C$93:$CA$93,Model!$A60)+'Tablica IO'!CD294*INDEX(Model!$C$2:$CA$2,Model!$A60)</f>
        <v>4.6723198818719925E-4</v>
      </c>
      <c r="CC60" s="188">
        <f ca="1">'Tablica IO'!CE216*INDEX(Model!$C$93:$CA$93,Model!$A60)+'Tablica IO'!CE294*INDEX(Model!$C$2:$CA$2,Model!$A60)</f>
        <v>9.7505423645997605E-5</v>
      </c>
      <c r="CD60" s="188">
        <f ca="1">'Tablica IO'!CF216*INDEX(Model!$C$93:$CA$93,Model!$A60)+'Tablica IO'!CF294*INDEX(Model!$C$2:$CA$2,Model!$A60)</f>
        <v>-2.16447961019071E-6</v>
      </c>
      <c r="CE60" s="189">
        <f ca="1">'Tablica IO'!CG216*INDEX(Model!$C$93:$CA$93,Model!$A60)+'Tablica IO'!CG294*INDEX(Model!$C$2:$CA$2,Model!$A60)</f>
        <v>6.4599999627058867E-4</v>
      </c>
    </row>
    <row r="61" spans="1:83" x14ac:dyDescent="0.25">
      <c r="A61" s="164">
        <v>49</v>
      </c>
      <c r="B61" s="172" t="s">
        <v>48</v>
      </c>
      <c r="C61" s="221" cm="1">
        <f t="array" aca="1" ref="C61" ca="1">'Tablica IO'!C217*INDEX(Model!$C$93:$CA$93,Model!$A61) + IF(wplyw_cen_import_wlaczony,'Tablica IO'!C295*INDEX(Model!$C$2:$CA$2,Model!$A61),'Tablica IO'!C295*1)</f>
        <v>6.7837428438692173E-3</v>
      </c>
      <c r="D61" s="222" cm="1">
        <f t="array" aca="1" ref="D61" ca="1">'Tablica IO'!D217*INDEX(Model!$C$93:$CA$93,Model!$A61) + IF(wplyw_cen_import_wlaczony,'Tablica IO'!D295*INDEX(Model!$C$2:$CA$2,Model!$A61),'Tablica IO'!D295*1)</f>
        <v>8.6701453178064172E-3</v>
      </c>
      <c r="E61" s="222" cm="1">
        <f t="array" aca="1" ref="E61" ca="1">'Tablica IO'!E217*INDEX(Model!$C$93:$CA$93,Model!$A61) + IF(wplyw_cen_import_wlaczony,'Tablica IO'!E295*INDEX(Model!$C$2:$CA$2,Model!$A61),'Tablica IO'!E295*1)</f>
        <v>8.3294106797290133E-3</v>
      </c>
      <c r="F61" s="222" cm="1">
        <f t="array" aca="1" ref="F61" ca="1">'Tablica IO'!F217*INDEX(Model!$C$93:$CA$93,Model!$A61) + IF(wplyw_cen_import_wlaczony,'Tablica IO'!F295*INDEX(Model!$C$2:$CA$2,Model!$A61),'Tablica IO'!F295*1)</f>
        <v>4.3436047870350422E-3</v>
      </c>
      <c r="G61" s="222" cm="1">
        <f t="array" aca="1" ref="G61" ca="1">'Tablica IO'!G217*INDEX(Model!$C$93:$CA$93,Model!$A61) + IF(wplyw_cen_import_wlaczony,'Tablica IO'!G295*INDEX(Model!$C$2:$CA$2,Model!$A61),'Tablica IO'!G295*1)</f>
        <v>9.5263256962064159E-3</v>
      </c>
      <c r="H61" s="222" cm="1">
        <f t="array" aca="1" ref="H61" ca="1">'Tablica IO'!H217*INDEX(Model!$C$93:$CA$93,Model!$A61) + IF(wplyw_cen_import_wlaczony,'Tablica IO'!H295*INDEX(Model!$C$2:$CA$2,Model!$A61),'Tablica IO'!H295*1)</f>
        <v>6.4824502796996114E-3</v>
      </c>
      <c r="I61" s="222" cm="1">
        <f t="array" aca="1" ref="I61" ca="1">'Tablica IO'!I217*INDEX(Model!$C$93:$CA$93,Model!$A61) + IF(wplyw_cen_import_wlaczony,'Tablica IO'!I295*INDEX(Model!$C$2:$CA$2,Model!$A61),'Tablica IO'!I295*1)</f>
        <v>8.7112398964566736E-3</v>
      </c>
      <c r="J61" s="222" cm="1">
        <f t="array" aca="1" ref="J61" ca="1">'Tablica IO'!J217*INDEX(Model!$C$93:$CA$93,Model!$A61) + IF(wplyw_cen_import_wlaczony,'Tablica IO'!J295*INDEX(Model!$C$2:$CA$2,Model!$A61),'Tablica IO'!J295*1)</f>
        <v>4.1283056309645485E-3</v>
      </c>
      <c r="K61" s="222" cm="1">
        <f t="array" aca="1" ref="K61" ca="1">'Tablica IO'!K217*INDEX(Model!$C$93:$CA$93,Model!$A61) + IF(wplyw_cen_import_wlaczony,'Tablica IO'!K295*INDEX(Model!$C$2:$CA$2,Model!$A61),'Tablica IO'!K295*1)</f>
        <v>1.0574754472255523E-2</v>
      </c>
      <c r="L61" s="222" cm="1">
        <f t="array" aca="1" ref="L61" ca="1">'Tablica IO'!L217*INDEX(Model!$C$93:$CA$93,Model!$A61) + IF(wplyw_cen_import_wlaczony,'Tablica IO'!L295*INDEX(Model!$C$2:$CA$2,Model!$A61),'Tablica IO'!L295*1)</f>
        <v>5.0498034034431091E-3</v>
      </c>
      <c r="M61" s="222" cm="1">
        <f t="array" aca="1" ref="M61" ca="1">'Tablica IO'!M217*INDEX(Model!$C$93:$CA$93,Model!$A61) + IF(wplyw_cen_import_wlaczony,'Tablica IO'!M295*INDEX(Model!$C$2:$CA$2,Model!$A61),'Tablica IO'!M295*1)</f>
        <v>8.7312156063805314E-3</v>
      </c>
      <c r="N61" s="222" cm="1">
        <f t="array" aca="1" ref="N61" ca="1">'Tablica IO'!N217*INDEX(Model!$C$93:$CA$93,Model!$A61) + IF(wplyw_cen_import_wlaczony,'Tablica IO'!N295*INDEX(Model!$C$2:$CA$2,Model!$A61),'Tablica IO'!N295*1)</f>
        <v>6.8243850823990222E-3</v>
      </c>
      <c r="O61" s="222" cm="1">
        <f t="array" aca="1" ref="O61" ca="1">'Tablica IO'!O217*INDEX(Model!$C$93:$CA$93,Model!$A61) + IF(wplyw_cen_import_wlaczony,'Tablica IO'!O295*INDEX(Model!$C$2:$CA$2,Model!$A61),'Tablica IO'!O295*1)</f>
        <v>4.8891437209475303E-3</v>
      </c>
      <c r="P61" s="222" cm="1">
        <f t="array" aca="1" ref="P61" ca="1">'Tablica IO'!P217*INDEX(Model!$C$93:$CA$93,Model!$A61) + IF(wplyw_cen_import_wlaczony,'Tablica IO'!P295*INDEX(Model!$C$2:$CA$2,Model!$A61),'Tablica IO'!P295*1)</f>
        <v>1.0866712485983436E-2</v>
      </c>
      <c r="Q61" s="222" cm="1">
        <f t="array" aca="1" ref="Q61" ca="1">'Tablica IO'!Q217*INDEX(Model!$C$93:$CA$93,Model!$A61) + IF(wplyw_cen_import_wlaczony,'Tablica IO'!Q295*INDEX(Model!$C$2:$CA$2,Model!$A61),'Tablica IO'!Q295*1)</f>
        <v>8.3887685437772277E-3</v>
      </c>
      <c r="R61" s="222" cm="1">
        <f t="array" aca="1" ref="R61" ca="1">'Tablica IO'!R217*INDEX(Model!$C$93:$CA$93,Model!$A61) + IF(wplyw_cen_import_wlaczony,'Tablica IO'!R295*INDEX(Model!$C$2:$CA$2,Model!$A61),'Tablica IO'!R295*1)</f>
        <v>4.7107017946195458E-3</v>
      </c>
      <c r="S61" s="222" cm="1">
        <f t="array" aca="1" ref="S61" ca="1">'Tablica IO'!S217*INDEX(Model!$C$93:$CA$93,Model!$A61) + IF(wplyw_cen_import_wlaczony,'Tablica IO'!S295*INDEX(Model!$C$2:$CA$2,Model!$A61),'Tablica IO'!S295*1)</f>
        <v>4.5430094003534854E-3</v>
      </c>
      <c r="T61" s="222" cm="1">
        <f t="array" aca="1" ref="T61" ca="1">'Tablica IO'!T217*INDEX(Model!$C$93:$CA$93,Model!$A61) + IF(wplyw_cen_import_wlaczony,'Tablica IO'!T295*INDEX(Model!$C$2:$CA$2,Model!$A61),'Tablica IO'!T295*1)</f>
        <v>5.6163166778387969E-3</v>
      </c>
      <c r="U61" s="222" cm="1">
        <f t="array" aca="1" ref="U61" ca="1">'Tablica IO'!U217*INDEX(Model!$C$93:$CA$93,Model!$A61) + IF(wplyw_cen_import_wlaczony,'Tablica IO'!U295*INDEX(Model!$C$2:$CA$2,Model!$A61),'Tablica IO'!U295*1)</f>
        <v>5.4289757425789609E-3</v>
      </c>
      <c r="V61" s="222" cm="1">
        <f t="array" aca="1" ref="V61" ca="1">'Tablica IO'!V217*INDEX(Model!$C$93:$CA$93,Model!$A61) + IF(wplyw_cen_import_wlaczony,'Tablica IO'!V295*INDEX(Model!$C$2:$CA$2,Model!$A61),'Tablica IO'!V295*1)</f>
        <v>8.2205071003725767E-3</v>
      </c>
      <c r="W61" s="222" cm="1">
        <f t="array" aca="1" ref="W61" ca="1">'Tablica IO'!W217*INDEX(Model!$C$93:$CA$93,Model!$A61) + IF(wplyw_cen_import_wlaczony,'Tablica IO'!W295*INDEX(Model!$C$2:$CA$2,Model!$A61),'Tablica IO'!W295*1)</f>
        <v>7.0735058233151321E-3</v>
      </c>
      <c r="X61" s="222" cm="1">
        <f t="array" aca="1" ref="X61" ca="1">'Tablica IO'!X217*INDEX(Model!$C$93:$CA$93,Model!$A61) + IF(wplyw_cen_import_wlaczony,'Tablica IO'!X295*INDEX(Model!$C$2:$CA$2,Model!$A61),'Tablica IO'!X295*1)</f>
        <v>5.1306331735663608E-3</v>
      </c>
      <c r="Y61" s="222" cm="1">
        <f t="array" aca="1" ref="Y61" ca="1">'Tablica IO'!Y217*INDEX(Model!$C$93:$CA$93,Model!$A61) + IF(wplyw_cen_import_wlaczony,'Tablica IO'!Y295*INDEX(Model!$C$2:$CA$2,Model!$A61),'Tablica IO'!Y295*1)</f>
        <v>4.9493465068388707E-3</v>
      </c>
      <c r="Z61" s="222" cm="1">
        <f t="array" aca="1" ref="Z61" ca="1">'Tablica IO'!Z217*INDEX(Model!$C$93:$CA$93,Model!$A61) + IF(wplyw_cen_import_wlaczony,'Tablica IO'!Z295*INDEX(Model!$C$2:$CA$2,Model!$A61),'Tablica IO'!Z295*1)</f>
        <v>4.9392502799821348E-3</v>
      </c>
      <c r="AA61" s="222" cm="1">
        <f t="array" aca="1" ref="AA61" ca="1">'Tablica IO'!AA217*INDEX(Model!$C$93:$CA$93,Model!$A61) + IF(wplyw_cen_import_wlaczony,'Tablica IO'!AA295*INDEX(Model!$C$2:$CA$2,Model!$A61),'Tablica IO'!AA295*1)</f>
        <v>5.5323529004569988E-3</v>
      </c>
      <c r="AB61" s="222" cm="1">
        <f t="array" aca="1" ref="AB61" ca="1">'Tablica IO'!AB217*INDEX(Model!$C$93:$CA$93,Model!$A61) + IF(wplyw_cen_import_wlaczony,'Tablica IO'!AB295*INDEX(Model!$C$2:$CA$2,Model!$A61),'Tablica IO'!AB295*1)</f>
        <v>8.0035947405527764E-3</v>
      </c>
      <c r="AC61" s="222" cm="1">
        <f t="array" aca="1" ref="AC61" ca="1">'Tablica IO'!AC217*INDEX(Model!$C$93:$CA$93,Model!$A61) + IF(wplyw_cen_import_wlaczony,'Tablica IO'!AC295*INDEX(Model!$C$2:$CA$2,Model!$A61),'Tablica IO'!AC295*1)</f>
        <v>4.6062518096837554E-3</v>
      </c>
      <c r="AD61" s="222" cm="1">
        <f t="array" aca="1" ref="AD61" ca="1">'Tablica IO'!AD217*INDEX(Model!$C$93:$CA$93,Model!$A61) + IF(wplyw_cen_import_wlaczony,'Tablica IO'!AD295*INDEX(Model!$C$2:$CA$2,Model!$A61),'Tablica IO'!AD295*1)</f>
        <v>5.1970208698766977E-3</v>
      </c>
      <c r="AE61" s="222" cm="1">
        <f t="array" aca="1" ref="AE61" ca="1">'Tablica IO'!AE217*INDEX(Model!$C$93:$CA$93,Model!$A61) + IF(wplyw_cen_import_wlaczony,'Tablica IO'!AE295*INDEX(Model!$C$2:$CA$2,Model!$A61),'Tablica IO'!AE295*1)</f>
        <v>6.3085190174569572E-3</v>
      </c>
      <c r="AF61" s="222" cm="1">
        <f t="array" aca="1" ref="AF61" ca="1">'Tablica IO'!AF217*INDEX(Model!$C$93:$CA$93,Model!$A61) + IF(wplyw_cen_import_wlaczony,'Tablica IO'!AF295*INDEX(Model!$C$2:$CA$2,Model!$A61),'Tablica IO'!AF295*1)</f>
        <v>4.8022859526370698E-3</v>
      </c>
      <c r="AG61" s="222" cm="1">
        <f t="array" aca="1" ref="AG61" ca="1">'Tablica IO'!AG217*INDEX(Model!$C$93:$CA$93,Model!$A61) + IF(wplyw_cen_import_wlaczony,'Tablica IO'!AG295*INDEX(Model!$C$2:$CA$2,Model!$A61),'Tablica IO'!AG295*1)</f>
        <v>3.9525925393027028E-3</v>
      </c>
      <c r="AH61" s="222" cm="1">
        <f t="array" aca="1" ref="AH61" ca="1">'Tablica IO'!AH217*INDEX(Model!$C$93:$CA$93,Model!$A61) + IF(wplyw_cen_import_wlaczony,'Tablica IO'!AH295*INDEX(Model!$C$2:$CA$2,Model!$A61),'Tablica IO'!AH295*1)</f>
        <v>9.8541077906450173E-3</v>
      </c>
      <c r="AI61" s="222" cm="1">
        <f t="array" aca="1" ref="AI61" ca="1">'Tablica IO'!AI217*INDEX(Model!$C$93:$CA$93,Model!$A61) + IF(wplyw_cen_import_wlaczony,'Tablica IO'!AI295*INDEX(Model!$C$2:$CA$2,Model!$A61),'Tablica IO'!AI295*1)</f>
        <v>6.3977888738196874E-3</v>
      </c>
      <c r="AJ61" s="222" cm="1">
        <f t="array" aca="1" ref="AJ61" ca="1">'Tablica IO'!AJ217*INDEX(Model!$C$93:$CA$93,Model!$A61) + IF(wplyw_cen_import_wlaczony,'Tablica IO'!AJ295*INDEX(Model!$C$2:$CA$2,Model!$A61),'Tablica IO'!AJ295*1)</f>
        <v>5.6861128787962633E-3</v>
      </c>
      <c r="AK61" s="222" cm="1">
        <f t="array" aca="1" ref="AK61" ca="1">'Tablica IO'!AK217*INDEX(Model!$C$93:$CA$93,Model!$A61) + IF(wplyw_cen_import_wlaczony,'Tablica IO'!AK295*INDEX(Model!$C$2:$CA$2,Model!$A61),'Tablica IO'!AK295*1)</f>
        <v>2.2074125105484524E-2</v>
      </c>
      <c r="AL61" s="222" cm="1">
        <f t="array" aca="1" ref="AL61" ca="1">'Tablica IO'!AL217*INDEX(Model!$C$93:$CA$93,Model!$A61) + IF(wplyw_cen_import_wlaczony,'Tablica IO'!AL295*INDEX(Model!$C$2:$CA$2,Model!$A61),'Tablica IO'!AL295*1)</f>
        <v>9.3602265824023843E-3</v>
      </c>
      <c r="AM61" s="222" cm="1">
        <f t="array" aca="1" ref="AM61" ca="1">'Tablica IO'!AM217*INDEX(Model!$C$93:$CA$93,Model!$A61) + IF(wplyw_cen_import_wlaczony,'Tablica IO'!AM295*INDEX(Model!$C$2:$CA$2,Model!$A61),'Tablica IO'!AM295*1)</f>
        <v>6.7837369664224788E-3</v>
      </c>
      <c r="AN61" s="222" cm="1">
        <f t="array" aca="1" ref="AN61" ca="1">'Tablica IO'!AN217*INDEX(Model!$C$93:$CA$93,Model!$A61) + IF(wplyw_cen_import_wlaczony,'Tablica IO'!AN295*INDEX(Model!$C$2:$CA$2,Model!$A61),'Tablica IO'!AN295*1)</f>
        <v>6.8688863222882103E-3</v>
      </c>
      <c r="AO61" s="222" cm="1">
        <f t="array" aca="1" ref="AO61" ca="1">'Tablica IO'!AO217*INDEX(Model!$C$93:$CA$93,Model!$A61) + IF(wplyw_cen_import_wlaczony,'Tablica IO'!AO295*INDEX(Model!$C$2:$CA$2,Model!$A61),'Tablica IO'!AO295*1)</f>
        <v>7.1989387431212592E-3</v>
      </c>
      <c r="AP61" s="222" cm="1">
        <f t="array" aca="1" ref="AP61" ca="1">'Tablica IO'!AP217*INDEX(Model!$C$93:$CA$93,Model!$A61) + IF(wplyw_cen_import_wlaczony,'Tablica IO'!AP295*INDEX(Model!$C$2:$CA$2,Model!$A61),'Tablica IO'!AP295*1)</f>
        <v>6.8587561322976586E-3</v>
      </c>
      <c r="AQ61" s="222" cm="1">
        <f t="array" aca="1" ref="AQ61" ca="1">'Tablica IO'!AQ217*INDEX(Model!$C$93:$CA$93,Model!$A61) + IF(wplyw_cen_import_wlaczony,'Tablica IO'!AQ295*INDEX(Model!$C$2:$CA$2,Model!$A61),'Tablica IO'!AQ295*1)</f>
        <v>4.504350017489985E-3</v>
      </c>
      <c r="AR61" s="222" cm="1">
        <f t="array" aca="1" ref="AR61" ca="1">'Tablica IO'!AR217*INDEX(Model!$C$93:$CA$93,Model!$A61) + IF(wplyw_cen_import_wlaczony,'Tablica IO'!AR295*INDEX(Model!$C$2:$CA$2,Model!$A61),'Tablica IO'!AR295*1)</f>
        <v>4.861185694523905E-3</v>
      </c>
      <c r="AS61" s="222" cm="1">
        <f t="array" aca="1" ref="AS61" ca="1">'Tablica IO'!AS217*INDEX(Model!$C$93:$CA$93,Model!$A61) + IF(wplyw_cen_import_wlaczony,'Tablica IO'!AS295*INDEX(Model!$C$2:$CA$2,Model!$A61),'Tablica IO'!AS295*1)</f>
        <v>1.1073178694397735E-2</v>
      </c>
      <c r="AT61" s="222" cm="1">
        <f t="array" aca="1" ref="AT61" ca="1">'Tablica IO'!AT217*INDEX(Model!$C$93:$CA$93,Model!$A61) + IF(wplyw_cen_import_wlaczony,'Tablica IO'!AT295*INDEX(Model!$C$2:$CA$2,Model!$A61),'Tablica IO'!AT295*1)</f>
        <v>2.0437863727365356E-2</v>
      </c>
      <c r="AU61" s="222" cm="1">
        <f t="array" aca="1" ref="AU61" ca="1">'Tablica IO'!AU217*INDEX(Model!$C$93:$CA$93,Model!$A61) + IF(wplyw_cen_import_wlaczony,'Tablica IO'!AU295*INDEX(Model!$C$2:$CA$2,Model!$A61),'Tablica IO'!AU295*1)</f>
        <v>7.3644477685996012E-3</v>
      </c>
      <c r="AV61" s="222" cm="1">
        <f t="array" aca="1" ref="AV61" ca="1">'Tablica IO'!AV217*INDEX(Model!$C$93:$CA$93,Model!$A61) + IF(wplyw_cen_import_wlaczony,'Tablica IO'!AV295*INDEX(Model!$C$2:$CA$2,Model!$A61),'Tablica IO'!AV295*1)</f>
        <v>9.8828733081024692E-3</v>
      </c>
      <c r="AW61" s="222" cm="1">
        <f t="array" aca="1" ref="AW61" ca="1">'Tablica IO'!AW217*INDEX(Model!$C$93:$CA$93,Model!$A61) + IF(wplyw_cen_import_wlaczony,'Tablica IO'!AW295*INDEX(Model!$C$2:$CA$2,Model!$A61),'Tablica IO'!AW295*1)</f>
        <v>5.4904092111768884E-3</v>
      </c>
      <c r="AX61" s="222" cm="1">
        <f t="array" aca="1" ref="AX61" ca="1">'Tablica IO'!AX217*INDEX(Model!$C$93:$CA$93,Model!$A61) + IF(wplyw_cen_import_wlaczony,'Tablica IO'!AX295*INDEX(Model!$C$2:$CA$2,Model!$A61),'Tablica IO'!AX295*1)</f>
        <v>9.2132268467084825E-3</v>
      </c>
      <c r="AY61" s="222" cm="1">
        <f t="array" aca="1" ref="AY61" ca="1">'Tablica IO'!AY217*INDEX(Model!$C$93:$CA$93,Model!$A61) + IF(wplyw_cen_import_wlaczony,'Tablica IO'!AY295*INDEX(Model!$C$2:$CA$2,Model!$A61),'Tablica IO'!AY295*1)</f>
        <v>0.13384845254892105</v>
      </c>
      <c r="AZ61" s="222" cm="1">
        <f t="array" aca="1" ref="AZ61" ca="1">'Tablica IO'!AZ217*INDEX(Model!$C$93:$CA$93,Model!$A61) + IF(wplyw_cen_import_wlaczony,'Tablica IO'!AZ295*INDEX(Model!$C$2:$CA$2,Model!$A61),'Tablica IO'!AZ295*1)</f>
        <v>1.9557891684640498E-2</v>
      </c>
      <c r="BA61" s="222" cm="1">
        <f t="array" aca="1" ref="BA61" ca="1">'Tablica IO'!BA217*INDEX(Model!$C$93:$CA$93,Model!$A61) + IF(wplyw_cen_import_wlaczony,'Tablica IO'!BA295*INDEX(Model!$C$2:$CA$2,Model!$A61),'Tablica IO'!BA295*1)</f>
        <v>0.10092956783369897</v>
      </c>
      <c r="BB61" s="222" cm="1">
        <f t="array" aca="1" ref="BB61" ca="1">'Tablica IO'!BB217*INDEX(Model!$C$93:$CA$93,Model!$A61) + IF(wplyw_cen_import_wlaczony,'Tablica IO'!BB295*INDEX(Model!$C$2:$CA$2,Model!$A61),'Tablica IO'!BB295*1)</f>
        <v>2.7680086241404663E-2</v>
      </c>
      <c r="BC61" s="222" cm="1">
        <f t="array" aca="1" ref="BC61" ca="1">'Tablica IO'!BC217*INDEX(Model!$C$93:$CA$93,Model!$A61) + IF(wplyw_cen_import_wlaczony,'Tablica IO'!BC295*INDEX(Model!$C$2:$CA$2,Model!$A61),'Tablica IO'!BC295*1)</f>
        <v>5.4895381897526047E-3</v>
      </c>
      <c r="BD61" s="222" cm="1">
        <f t="array" aca="1" ref="BD61" ca="1">'Tablica IO'!BD217*INDEX(Model!$C$93:$CA$93,Model!$A61) + IF(wplyw_cen_import_wlaczony,'Tablica IO'!BD295*INDEX(Model!$C$2:$CA$2,Model!$A61),'Tablica IO'!BD295*1)</f>
        <v>1.3531731878346198E-2</v>
      </c>
      <c r="BE61" s="222" cm="1">
        <f t="array" aca="1" ref="BE61" ca="1">'Tablica IO'!BE217*INDEX(Model!$C$93:$CA$93,Model!$A61) + IF(wplyw_cen_import_wlaczony,'Tablica IO'!BE295*INDEX(Model!$C$2:$CA$2,Model!$A61),'Tablica IO'!BE295*1)</f>
        <v>7.1726192467153789E-3</v>
      </c>
      <c r="BF61" s="222" cm="1">
        <f t="array" aca="1" ref="BF61" ca="1">'Tablica IO'!BF217*INDEX(Model!$C$93:$CA$93,Model!$A61) + IF(wplyw_cen_import_wlaczony,'Tablica IO'!BF295*INDEX(Model!$C$2:$CA$2,Model!$A61),'Tablica IO'!BF295*1)</f>
        <v>1.1512861463305685E-2</v>
      </c>
      <c r="BG61" s="222" cm="1">
        <f t="array" aca="1" ref="BG61" ca="1">'Tablica IO'!BG217*INDEX(Model!$C$93:$CA$93,Model!$A61) + IF(wplyw_cen_import_wlaczony,'Tablica IO'!BG295*INDEX(Model!$C$2:$CA$2,Model!$A61),'Tablica IO'!BG295*1)</f>
        <v>8.9509545984747859E-3</v>
      </c>
      <c r="BH61" s="222" cm="1">
        <f t="array" aca="1" ref="BH61" ca="1">'Tablica IO'!BH217*INDEX(Model!$C$93:$CA$93,Model!$A61) + IF(wplyw_cen_import_wlaczony,'Tablica IO'!BH295*INDEX(Model!$C$2:$CA$2,Model!$A61),'Tablica IO'!BH295*1)</f>
        <v>1.4234277194272471E-2</v>
      </c>
      <c r="BI61" s="222" cm="1">
        <f t="array" aca="1" ref="BI61" ca="1">'Tablica IO'!BI217*INDEX(Model!$C$93:$CA$93,Model!$A61) + IF(wplyw_cen_import_wlaczony,'Tablica IO'!BI295*INDEX(Model!$C$2:$CA$2,Model!$A61),'Tablica IO'!BI295*1)</f>
        <v>1.5503255658306295E-2</v>
      </c>
      <c r="BJ61" s="222" cm="1">
        <f t="array" aca="1" ref="BJ61" ca="1">'Tablica IO'!BJ217*INDEX(Model!$C$93:$CA$93,Model!$A61) + IF(wplyw_cen_import_wlaczony,'Tablica IO'!BJ295*INDEX(Model!$C$2:$CA$2,Model!$A61),'Tablica IO'!BJ295*1)</f>
        <v>5.6761777025740173E-3</v>
      </c>
      <c r="BK61" s="222" cm="1">
        <f t="array" aca="1" ref="BK61" ca="1">'Tablica IO'!BK217*INDEX(Model!$C$93:$CA$93,Model!$A61) + IF(wplyw_cen_import_wlaczony,'Tablica IO'!BK295*INDEX(Model!$C$2:$CA$2,Model!$A61),'Tablica IO'!BK295*1)</f>
        <v>6.7401385937080971E-3</v>
      </c>
      <c r="BL61" s="222" cm="1">
        <f t="array" aca="1" ref="BL61" ca="1">'Tablica IO'!BL217*INDEX(Model!$C$93:$CA$93,Model!$A61) + IF(wplyw_cen_import_wlaczony,'Tablica IO'!BL295*INDEX(Model!$C$2:$CA$2,Model!$A61),'Tablica IO'!BL295*1)</f>
        <v>8.4862817852426626E-3</v>
      </c>
      <c r="BM61" s="222" cm="1">
        <f t="array" aca="1" ref="BM61" ca="1">'Tablica IO'!BM217*INDEX(Model!$C$93:$CA$93,Model!$A61) + IF(wplyw_cen_import_wlaczony,'Tablica IO'!BM295*INDEX(Model!$C$2:$CA$2,Model!$A61),'Tablica IO'!BM295*1)</f>
        <v>1.0518361534368669E-2</v>
      </c>
      <c r="BN61" s="222" cm="1">
        <f t="array" aca="1" ref="BN61" ca="1">'Tablica IO'!BN217*INDEX(Model!$C$93:$CA$93,Model!$A61) + IF(wplyw_cen_import_wlaczony,'Tablica IO'!BN295*INDEX(Model!$C$2:$CA$2,Model!$A61),'Tablica IO'!BN295*1)</f>
        <v>1.1259047322433989E-2</v>
      </c>
      <c r="BO61" s="222" cm="1">
        <f t="array" aca="1" ref="BO61" ca="1">'Tablica IO'!BO217*INDEX(Model!$C$93:$CA$93,Model!$A61) + IF(wplyw_cen_import_wlaczony,'Tablica IO'!BO295*INDEX(Model!$C$2:$CA$2,Model!$A61),'Tablica IO'!BO295*1)</f>
        <v>8.7204306892764514E-3</v>
      </c>
      <c r="BP61" s="222" cm="1">
        <f t="array" aca="1" ref="BP61" ca="1">'Tablica IO'!BP217*INDEX(Model!$C$93:$CA$93,Model!$A61) + IF(wplyw_cen_import_wlaczony,'Tablica IO'!BP295*INDEX(Model!$C$2:$CA$2,Model!$A61),'Tablica IO'!BP295*1)</f>
        <v>7.3326588735905581E-3</v>
      </c>
      <c r="BQ61" s="222" cm="1">
        <f t="array" aca="1" ref="BQ61" ca="1">'Tablica IO'!BQ217*INDEX(Model!$C$93:$CA$93,Model!$A61) + IF(wplyw_cen_import_wlaczony,'Tablica IO'!BQ295*INDEX(Model!$C$2:$CA$2,Model!$A61),'Tablica IO'!BQ295*1)</f>
        <v>9.9765433451826039E-3</v>
      </c>
      <c r="BR61" s="222" cm="1">
        <f t="array" aca="1" ref="BR61" ca="1">'Tablica IO'!BR217*INDEX(Model!$C$93:$CA$93,Model!$A61) + IF(wplyw_cen_import_wlaczony,'Tablica IO'!BR295*INDEX(Model!$C$2:$CA$2,Model!$A61),'Tablica IO'!BR295*1)</f>
        <v>7.3471534965128043E-3</v>
      </c>
      <c r="BS61" s="222" cm="1">
        <f t="array" aca="1" ref="BS61" ca="1">'Tablica IO'!BS217*INDEX(Model!$C$93:$CA$93,Model!$A61) + IF(wplyw_cen_import_wlaczony,'Tablica IO'!BS295*INDEX(Model!$C$2:$CA$2,Model!$A61),'Tablica IO'!BS295*1)</f>
        <v>8.879113246832035E-3</v>
      </c>
      <c r="BT61" s="222" cm="1">
        <f t="array" aca="1" ref="BT61" ca="1">'Tablica IO'!BT217*INDEX(Model!$C$93:$CA$93,Model!$A61) + IF(wplyw_cen_import_wlaczony,'Tablica IO'!BT295*INDEX(Model!$C$2:$CA$2,Model!$A61),'Tablica IO'!BT295*1)</f>
        <v>1.5926130414816064E-2</v>
      </c>
      <c r="BU61" s="222" cm="1">
        <f t="array" aca="1" ref="BU61" ca="1">'Tablica IO'!BU217*INDEX(Model!$C$93:$CA$93,Model!$A61) + IF(wplyw_cen_import_wlaczony,'Tablica IO'!BU295*INDEX(Model!$C$2:$CA$2,Model!$A61),'Tablica IO'!BU295*1)</f>
        <v>1.4749768665597733E-2</v>
      </c>
      <c r="BV61" s="222" cm="1">
        <f t="array" aca="1" ref="BV61" ca="1">'Tablica IO'!BV217*INDEX(Model!$C$93:$CA$93,Model!$A61) + IF(wplyw_cen_import_wlaczony,'Tablica IO'!BV295*INDEX(Model!$C$2:$CA$2,Model!$A61),'Tablica IO'!BV295*1)</f>
        <v>3.1847317239339215E-2</v>
      </c>
      <c r="BW61" s="222" cm="1">
        <f t="array" aca="1" ref="BW61" ca="1">'Tablica IO'!BW217*INDEX(Model!$C$93:$CA$93,Model!$A61) + IF(wplyw_cen_import_wlaczony,'Tablica IO'!BW295*INDEX(Model!$C$2:$CA$2,Model!$A61),'Tablica IO'!BW295*1)</f>
        <v>1.0413772579373558E-2</v>
      </c>
      <c r="BX61" s="222" cm="1">
        <f t="array" aca="1" ref="BX61" ca="1">'Tablica IO'!BX217*INDEX(Model!$C$93:$CA$93,Model!$A61) + IF(wplyw_cen_import_wlaczony,'Tablica IO'!BX295*INDEX(Model!$C$2:$CA$2,Model!$A61),'Tablica IO'!BX295*1)</f>
        <v>4.1301492236094466E-2</v>
      </c>
      <c r="BY61" s="222" cm="1">
        <f t="array" aca="1" ref="BY61" ca="1">'Tablica IO'!BY217*INDEX(Model!$C$93:$CA$93,Model!$A61) + IF(wplyw_cen_import_wlaczony,'Tablica IO'!BY295*INDEX(Model!$C$2:$CA$2,Model!$A61),'Tablica IO'!BY295*1)</f>
        <v>6.449911943660719E-3</v>
      </c>
      <c r="BZ61" s="222" cm="1">
        <f t="array" aca="1" ref="BZ61" ca="1">'Tablica IO'!BZ217*INDEX(Model!$C$93:$CA$93,Model!$A61) + IF(wplyw_cen_import_wlaczony,'Tablica IO'!BZ295*INDEX(Model!$C$2:$CA$2,Model!$A61),'Tablica IO'!BZ295*1)</f>
        <v>7.5036249484209307E-3</v>
      </c>
      <c r="CA61" s="222" cm="1">
        <f t="array" aca="1" ref="CA61" ca="1">'Tablica IO'!CA217*INDEX(Model!$C$93:$CA$93,Model!$A61) + IF(wplyw_cen_import_wlaczony,'Tablica IO'!CA295*INDEX(Model!$C$2:$CA$2,Model!$A61),'Tablica IO'!CA295*1)</f>
        <v>0</v>
      </c>
      <c r="CB61" s="247">
        <f ca="1">'Tablica IO'!CD217*INDEX(Model!$C$93:$CA$93,Model!$A61)+'Tablica IO'!CD295*INDEX(Model!$C$2:$CA$2,Model!$A61)</f>
        <v>3.2692648104200646E-2</v>
      </c>
      <c r="CC61" s="188">
        <f ca="1">'Tablica IO'!CE217*INDEX(Model!$C$93:$CA$93,Model!$A61)+'Tablica IO'!CE295*INDEX(Model!$C$2:$CA$2,Model!$A61)</f>
        <v>0</v>
      </c>
      <c r="CD61" s="188">
        <f ca="1">'Tablica IO'!CF217*INDEX(Model!$C$93:$CA$93,Model!$A61)+'Tablica IO'!CF295*INDEX(Model!$C$2:$CA$2,Model!$A61)</f>
        <v>-8.17052007787879E-10</v>
      </c>
      <c r="CE61" s="189">
        <f ca="1">'Tablica IO'!CG217*INDEX(Model!$C$93:$CA$93,Model!$A61)+'Tablica IO'!CG295*INDEX(Model!$C$2:$CA$2,Model!$A61)</f>
        <v>3.0344290617618963E-3</v>
      </c>
    </row>
    <row r="62" spans="1:83" x14ac:dyDescent="0.25">
      <c r="A62" s="164">
        <v>50</v>
      </c>
      <c r="B62" s="172" t="s">
        <v>49</v>
      </c>
      <c r="C62" s="221" cm="1">
        <f t="array" aca="1" ref="C62" ca="1">'Tablica IO'!C218*INDEX(Model!$C$93:$CA$93,Model!$A62) + IF(wplyw_cen_import_wlaczony,'Tablica IO'!C296*INDEX(Model!$C$2:$CA$2,Model!$A62),'Tablica IO'!C296*1)</f>
        <v>1.1986960197264833E-2</v>
      </c>
      <c r="D62" s="222" cm="1">
        <f t="array" aca="1" ref="D62" ca="1">'Tablica IO'!D218*INDEX(Model!$C$93:$CA$93,Model!$A62) + IF(wplyw_cen_import_wlaczony,'Tablica IO'!D296*INDEX(Model!$C$2:$CA$2,Model!$A62),'Tablica IO'!D296*1)</f>
        <v>1.1903298689998219E-3</v>
      </c>
      <c r="E62" s="222" cm="1">
        <f t="array" aca="1" ref="E62" ca="1">'Tablica IO'!E218*INDEX(Model!$C$93:$CA$93,Model!$A62) + IF(wplyw_cen_import_wlaczony,'Tablica IO'!E296*INDEX(Model!$C$2:$CA$2,Model!$A62),'Tablica IO'!E296*1)</f>
        <v>1.9993909843631611E-3</v>
      </c>
      <c r="F62" s="222" cm="1">
        <f t="array" aca="1" ref="F62" ca="1">'Tablica IO'!F218*INDEX(Model!$C$93:$CA$93,Model!$A62) + IF(wplyw_cen_import_wlaczony,'Tablica IO'!F296*INDEX(Model!$C$2:$CA$2,Model!$A62),'Tablica IO'!F296*1)</f>
        <v>2.0452301660857544E-3</v>
      </c>
      <c r="G62" s="222" cm="1">
        <f t="array" aca="1" ref="G62" ca="1">'Tablica IO'!G218*INDEX(Model!$C$93:$CA$93,Model!$A62) + IF(wplyw_cen_import_wlaczony,'Tablica IO'!G296*INDEX(Model!$C$2:$CA$2,Model!$A62),'Tablica IO'!G296*1)</f>
        <v>1.3601483940742648E-3</v>
      </c>
      <c r="H62" s="222" cm="1">
        <f t="array" aca="1" ref="H62" ca="1">'Tablica IO'!H218*INDEX(Model!$C$93:$CA$93,Model!$A62) + IF(wplyw_cen_import_wlaczony,'Tablica IO'!H296*INDEX(Model!$C$2:$CA$2,Model!$A62),'Tablica IO'!H296*1)</f>
        <v>4.2435498265122184E-4</v>
      </c>
      <c r="I62" s="222" cm="1">
        <f t="array" aca="1" ref="I62" ca="1">'Tablica IO'!I218*INDEX(Model!$C$93:$CA$93,Model!$A62) + IF(wplyw_cen_import_wlaczony,'Tablica IO'!I296*INDEX(Model!$C$2:$CA$2,Model!$A62),'Tablica IO'!I296*1)</f>
        <v>4.7550335141027073E-4</v>
      </c>
      <c r="J62" s="222" cm="1">
        <f t="array" aca="1" ref="J62" ca="1">'Tablica IO'!J218*INDEX(Model!$C$93:$CA$93,Model!$A62) + IF(wplyw_cen_import_wlaczony,'Tablica IO'!J296*INDEX(Model!$C$2:$CA$2,Model!$A62),'Tablica IO'!J296*1)</f>
        <v>2.3407072236670032E-4</v>
      </c>
      <c r="K62" s="222" cm="1">
        <f t="array" aca="1" ref="K62" ca="1">'Tablica IO'!K218*INDEX(Model!$C$93:$CA$93,Model!$A62) + IF(wplyw_cen_import_wlaczony,'Tablica IO'!K296*INDEX(Model!$C$2:$CA$2,Model!$A62),'Tablica IO'!K296*1)</f>
        <v>5.8724953382262757E-4</v>
      </c>
      <c r="L62" s="222" cm="1">
        <f t="array" aca="1" ref="L62" ca="1">'Tablica IO'!L218*INDEX(Model!$C$93:$CA$93,Model!$A62) + IF(wplyw_cen_import_wlaczony,'Tablica IO'!L296*INDEX(Model!$C$2:$CA$2,Model!$A62),'Tablica IO'!L296*1)</f>
        <v>6.8908265581628598E-4</v>
      </c>
      <c r="M62" s="222" cm="1">
        <f t="array" aca="1" ref="M62" ca="1">'Tablica IO'!M218*INDEX(Model!$C$93:$CA$93,Model!$A62) + IF(wplyw_cen_import_wlaczony,'Tablica IO'!M296*INDEX(Model!$C$2:$CA$2,Model!$A62),'Tablica IO'!M296*1)</f>
        <v>5.1711031329656706E-4</v>
      </c>
      <c r="N62" s="222" cm="1">
        <f t="array" aca="1" ref="N62" ca="1">'Tablica IO'!N218*INDEX(Model!$C$93:$CA$93,Model!$A62) + IF(wplyw_cen_import_wlaczony,'Tablica IO'!N296*INDEX(Model!$C$2:$CA$2,Model!$A62),'Tablica IO'!N296*1)</f>
        <v>9.813891394405928E-4</v>
      </c>
      <c r="O62" s="222" cm="1">
        <f t="array" aca="1" ref="O62" ca="1">'Tablica IO'!O218*INDEX(Model!$C$93:$CA$93,Model!$A62) + IF(wplyw_cen_import_wlaczony,'Tablica IO'!O296*INDEX(Model!$C$2:$CA$2,Model!$A62),'Tablica IO'!O296*1)</f>
        <v>5.9706636713662421E-4</v>
      </c>
      <c r="P62" s="222" cm="1">
        <f t="array" aca="1" ref="P62" ca="1">'Tablica IO'!P218*INDEX(Model!$C$93:$CA$93,Model!$A62) + IF(wplyw_cen_import_wlaczony,'Tablica IO'!P296*INDEX(Model!$C$2:$CA$2,Model!$A62),'Tablica IO'!P296*1)</f>
        <v>7.7355649562921151E-4</v>
      </c>
      <c r="Q62" s="222" cm="1">
        <f t="array" aca="1" ref="Q62" ca="1">'Tablica IO'!Q218*INDEX(Model!$C$93:$CA$93,Model!$A62) + IF(wplyw_cen_import_wlaczony,'Tablica IO'!Q296*INDEX(Model!$C$2:$CA$2,Model!$A62),'Tablica IO'!Q296*1)</f>
        <v>6.2048847499920142E-4</v>
      </c>
      <c r="R62" s="222" cm="1">
        <f t="array" aca="1" ref="R62" ca="1">'Tablica IO'!R218*INDEX(Model!$C$93:$CA$93,Model!$A62) + IF(wplyw_cen_import_wlaczony,'Tablica IO'!R296*INDEX(Model!$C$2:$CA$2,Model!$A62),'Tablica IO'!R296*1)</f>
        <v>8.1464325670638736E-4</v>
      </c>
      <c r="S62" s="222" cm="1">
        <f t="array" aca="1" ref="S62" ca="1">'Tablica IO'!S218*INDEX(Model!$C$93:$CA$93,Model!$A62) + IF(wplyw_cen_import_wlaczony,'Tablica IO'!S296*INDEX(Model!$C$2:$CA$2,Model!$A62),'Tablica IO'!S296*1)</f>
        <v>7.8311229478707049E-4</v>
      </c>
      <c r="T62" s="222" cm="1">
        <f t="array" aca="1" ref="T62" ca="1">'Tablica IO'!T218*INDEX(Model!$C$93:$CA$93,Model!$A62) + IF(wplyw_cen_import_wlaczony,'Tablica IO'!T296*INDEX(Model!$C$2:$CA$2,Model!$A62),'Tablica IO'!T296*1)</f>
        <v>8.0914399632405062E-4</v>
      </c>
      <c r="U62" s="222" cm="1">
        <f t="array" aca="1" ref="U62" ca="1">'Tablica IO'!U218*INDEX(Model!$C$93:$CA$93,Model!$A62) + IF(wplyw_cen_import_wlaczony,'Tablica IO'!U296*INDEX(Model!$C$2:$CA$2,Model!$A62),'Tablica IO'!U296*1)</f>
        <v>7.2250373403870448E-4</v>
      </c>
      <c r="V62" s="222" cm="1">
        <f t="array" aca="1" ref="V62" ca="1">'Tablica IO'!V218*INDEX(Model!$C$93:$CA$93,Model!$A62) + IF(wplyw_cen_import_wlaczony,'Tablica IO'!V296*INDEX(Model!$C$2:$CA$2,Model!$A62),'Tablica IO'!V296*1)</f>
        <v>3.9859878223764657E-4</v>
      </c>
      <c r="W62" s="222" cm="1">
        <f t="array" aca="1" ref="W62" ca="1">'Tablica IO'!W218*INDEX(Model!$C$93:$CA$93,Model!$A62) + IF(wplyw_cen_import_wlaczony,'Tablica IO'!W296*INDEX(Model!$C$2:$CA$2,Model!$A62),'Tablica IO'!W296*1)</f>
        <v>7.097312041606708E-4</v>
      </c>
      <c r="X62" s="222" cm="1">
        <f t="array" aca="1" ref="X62" ca="1">'Tablica IO'!X218*INDEX(Model!$C$93:$CA$93,Model!$A62) + IF(wplyw_cen_import_wlaczony,'Tablica IO'!X296*INDEX(Model!$C$2:$CA$2,Model!$A62),'Tablica IO'!X296*1)</f>
        <v>3.7147322119335106E-4</v>
      </c>
      <c r="Y62" s="222" cm="1">
        <f t="array" aca="1" ref="Y62" ca="1">'Tablica IO'!Y218*INDEX(Model!$C$93:$CA$93,Model!$A62) + IF(wplyw_cen_import_wlaczony,'Tablica IO'!Y296*INDEX(Model!$C$2:$CA$2,Model!$A62),'Tablica IO'!Y296*1)</f>
        <v>5.6257959043409149E-4</v>
      </c>
      <c r="Z62" s="222" cm="1">
        <f t="array" aca="1" ref="Z62" ca="1">'Tablica IO'!Z218*INDEX(Model!$C$93:$CA$93,Model!$A62) + IF(wplyw_cen_import_wlaczony,'Tablica IO'!Z296*INDEX(Model!$C$2:$CA$2,Model!$A62),'Tablica IO'!Z296*1)</f>
        <v>6.4123639989585753E-4</v>
      </c>
      <c r="AA62" s="222" cm="1">
        <f t="array" aca="1" ref="AA62" ca="1">'Tablica IO'!AA218*INDEX(Model!$C$93:$CA$93,Model!$A62) + IF(wplyw_cen_import_wlaczony,'Tablica IO'!AA296*INDEX(Model!$C$2:$CA$2,Model!$A62),'Tablica IO'!AA296*1)</f>
        <v>4.6292120360630709E-4</v>
      </c>
      <c r="AB62" s="222" cm="1">
        <f t="array" aca="1" ref="AB62" ca="1">'Tablica IO'!AB218*INDEX(Model!$C$93:$CA$93,Model!$A62) + IF(wplyw_cen_import_wlaczony,'Tablica IO'!AB296*INDEX(Model!$C$2:$CA$2,Model!$A62),'Tablica IO'!AB296*1)</f>
        <v>5.9563793351691068E-4</v>
      </c>
      <c r="AC62" s="222" cm="1">
        <f t="array" aca="1" ref="AC62" ca="1">'Tablica IO'!AC218*INDEX(Model!$C$93:$CA$93,Model!$A62) + IF(wplyw_cen_import_wlaczony,'Tablica IO'!AC296*INDEX(Model!$C$2:$CA$2,Model!$A62),'Tablica IO'!AC296*1)</f>
        <v>5.3392800742978219E-4</v>
      </c>
      <c r="AD62" s="222" cm="1">
        <f t="array" aca="1" ref="AD62" ca="1">'Tablica IO'!AD218*INDEX(Model!$C$93:$CA$93,Model!$A62) + IF(wplyw_cen_import_wlaczony,'Tablica IO'!AD296*INDEX(Model!$C$2:$CA$2,Model!$A62),'Tablica IO'!AD296*1)</f>
        <v>6.5422754750893962E-4</v>
      </c>
      <c r="AE62" s="222" cm="1">
        <f t="array" aca="1" ref="AE62" ca="1">'Tablica IO'!AE218*INDEX(Model!$C$93:$CA$93,Model!$A62) + IF(wplyw_cen_import_wlaczony,'Tablica IO'!AE296*INDEX(Model!$C$2:$CA$2,Model!$A62),'Tablica IO'!AE296*1)</f>
        <v>6.951329443344405E-4</v>
      </c>
      <c r="AF62" s="222" cm="1">
        <f t="array" aca="1" ref="AF62" ca="1">'Tablica IO'!AF218*INDEX(Model!$C$93:$CA$93,Model!$A62) + IF(wplyw_cen_import_wlaczony,'Tablica IO'!AF296*INDEX(Model!$C$2:$CA$2,Model!$A62),'Tablica IO'!AF296*1)</f>
        <v>1.3444319526253006E-3</v>
      </c>
      <c r="AG62" s="222" cm="1">
        <f t="array" aca="1" ref="AG62" ca="1">'Tablica IO'!AG218*INDEX(Model!$C$93:$CA$93,Model!$A62) + IF(wplyw_cen_import_wlaczony,'Tablica IO'!AG296*INDEX(Model!$C$2:$CA$2,Model!$A62),'Tablica IO'!AG296*1)</f>
        <v>1.3708347890640426E-3</v>
      </c>
      <c r="AH62" s="222" cm="1">
        <f t="array" aca="1" ref="AH62" ca="1">'Tablica IO'!AH218*INDEX(Model!$C$93:$CA$93,Model!$A62) + IF(wplyw_cen_import_wlaczony,'Tablica IO'!AH296*INDEX(Model!$C$2:$CA$2,Model!$A62),'Tablica IO'!AH296*1)</f>
        <v>1.7560706529598862E-3</v>
      </c>
      <c r="AI62" s="222" cm="1">
        <f t="array" aca="1" ref="AI62" ca="1">'Tablica IO'!AI218*INDEX(Model!$C$93:$CA$93,Model!$A62) + IF(wplyw_cen_import_wlaczony,'Tablica IO'!AI296*INDEX(Model!$C$2:$CA$2,Model!$A62),'Tablica IO'!AI296*1)</f>
        <v>3.391622033221498E-3</v>
      </c>
      <c r="AJ62" s="222" cm="1">
        <f t="array" aca="1" ref="AJ62" ca="1">'Tablica IO'!AJ218*INDEX(Model!$C$93:$CA$93,Model!$A62) + IF(wplyw_cen_import_wlaczony,'Tablica IO'!AJ296*INDEX(Model!$C$2:$CA$2,Model!$A62),'Tablica IO'!AJ296*1)</f>
        <v>1.693696908619208E-3</v>
      </c>
      <c r="AK62" s="222" cm="1">
        <f t="array" aca="1" ref="AK62" ca="1">'Tablica IO'!AK218*INDEX(Model!$C$93:$CA$93,Model!$A62) + IF(wplyw_cen_import_wlaczony,'Tablica IO'!AK296*INDEX(Model!$C$2:$CA$2,Model!$A62),'Tablica IO'!AK296*1)</f>
        <v>2.0929465527641843E-3</v>
      </c>
      <c r="AL62" s="222" cm="1">
        <f t="array" aca="1" ref="AL62" ca="1">'Tablica IO'!AL218*INDEX(Model!$C$93:$CA$93,Model!$A62) + IF(wplyw_cen_import_wlaczony,'Tablica IO'!AL296*INDEX(Model!$C$2:$CA$2,Model!$A62),'Tablica IO'!AL296*1)</f>
        <v>2.1533272498732306E-3</v>
      </c>
      <c r="AM62" s="222" cm="1">
        <f t="array" aca="1" ref="AM62" ca="1">'Tablica IO'!AM218*INDEX(Model!$C$93:$CA$93,Model!$A62) + IF(wplyw_cen_import_wlaczony,'Tablica IO'!AM296*INDEX(Model!$C$2:$CA$2,Model!$A62),'Tablica IO'!AM296*1)</f>
        <v>9.409337603544912E-4</v>
      </c>
      <c r="AN62" s="222" cm="1">
        <f t="array" aca="1" ref="AN62" ca="1">'Tablica IO'!AN218*INDEX(Model!$C$93:$CA$93,Model!$A62) + IF(wplyw_cen_import_wlaczony,'Tablica IO'!AN296*INDEX(Model!$C$2:$CA$2,Model!$A62),'Tablica IO'!AN296*1)</f>
        <v>2.9069818349223486E-3</v>
      </c>
      <c r="AO62" s="222" cm="1">
        <f t="array" aca="1" ref="AO62" ca="1">'Tablica IO'!AO218*INDEX(Model!$C$93:$CA$93,Model!$A62) + IF(wplyw_cen_import_wlaczony,'Tablica IO'!AO296*INDEX(Model!$C$2:$CA$2,Model!$A62),'Tablica IO'!AO296*1)</f>
        <v>1.7379842318508347E-3</v>
      </c>
      <c r="AP62" s="222" cm="1">
        <f t="array" aca="1" ref="AP62" ca="1">'Tablica IO'!AP218*INDEX(Model!$C$93:$CA$93,Model!$A62) + IF(wplyw_cen_import_wlaczony,'Tablica IO'!AP296*INDEX(Model!$C$2:$CA$2,Model!$A62),'Tablica IO'!AP296*1)</f>
        <v>2.0705165908016243E-3</v>
      </c>
      <c r="AQ62" s="222" cm="1">
        <f t="array" aca="1" ref="AQ62" ca="1">'Tablica IO'!AQ218*INDEX(Model!$C$93:$CA$93,Model!$A62) + IF(wplyw_cen_import_wlaczony,'Tablica IO'!AQ296*INDEX(Model!$C$2:$CA$2,Model!$A62),'Tablica IO'!AQ296*1)</f>
        <v>1.3057890333396853E-3</v>
      </c>
      <c r="AR62" s="222" cm="1">
        <f t="array" aca="1" ref="AR62" ca="1">'Tablica IO'!AR218*INDEX(Model!$C$93:$CA$93,Model!$A62) + IF(wplyw_cen_import_wlaczony,'Tablica IO'!AR296*INDEX(Model!$C$2:$CA$2,Model!$A62),'Tablica IO'!AR296*1)</f>
        <v>9.5023282139226266E-4</v>
      </c>
      <c r="AS62" s="222" cm="1">
        <f t="array" aca="1" ref="AS62" ca="1">'Tablica IO'!AS218*INDEX(Model!$C$93:$CA$93,Model!$A62) + IF(wplyw_cen_import_wlaczony,'Tablica IO'!AS296*INDEX(Model!$C$2:$CA$2,Model!$A62),'Tablica IO'!AS296*1)</f>
        <v>4.016510678871127E-4</v>
      </c>
      <c r="AT62" s="222" cm="1">
        <f t="array" aca="1" ref="AT62" ca="1">'Tablica IO'!AT218*INDEX(Model!$C$93:$CA$93,Model!$A62) + IF(wplyw_cen_import_wlaczony,'Tablica IO'!AT296*INDEX(Model!$C$2:$CA$2,Model!$A62),'Tablica IO'!AT296*1)</f>
        <v>4.3991544836653556E-4</v>
      </c>
      <c r="AU62" s="222" cm="1">
        <f t="array" aca="1" ref="AU62" ca="1">'Tablica IO'!AU218*INDEX(Model!$C$93:$CA$93,Model!$A62) + IF(wplyw_cen_import_wlaczony,'Tablica IO'!AU296*INDEX(Model!$C$2:$CA$2,Model!$A62),'Tablica IO'!AU296*1)</f>
        <v>3.4183590444930578E-4</v>
      </c>
      <c r="AV62" s="222" cm="1">
        <f t="array" aca="1" ref="AV62" ca="1">'Tablica IO'!AV218*INDEX(Model!$C$93:$CA$93,Model!$A62) + IF(wplyw_cen_import_wlaczony,'Tablica IO'!AV296*INDEX(Model!$C$2:$CA$2,Model!$A62),'Tablica IO'!AV296*1)</f>
        <v>3.0226220844852778E-4</v>
      </c>
      <c r="AW62" s="222" cm="1">
        <f t="array" aca="1" ref="AW62" ca="1">'Tablica IO'!AW218*INDEX(Model!$C$93:$CA$93,Model!$A62) + IF(wplyw_cen_import_wlaczony,'Tablica IO'!AW296*INDEX(Model!$C$2:$CA$2,Model!$A62),'Tablica IO'!AW296*1)</f>
        <v>2.8579745116635337E-4</v>
      </c>
      <c r="AX62" s="222" cm="1">
        <f t="array" aca="1" ref="AX62" ca="1">'Tablica IO'!AX218*INDEX(Model!$C$93:$CA$93,Model!$A62) + IF(wplyw_cen_import_wlaczony,'Tablica IO'!AX296*INDEX(Model!$C$2:$CA$2,Model!$A62),'Tablica IO'!AX296*1)</f>
        <v>1.9364965805916895E-4</v>
      </c>
      <c r="AY62" s="222" cm="1">
        <f t="array" aca="1" ref="AY62" ca="1">'Tablica IO'!AY218*INDEX(Model!$C$93:$CA$93,Model!$A62) + IF(wplyw_cen_import_wlaczony,'Tablica IO'!AY296*INDEX(Model!$C$2:$CA$2,Model!$A62),'Tablica IO'!AY296*1)</f>
        <v>8.6725370555383648E-3</v>
      </c>
      <c r="AZ62" s="222" cm="1">
        <f t="array" aca="1" ref="AZ62" ca="1">'Tablica IO'!AZ218*INDEX(Model!$C$93:$CA$93,Model!$A62) + IF(wplyw_cen_import_wlaczony,'Tablica IO'!AZ296*INDEX(Model!$C$2:$CA$2,Model!$A62),'Tablica IO'!AZ296*1)</f>
        <v>7.4147226153527576E-2</v>
      </c>
      <c r="BA62" s="222" cm="1">
        <f t="array" aca="1" ref="BA62" ca="1">'Tablica IO'!BA218*INDEX(Model!$C$93:$CA$93,Model!$A62) + IF(wplyw_cen_import_wlaczony,'Tablica IO'!BA296*INDEX(Model!$C$2:$CA$2,Model!$A62),'Tablica IO'!BA296*1)</f>
        <v>3.8299803669690685E-2</v>
      </c>
      <c r="BB62" s="222" cm="1">
        <f t="array" aca="1" ref="BB62" ca="1">'Tablica IO'!BB218*INDEX(Model!$C$93:$CA$93,Model!$A62) + IF(wplyw_cen_import_wlaczony,'Tablica IO'!BB296*INDEX(Model!$C$2:$CA$2,Model!$A62),'Tablica IO'!BB296*1)</f>
        <v>1.8166330713373828E-3</v>
      </c>
      <c r="BC62" s="222" cm="1">
        <f t="array" aca="1" ref="BC62" ca="1">'Tablica IO'!BC218*INDEX(Model!$C$93:$CA$93,Model!$A62) + IF(wplyw_cen_import_wlaczony,'Tablica IO'!BC296*INDEX(Model!$C$2:$CA$2,Model!$A62),'Tablica IO'!BC296*1)</f>
        <v>2.759497171792363E-4</v>
      </c>
      <c r="BD62" s="222" cm="1">
        <f t="array" aca="1" ref="BD62" ca="1">'Tablica IO'!BD218*INDEX(Model!$C$93:$CA$93,Model!$A62) + IF(wplyw_cen_import_wlaczony,'Tablica IO'!BD296*INDEX(Model!$C$2:$CA$2,Model!$A62),'Tablica IO'!BD296*1)</f>
        <v>3.6386296632852751E-4</v>
      </c>
      <c r="BE62" s="222" cm="1">
        <f t="array" aca="1" ref="BE62" ca="1">'Tablica IO'!BE218*INDEX(Model!$C$93:$CA$93,Model!$A62) + IF(wplyw_cen_import_wlaczony,'Tablica IO'!BE296*INDEX(Model!$C$2:$CA$2,Model!$A62),'Tablica IO'!BE296*1)</f>
        <v>8.3382924917304376E-4</v>
      </c>
      <c r="BF62" s="222" cm="1">
        <f t="array" aca="1" ref="BF62" ca="1">'Tablica IO'!BF218*INDEX(Model!$C$93:$CA$93,Model!$A62) + IF(wplyw_cen_import_wlaczony,'Tablica IO'!BF296*INDEX(Model!$C$2:$CA$2,Model!$A62),'Tablica IO'!BF296*1)</f>
        <v>1.3016091056877671E-3</v>
      </c>
      <c r="BG62" s="222" cm="1">
        <f t="array" aca="1" ref="BG62" ca="1">'Tablica IO'!BG218*INDEX(Model!$C$93:$CA$93,Model!$A62) + IF(wplyw_cen_import_wlaczony,'Tablica IO'!BG296*INDEX(Model!$C$2:$CA$2,Model!$A62),'Tablica IO'!BG296*1)</f>
        <v>1.0671048731218625E-3</v>
      </c>
      <c r="BH62" s="222" cm="1">
        <f t="array" aca="1" ref="BH62" ca="1">'Tablica IO'!BH218*INDEX(Model!$C$93:$CA$93,Model!$A62) + IF(wplyw_cen_import_wlaczony,'Tablica IO'!BH296*INDEX(Model!$C$2:$CA$2,Model!$A62),'Tablica IO'!BH296*1)</f>
        <v>1.2353056294334058E-4</v>
      </c>
      <c r="BI62" s="222" cm="1">
        <f t="array" aca="1" ref="BI62" ca="1">'Tablica IO'!BI218*INDEX(Model!$C$93:$CA$93,Model!$A62) + IF(wplyw_cen_import_wlaczony,'Tablica IO'!BI296*INDEX(Model!$C$2:$CA$2,Model!$A62),'Tablica IO'!BI296*1)</f>
        <v>4.7312019874707137E-4</v>
      </c>
      <c r="BJ62" s="222" cm="1">
        <f t="array" aca="1" ref="BJ62" ca="1">'Tablica IO'!BJ218*INDEX(Model!$C$93:$CA$93,Model!$A62) + IF(wplyw_cen_import_wlaczony,'Tablica IO'!BJ296*INDEX(Model!$C$2:$CA$2,Model!$A62),'Tablica IO'!BJ296*1)</f>
        <v>2.993225895699655E-3</v>
      </c>
      <c r="BK62" s="222" cm="1">
        <f t="array" aca="1" ref="BK62" ca="1">'Tablica IO'!BK218*INDEX(Model!$C$93:$CA$93,Model!$A62) + IF(wplyw_cen_import_wlaczony,'Tablica IO'!BK296*INDEX(Model!$C$2:$CA$2,Model!$A62),'Tablica IO'!BK296*1)</f>
        <v>7.7951087053570263E-4</v>
      </c>
      <c r="BL62" s="222" cm="1">
        <f t="array" aca="1" ref="BL62" ca="1">'Tablica IO'!BL218*INDEX(Model!$C$93:$CA$93,Model!$A62) + IF(wplyw_cen_import_wlaczony,'Tablica IO'!BL296*INDEX(Model!$C$2:$CA$2,Model!$A62),'Tablica IO'!BL296*1)</f>
        <v>1.6658763480103232E-3</v>
      </c>
      <c r="BM62" s="222" cm="1">
        <f t="array" aca="1" ref="BM62" ca="1">'Tablica IO'!BM218*INDEX(Model!$C$93:$CA$93,Model!$A62) + IF(wplyw_cen_import_wlaczony,'Tablica IO'!BM296*INDEX(Model!$C$2:$CA$2,Model!$A62),'Tablica IO'!BM296*1)</f>
        <v>1.8756263773416783E-3</v>
      </c>
      <c r="BN62" s="222" cm="1">
        <f t="array" aca="1" ref="BN62" ca="1">'Tablica IO'!BN218*INDEX(Model!$C$93:$CA$93,Model!$A62) + IF(wplyw_cen_import_wlaczony,'Tablica IO'!BN296*INDEX(Model!$C$2:$CA$2,Model!$A62),'Tablica IO'!BN296*1)</f>
        <v>1.7054485646406724E-3</v>
      </c>
      <c r="BO62" s="222" cm="1">
        <f t="array" aca="1" ref="BO62" ca="1">'Tablica IO'!BO218*INDEX(Model!$C$93:$CA$93,Model!$A62) + IF(wplyw_cen_import_wlaczony,'Tablica IO'!BO296*INDEX(Model!$C$2:$CA$2,Model!$A62),'Tablica IO'!BO296*1)</f>
        <v>3.3369481398081995E-3</v>
      </c>
      <c r="BP62" s="222" cm="1">
        <f t="array" aca="1" ref="BP62" ca="1">'Tablica IO'!BP218*INDEX(Model!$C$93:$CA$93,Model!$A62) + IF(wplyw_cen_import_wlaczony,'Tablica IO'!BP296*INDEX(Model!$C$2:$CA$2,Model!$A62),'Tablica IO'!BP296*1)</f>
        <v>1.7621637834281047E-3</v>
      </c>
      <c r="BQ62" s="222" cm="1">
        <f t="array" aca="1" ref="BQ62" ca="1">'Tablica IO'!BQ218*INDEX(Model!$C$93:$CA$93,Model!$A62) + IF(wplyw_cen_import_wlaczony,'Tablica IO'!BQ296*INDEX(Model!$C$2:$CA$2,Model!$A62),'Tablica IO'!BQ296*1)</f>
        <v>7.7661874219828663E-4</v>
      </c>
      <c r="BR62" s="222" cm="1">
        <f t="array" aca="1" ref="BR62" ca="1">'Tablica IO'!BR218*INDEX(Model!$C$93:$CA$93,Model!$A62) + IF(wplyw_cen_import_wlaczony,'Tablica IO'!BR296*INDEX(Model!$C$2:$CA$2,Model!$A62),'Tablica IO'!BR296*1)</f>
        <v>7.4149593251955929E-4</v>
      </c>
      <c r="BS62" s="222" cm="1">
        <f t="array" aca="1" ref="BS62" ca="1">'Tablica IO'!BS218*INDEX(Model!$C$93:$CA$93,Model!$A62) + IF(wplyw_cen_import_wlaczony,'Tablica IO'!BS296*INDEX(Model!$C$2:$CA$2,Model!$A62),'Tablica IO'!BS296*1)</f>
        <v>1.2315614995680108E-3</v>
      </c>
      <c r="BT62" s="222" cm="1">
        <f t="array" aca="1" ref="BT62" ca="1">'Tablica IO'!BT218*INDEX(Model!$C$93:$CA$93,Model!$A62) + IF(wplyw_cen_import_wlaczony,'Tablica IO'!BT296*INDEX(Model!$C$2:$CA$2,Model!$A62),'Tablica IO'!BT296*1)</f>
        <v>5.6099550894132518E-4</v>
      </c>
      <c r="BU62" s="222" cm="1">
        <f t="array" aca="1" ref="BU62" ca="1">'Tablica IO'!BU218*INDEX(Model!$C$93:$CA$93,Model!$A62) + IF(wplyw_cen_import_wlaczony,'Tablica IO'!BU296*INDEX(Model!$C$2:$CA$2,Model!$A62),'Tablica IO'!BU296*1)</f>
        <v>3.6555997357565389E-3</v>
      </c>
      <c r="BV62" s="222" cm="1">
        <f t="array" aca="1" ref="BV62" ca="1">'Tablica IO'!BV218*INDEX(Model!$C$93:$CA$93,Model!$A62) + IF(wplyw_cen_import_wlaczony,'Tablica IO'!BV296*INDEX(Model!$C$2:$CA$2,Model!$A62),'Tablica IO'!BV296*1)</f>
        <v>3.80660306356326E-4</v>
      </c>
      <c r="BW62" s="222" cm="1">
        <f t="array" aca="1" ref="BW62" ca="1">'Tablica IO'!BW218*INDEX(Model!$C$93:$CA$93,Model!$A62) + IF(wplyw_cen_import_wlaczony,'Tablica IO'!BW296*INDEX(Model!$C$2:$CA$2,Model!$A62),'Tablica IO'!BW296*1)</f>
        <v>2.060819515883652E-3</v>
      </c>
      <c r="BX62" s="222" cm="1">
        <f t="array" aca="1" ref="BX62" ca="1">'Tablica IO'!BX218*INDEX(Model!$C$93:$CA$93,Model!$A62) + IF(wplyw_cen_import_wlaczony,'Tablica IO'!BX296*INDEX(Model!$C$2:$CA$2,Model!$A62),'Tablica IO'!BX296*1)</f>
        <v>9.6495937565798284E-4</v>
      </c>
      <c r="BY62" s="222" cm="1">
        <f t="array" aca="1" ref="BY62" ca="1">'Tablica IO'!BY218*INDEX(Model!$C$93:$CA$93,Model!$A62) + IF(wplyw_cen_import_wlaczony,'Tablica IO'!BY296*INDEX(Model!$C$2:$CA$2,Model!$A62),'Tablica IO'!BY296*1)</f>
        <v>5.6745003131600182E-4</v>
      </c>
      <c r="BZ62" s="222" cm="1">
        <f t="array" aca="1" ref="BZ62" ca="1">'Tablica IO'!BZ218*INDEX(Model!$C$93:$CA$93,Model!$A62) + IF(wplyw_cen_import_wlaczony,'Tablica IO'!BZ296*INDEX(Model!$C$2:$CA$2,Model!$A62),'Tablica IO'!BZ296*1)</f>
        <v>1.4336432427881771E-4</v>
      </c>
      <c r="CA62" s="222" cm="1">
        <f t="array" aca="1" ref="CA62" ca="1">'Tablica IO'!CA218*INDEX(Model!$C$93:$CA$93,Model!$A62) + IF(wplyw_cen_import_wlaczony,'Tablica IO'!CA296*INDEX(Model!$C$2:$CA$2,Model!$A62),'Tablica IO'!CA296*1)</f>
        <v>0</v>
      </c>
      <c r="CB62" s="247">
        <f ca="1">'Tablica IO'!CD218*INDEX(Model!$C$93:$CA$93,Model!$A62)+'Tablica IO'!CD296*INDEX(Model!$C$2:$CA$2,Model!$A62)</f>
        <v>1.8922426233574176E-2</v>
      </c>
      <c r="CC62" s="188">
        <f ca="1">'Tablica IO'!CE218*INDEX(Model!$C$93:$CA$93,Model!$A62)+'Tablica IO'!CE296*INDEX(Model!$C$2:$CA$2,Model!$A62)</f>
        <v>2.5398628233790347E-5</v>
      </c>
      <c r="CD62" s="188">
        <f ca="1">'Tablica IO'!CF218*INDEX(Model!$C$93:$CA$93,Model!$A62)+'Tablica IO'!CF296*INDEX(Model!$C$2:$CA$2,Model!$A62)</f>
        <v>-2.7055281161422722E-10</v>
      </c>
      <c r="CE62" s="189">
        <f ca="1">'Tablica IO'!CG218*INDEX(Model!$C$93:$CA$93,Model!$A62)+'Tablica IO'!CG296*INDEX(Model!$C$2:$CA$2,Model!$A62)</f>
        <v>1.9136013504462909E-3</v>
      </c>
    </row>
    <row r="63" spans="1:83" x14ac:dyDescent="0.25">
      <c r="A63" s="164">
        <v>51</v>
      </c>
      <c r="B63" s="172" t="s">
        <v>50</v>
      </c>
      <c r="C63" s="221" cm="1">
        <f t="array" aca="1" ref="C63" ca="1">'Tablica IO'!C219*INDEX(Model!$C$93:$CA$93,Model!$A63) + IF(wplyw_cen_import_wlaczony,'Tablica IO'!C297*INDEX(Model!$C$2:$CA$2,Model!$A63),'Tablica IO'!C297*1)</f>
        <v>8.6983391561645931E-5</v>
      </c>
      <c r="D63" s="222" cm="1">
        <f t="array" aca="1" ref="D63" ca="1">'Tablica IO'!D219*INDEX(Model!$C$93:$CA$93,Model!$A63) + IF(wplyw_cen_import_wlaczony,'Tablica IO'!D297*INDEX(Model!$C$2:$CA$2,Model!$A63),'Tablica IO'!D297*1)</f>
        <v>4.9213394283780543E-5</v>
      </c>
      <c r="E63" s="222" cm="1">
        <f t="array" aca="1" ref="E63" ca="1">'Tablica IO'!E219*INDEX(Model!$C$93:$CA$93,Model!$A63) + IF(wplyw_cen_import_wlaczony,'Tablica IO'!E297*INDEX(Model!$C$2:$CA$2,Model!$A63),'Tablica IO'!E297*1)</f>
        <v>1.6190757682411124E-4</v>
      </c>
      <c r="F63" s="222" cm="1">
        <f t="array" aca="1" ref="F63" ca="1">'Tablica IO'!F219*INDEX(Model!$C$93:$CA$93,Model!$A63) + IF(wplyw_cen_import_wlaczony,'Tablica IO'!F297*INDEX(Model!$C$2:$CA$2,Model!$A63),'Tablica IO'!F297*1)</f>
        <v>2.5003923023879664E-4</v>
      </c>
      <c r="G63" s="222" cm="1">
        <f t="array" aca="1" ref="G63" ca="1">'Tablica IO'!G219*INDEX(Model!$C$93:$CA$93,Model!$A63) + IF(wplyw_cen_import_wlaczony,'Tablica IO'!G297*INDEX(Model!$C$2:$CA$2,Model!$A63),'Tablica IO'!G297*1)</f>
        <v>1.5923943482703068E-4</v>
      </c>
      <c r="H63" s="222" cm="1">
        <f t="array" aca="1" ref="H63" ca="1">'Tablica IO'!H219*INDEX(Model!$C$93:$CA$93,Model!$A63) + IF(wplyw_cen_import_wlaczony,'Tablica IO'!H297*INDEX(Model!$C$2:$CA$2,Model!$A63),'Tablica IO'!H297*1)</f>
        <v>3.9027963857601856E-4</v>
      </c>
      <c r="I63" s="222" cm="1">
        <f t="array" aca="1" ref="I63" ca="1">'Tablica IO'!I219*INDEX(Model!$C$93:$CA$93,Model!$A63) + IF(wplyw_cen_import_wlaczony,'Tablica IO'!I297*INDEX(Model!$C$2:$CA$2,Model!$A63),'Tablica IO'!I297*1)</f>
        <v>7.2588253004740339E-4</v>
      </c>
      <c r="J63" s="222" cm="1">
        <f t="array" aca="1" ref="J63" ca="1">'Tablica IO'!J219*INDEX(Model!$C$93:$CA$93,Model!$A63) + IF(wplyw_cen_import_wlaczony,'Tablica IO'!J297*INDEX(Model!$C$2:$CA$2,Model!$A63),'Tablica IO'!J297*1)</f>
        <v>1.1335510589621147E-3</v>
      </c>
      <c r="K63" s="222" cm="1">
        <f t="array" aca="1" ref="K63" ca="1">'Tablica IO'!K219*INDEX(Model!$C$93:$CA$93,Model!$A63) + IF(wplyw_cen_import_wlaczony,'Tablica IO'!K297*INDEX(Model!$C$2:$CA$2,Model!$A63),'Tablica IO'!K297*1)</f>
        <v>5.1949740167032477E-4</v>
      </c>
      <c r="L63" s="222" cm="1">
        <f t="array" aca="1" ref="L63" ca="1">'Tablica IO'!L219*INDEX(Model!$C$93:$CA$93,Model!$A63) + IF(wplyw_cen_import_wlaczony,'Tablica IO'!L297*INDEX(Model!$C$2:$CA$2,Model!$A63),'Tablica IO'!L297*1)</f>
        <v>5.0458978609264275E-4</v>
      </c>
      <c r="M63" s="222" cm="1">
        <f t="array" aca="1" ref="M63" ca="1">'Tablica IO'!M219*INDEX(Model!$C$93:$CA$93,Model!$A63) + IF(wplyw_cen_import_wlaczony,'Tablica IO'!M297*INDEX(Model!$C$2:$CA$2,Model!$A63),'Tablica IO'!M297*1)</f>
        <v>4.3265963296455827E-4</v>
      </c>
      <c r="N63" s="222" cm="1">
        <f t="array" aca="1" ref="N63" ca="1">'Tablica IO'!N219*INDEX(Model!$C$93:$CA$93,Model!$A63) + IF(wplyw_cen_import_wlaczony,'Tablica IO'!N297*INDEX(Model!$C$2:$CA$2,Model!$A63),'Tablica IO'!N297*1)</f>
        <v>1.8790098869301078E-4</v>
      </c>
      <c r="O63" s="222" cm="1">
        <f t="array" aca="1" ref="O63" ca="1">'Tablica IO'!O219*INDEX(Model!$C$93:$CA$93,Model!$A63) + IF(wplyw_cen_import_wlaczony,'Tablica IO'!O297*INDEX(Model!$C$2:$CA$2,Model!$A63),'Tablica IO'!O297*1)</f>
        <v>8.7718330273866622E-5</v>
      </c>
      <c r="P63" s="222" cm="1">
        <f t="array" aca="1" ref="P63" ca="1">'Tablica IO'!P219*INDEX(Model!$C$93:$CA$93,Model!$A63) + IF(wplyw_cen_import_wlaczony,'Tablica IO'!P297*INDEX(Model!$C$2:$CA$2,Model!$A63),'Tablica IO'!P297*1)</f>
        <v>1.8651197473477428E-4</v>
      </c>
      <c r="Q63" s="222" cm="1">
        <f t="array" aca="1" ref="Q63" ca="1">'Tablica IO'!Q219*INDEX(Model!$C$93:$CA$93,Model!$A63) + IF(wplyw_cen_import_wlaczony,'Tablica IO'!Q297*INDEX(Model!$C$2:$CA$2,Model!$A63),'Tablica IO'!Q297*1)</f>
        <v>5.384269731526213E-5</v>
      </c>
      <c r="R63" s="222" cm="1">
        <f t="array" aca="1" ref="R63" ca="1">'Tablica IO'!R219*INDEX(Model!$C$93:$CA$93,Model!$A63) + IF(wplyw_cen_import_wlaczony,'Tablica IO'!R297*INDEX(Model!$C$2:$CA$2,Model!$A63),'Tablica IO'!R297*1)</f>
        <v>2.4047886962586014E-4</v>
      </c>
      <c r="S63" s="222" cm="1">
        <f t="array" aca="1" ref="S63" ca="1">'Tablica IO'!S219*INDEX(Model!$C$93:$CA$93,Model!$A63) + IF(wplyw_cen_import_wlaczony,'Tablica IO'!S297*INDEX(Model!$C$2:$CA$2,Model!$A63),'Tablica IO'!S297*1)</f>
        <v>8.2052767748978035E-4</v>
      </c>
      <c r="T63" s="222" cm="1">
        <f t="array" aca="1" ref="T63" ca="1">'Tablica IO'!T219*INDEX(Model!$C$93:$CA$93,Model!$A63) + IF(wplyw_cen_import_wlaczony,'Tablica IO'!T297*INDEX(Model!$C$2:$CA$2,Model!$A63),'Tablica IO'!T297*1)</f>
        <v>4.4993762113145727E-4</v>
      </c>
      <c r="U63" s="222" cm="1">
        <f t="array" aca="1" ref="U63" ca="1">'Tablica IO'!U219*INDEX(Model!$C$93:$CA$93,Model!$A63) + IF(wplyw_cen_import_wlaczony,'Tablica IO'!U297*INDEX(Model!$C$2:$CA$2,Model!$A63),'Tablica IO'!U297*1)</f>
        <v>4.293335092590658E-4</v>
      </c>
      <c r="V63" s="222" cm="1">
        <f t="array" aca="1" ref="V63" ca="1">'Tablica IO'!V219*INDEX(Model!$C$93:$CA$93,Model!$A63) + IF(wplyw_cen_import_wlaczony,'Tablica IO'!V297*INDEX(Model!$C$2:$CA$2,Model!$A63),'Tablica IO'!V297*1)</f>
        <v>1.0053710665159203E-3</v>
      </c>
      <c r="W63" s="222" cm="1">
        <f t="array" aca="1" ref="W63" ca="1">'Tablica IO'!W219*INDEX(Model!$C$93:$CA$93,Model!$A63) + IF(wplyw_cen_import_wlaczony,'Tablica IO'!W297*INDEX(Model!$C$2:$CA$2,Model!$A63),'Tablica IO'!W297*1)</f>
        <v>2.8085869082642085E-4</v>
      </c>
      <c r="X63" s="222" cm="1">
        <f t="array" aca="1" ref="X63" ca="1">'Tablica IO'!X219*INDEX(Model!$C$93:$CA$93,Model!$A63) + IF(wplyw_cen_import_wlaczony,'Tablica IO'!X297*INDEX(Model!$C$2:$CA$2,Model!$A63),'Tablica IO'!X297*1)</f>
        <v>2.5846912774568013E-4</v>
      </c>
      <c r="Y63" s="222" cm="1">
        <f t="array" aca="1" ref="Y63" ca="1">'Tablica IO'!Y219*INDEX(Model!$C$93:$CA$93,Model!$A63) + IF(wplyw_cen_import_wlaczony,'Tablica IO'!Y297*INDEX(Model!$C$2:$CA$2,Model!$A63),'Tablica IO'!Y297*1)</f>
        <v>5.0257988453565443E-4</v>
      </c>
      <c r="Z63" s="222" cm="1">
        <f t="array" aca="1" ref="Z63" ca="1">'Tablica IO'!Z219*INDEX(Model!$C$93:$CA$93,Model!$A63) + IF(wplyw_cen_import_wlaczony,'Tablica IO'!Z297*INDEX(Model!$C$2:$CA$2,Model!$A63),'Tablica IO'!Z297*1)</f>
        <v>5.2602129104275966E-4</v>
      </c>
      <c r="AA63" s="222" cm="1">
        <f t="array" aca="1" ref="AA63" ca="1">'Tablica IO'!AA219*INDEX(Model!$C$93:$CA$93,Model!$A63) + IF(wplyw_cen_import_wlaczony,'Tablica IO'!AA297*INDEX(Model!$C$2:$CA$2,Model!$A63),'Tablica IO'!AA297*1)</f>
        <v>6.0714550066051089E-4</v>
      </c>
      <c r="AB63" s="222" cm="1">
        <f t="array" aca="1" ref="AB63" ca="1">'Tablica IO'!AB219*INDEX(Model!$C$93:$CA$93,Model!$A63) + IF(wplyw_cen_import_wlaczony,'Tablica IO'!AB297*INDEX(Model!$C$2:$CA$2,Model!$A63),'Tablica IO'!AB297*1)</f>
        <v>8.5832551663569295E-4</v>
      </c>
      <c r="AC63" s="222" cm="1">
        <f t="array" aca="1" ref="AC63" ca="1">'Tablica IO'!AC219*INDEX(Model!$C$93:$CA$93,Model!$A63) + IF(wplyw_cen_import_wlaczony,'Tablica IO'!AC297*INDEX(Model!$C$2:$CA$2,Model!$A63),'Tablica IO'!AC297*1)</f>
        <v>2.8730242974540833E-4</v>
      </c>
      <c r="AD63" s="222" cm="1">
        <f t="array" aca="1" ref="AD63" ca="1">'Tablica IO'!AD219*INDEX(Model!$C$93:$CA$93,Model!$A63) + IF(wplyw_cen_import_wlaczony,'Tablica IO'!AD297*INDEX(Model!$C$2:$CA$2,Model!$A63),'Tablica IO'!AD297*1)</f>
        <v>2.1140484706048162E-4</v>
      </c>
      <c r="AE63" s="222" cm="1">
        <f t="array" aca="1" ref="AE63" ca="1">'Tablica IO'!AE219*INDEX(Model!$C$93:$CA$93,Model!$A63) + IF(wplyw_cen_import_wlaczony,'Tablica IO'!AE297*INDEX(Model!$C$2:$CA$2,Model!$A63),'Tablica IO'!AE297*1)</f>
        <v>5.7846271778292009E-4</v>
      </c>
      <c r="AF63" s="222" cm="1">
        <f t="array" aca="1" ref="AF63" ca="1">'Tablica IO'!AF219*INDEX(Model!$C$93:$CA$93,Model!$A63) + IF(wplyw_cen_import_wlaczony,'Tablica IO'!AF297*INDEX(Model!$C$2:$CA$2,Model!$A63),'Tablica IO'!AF297*1)</f>
        <v>5.1948289819419804E-5</v>
      </c>
      <c r="AG63" s="222" cm="1">
        <f t="array" aca="1" ref="AG63" ca="1">'Tablica IO'!AG219*INDEX(Model!$C$93:$CA$93,Model!$A63) + IF(wplyw_cen_import_wlaczony,'Tablica IO'!AG297*INDEX(Model!$C$2:$CA$2,Model!$A63),'Tablica IO'!AG297*1)</f>
        <v>2.2618323332232598E-4</v>
      </c>
      <c r="AH63" s="222" cm="1">
        <f t="array" aca="1" ref="AH63" ca="1">'Tablica IO'!AH219*INDEX(Model!$C$93:$CA$93,Model!$A63) + IF(wplyw_cen_import_wlaczony,'Tablica IO'!AH297*INDEX(Model!$C$2:$CA$2,Model!$A63),'Tablica IO'!AH297*1)</f>
        <v>6.4210819091208319E-4</v>
      </c>
      <c r="AI63" s="222" cm="1">
        <f t="array" aca="1" ref="AI63" ca="1">'Tablica IO'!AI219*INDEX(Model!$C$93:$CA$93,Model!$A63) + IF(wplyw_cen_import_wlaczony,'Tablica IO'!AI297*INDEX(Model!$C$2:$CA$2,Model!$A63),'Tablica IO'!AI297*1)</f>
        <v>2.6317748267318432E-4</v>
      </c>
      <c r="AJ63" s="222" cm="1">
        <f t="array" aca="1" ref="AJ63" ca="1">'Tablica IO'!AJ219*INDEX(Model!$C$93:$CA$93,Model!$A63) + IF(wplyw_cen_import_wlaczony,'Tablica IO'!AJ297*INDEX(Model!$C$2:$CA$2,Model!$A63),'Tablica IO'!AJ297*1)</f>
        <v>3.0562528210459334E-4</v>
      </c>
      <c r="AK63" s="222" cm="1">
        <f t="array" aca="1" ref="AK63" ca="1">'Tablica IO'!AK219*INDEX(Model!$C$93:$CA$93,Model!$A63) + IF(wplyw_cen_import_wlaczony,'Tablica IO'!AK297*INDEX(Model!$C$2:$CA$2,Model!$A63),'Tablica IO'!AK297*1)</f>
        <v>1.0779586198388046E-3</v>
      </c>
      <c r="AL63" s="222" cm="1">
        <f t="array" aca="1" ref="AL63" ca="1">'Tablica IO'!AL219*INDEX(Model!$C$93:$CA$93,Model!$A63) + IF(wplyw_cen_import_wlaczony,'Tablica IO'!AL297*INDEX(Model!$C$2:$CA$2,Model!$A63),'Tablica IO'!AL297*1)</f>
        <v>9.4673451596588196E-4</v>
      </c>
      <c r="AM63" s="222" cm="1">
        <f t="array" aca="1" ref="AM63" ca="1">'Tablica IO'!AM219*INDEX(Model!$C$93:$CA$93,Model!$A63) + IF(wplyw_cen_import_wlaczony,'Tablica IO'!AM297*INDEX(Model!$C$2:$CA$2,Model!$A63),'Tablica IO'!AM297*1)</f>
        <v>4.0906130529573271E-4</v>
      </c>
      <c r="AN63" s="222" cm="1">
        <f t="array" aca="1" ref="AN63" ca="1">'Tablica IO'!AN219*INDEX(Model!$C$93:$CA$93,Model!$A63) + IF(wplyw_cen_import_wlaczony,'Tablica IO'!AN297*INDEX(Model!$C$2:$CA$2,Model!$A63),'Tablica IO'!AN297*1)</f>
        <v>3.3659012197114336E-4</v>
      </c>
      <c r="AO63" s="222" cm="1">
        <f t="array" aca="1" ref="AO63" ca="1">'Tablica IO'!AO219*INDEX(Model!$C$93:$CA$93,Model!$A63) + IF(wplyw_cen_import_wlaczony,'Tablica IO'!AO297*INDEX(Model!$C$2:$CA$2,Model!$A63),'Tablica IO'!AO297*1)</f>
        <v>2.0982758338892728E-4</v>
      </c>
      <c r="AP63" s="222" cm="1">
        <f t="array" aca="1" ref="AP63" ca="1">'Tablica IO'!AP219*INDEX(Model!$C$93:$CA$93,Model!$A63) + IF(wplyw_cen_import_wlaczony,'Tablica IO'!AP297*INDEX(Model!$C$2:$CA$2,Model!$A63),'Tablica IO'!AP297*1)</f>
        <v>4.0808376261508236E-4</v>
      </c>
      <c r="AQ63" s="222" cm="1">
        <f t="array" aca="1" ref="AQ63" ca="1">'Tablica IO'!AQ219*INDEX(Model!$C$93:$CA$93,Model!$A63) + IF(wplyw_cen_import_wlaczony,'Tablica IO'!AQ297*INDEX(Model!$C$2:$CA$2,Model!$A63),'Tablica IO'!AQ297*1)</f>
        <v>2.710647802198327E-4</v>
      </c>
      <c r="AR63" s="222" cm="1">
        <f t="array" aca="1" ref="AR63" ca="1">'Tablica IO'!AR219*INDEX(Model!$C$93:$CA$93,Model!$A63) + IF(wplyw_cen_import_wlaczony,'Tablica IO'!AR297*INDEX(Model!$C$2:$CA$2,Model!$A63),'Tablica IO'!AR297*1)</f>
        <v>1.5869555786213185E-4</v>
      </c>
      <c r="AS63" s="222" cm="1">
        <f t="array" aca="1" ref="AS63" ca="1">'Tablica IO'!AS219*INDEX(Model!$C$93:$CA$93,Model!$A63) + IF(wplyw_cen_import_wlaczony,'Tablica IO'!AS297*INDEX(Model!$C$2:$CA$2,Model!$A63),'Tablica IO'!AS297*1)</f>
        <v>7.1381438087600511E-4</v>
      </c>
      <c r="AT63" s="222" cm="1">
        <f t="array" aca="1" ref="AT63" ca="1">'Tablica IO'!AT219*INDEX(Model!$C$93:$CA$93,Model!$A63) + IF(wplyw_cen_import_wlaczony,'Tablica IO'!AT297*INDEX(Model!$C$2:$CA$2,Model!$A63),'Tablica IO'!AT297*1)</f>
        <v>3.7504829385568138E-4</v>
      </c>
      <c r="AU63" s="222" cm="1">
        <f t="array" aca="1" ref="AU63" ca="1">'Tablica IO'!AU219*INDEX(Model!$C$93:$CA$93,Model!$A63) + IF(wplyw_cen_import_wlaczony,'Tablica IO'!AU297*INDEX(Model!$C$2:$CA$2,Model!$A63),'Tablica IO'!AU297*1)</f>
        <v>3.8280798246215648E-5</v>
      </c>
      <c r="AV63" s="222" cm="1">
        <f t="array" aca="1" ref="AV63" ca="1">'Tablica IO'!AV219*INDEX(Model!$C$93:$CA$93,Model!$A63) + IF(wplyw_cen_import_wlaczony,'Tablica IO'!AV297*INDEX(Model!$C$2:$CA$2,Model!$A63),'Tablica IO'!AV297*1)</f>
        <v>1.0370868222140386E-3</v>
      </c>
      <c r="AW63" s="222" cm="1">
        <f t="array" aca="1" ref="AW63" ca="1">'Tablica IO'!AW219*INDEX(Model!$C$93:$CA$93,Model!$A63) + IF(wplyw_cen_import_wlaczony,'Tablica IO'!AW297*INDEX(Model!$C$2:$CA$2,Model!$A63),'Tablica IO'!AW297*1)</f>
        <v>4.2939564513199232E-4</v>
      </c>
      <c r="AX63" s="222" cm="1">
        <f t="array" aca="1" ref="AX63" ca="1">'Tablica IO'!AX219*INDEX(Model!$C$93:$CA$93,Model!$A63) + IF(wplyw_cen_import_wlaczony,'Tablica IO'!AX297*INDEX(Model!$C$2:$CA$2,Model!$A63),'Tablica IO'!AX297*1)</f>
        <v>1.309098772985967E-3</v>
      </c>
      <c r="AY63" s="222" cm="1">
        <f t="array" aca="1" ref="AY63" ca="1">'Tablica IO'!AY219*INDEX(Model!$C$93:$CA$93,Model!$A63) + IF(wplyw_cen_import_wlaczony,'Tablica IO'!AY297*INDEX(Model!$C$2:$CA$2,Model!$A63),'Tablica IO'!AY297*1)</f>
        <v>8.878593540955243E-3</v>
      </c>
      <c r="AZ63" s="222" cm="1">
        <f t="array" aca="1" ref="AZ63" ca="1">'Tablica IO'!AZ219*INDEX(Model!$C$93:$CA$93,Model!$A63) + IF(wplyw_cen_import_wlaczony,'Tablica IO'!AZ297*INDEX(Model!$C$2:$CA$2,Model!$A63),'Tablica IO'!AZ297*1)</f>
        <v>6.4258438317616101E-2</v>
      </c>
      <c r="BA63" s="222" cm="1">
        <f t="array" aca="1" ref="BA63" ca="1">'Tablica IO'!BA219*INDEX(Model!$C$93:$CA$93,Model!$A63) + IF(wplyw_cen_import_wlaczony,'Tablica IO'!BA297*INDEX(Model!$C$2:$CA$2,Model!$A63),'Tablica IO'!BA297*1)</f>
        <v>0.11861890371471112</v>
      </c>
      <c r="BB63" s="222" cm="1">
        <f t="array" aca="1" ref="BB63" ca="1">'Tablica IO'!BB219*INDEX(Model!$C$93:$CA$93,Model!$A63) + IF(wplyw_cen_import_wlaczony,'Tablica IO'!BB297*INDEX(Model!$C$2:$CA$2,Model!$A63),'Tablica IO'!BB297*1)</f>
        <v>4.45757933963347E-4</v>
      </c>
      <c r="BC63" s="222" cm="1">
        <f t="array" aca="1" ref="BC63" ca="1">'Tablica IO'!BC219*INDEX(Model!$C$93:$CA$93,Model!$A63) + IF(wplyw_cen_import_wlaczony,'Tablica IO'!BC297*INDEX(Model!$C$2:$CA$2,Model!$A63),'Tablica IO'!BC297*1)</f>
        <v>1.46823000516387E-3</v>
      </c>
      <c r="BD63" s="222" cm="1">
        <f t="array" aca="1" ref="BD63" ca="1">'Tablica IO'!BD219*INDEX(Model!$C$93:$CA$93,Model!$A63) + IF(wplyw_cen_import_wlaczony,'Tablica IO'!BD297*INDEX(Model!$C$2:$CA$2,Model!$A63),'Tablica IO'!BD297*1)</f>
        <v>2.6896435182284105E-3</v>
      </c>
      <c r="BE63" s="222" cm="1">
        <f t="array" aca="1" ref="BE63" ca="1">'Tablica IO'!BE219*INDEX(Model!$C$93:$CA$93,Model!$A63) + IF(wplyw_cen_import_wlaczony,'Tablica IO'!BE297*INDEX(Model!$C$2:$CA$2,Model!$A63),'Tablica IO'!BE297*1)</f>
        <v>3.5342126415598238E-4</v>
      </c>
      <c r="BF63" s="222" cm="1">
        <f t="array" aca="1" ref="BF63" ca="1">'Tablica IO'!BF219*INDEX(Model!$C$93:$CA$93,Model!$A63) + IF(wplyw_cen_import_wlaczony,'Tablica IO'!BF297*INDEX(Model!$C$2:$CA$2,Model!$A63),'Tablica IO'!BF297*1)</f>
        <v>2.5511853606867212E-4</v>
      </c>
      <c r="BG63" s="222" cm="1">
        <f t="array" aca="1" ref="BG63" ca="1">'Tablica IO'!BG219*INDEX(Model!$C$93:$CA$93,Model!$A63) + IF(wplyw_cen_import_wlaczony,'Tablica IO'!BG297*INDEX(Model!$C$2:$CA$2,Model!$A63),'Tablica IO'!BG297*1)</f>
        <v>4.0021935034887442E-4</v>
      </c>
      <c r="BH63" s="222" cm="1">
        <f t="array" aca="1" ref="BH63" ca="1">'Tablica IO'!BH219*INDEX(Model!$C$93:$CA$93,Model!$A63) + IF(wplyw_cen_import_wlaczony,'Tablica IO'!BH297*INDEX(Model!$C$2:$CA$2,Model!$A63),'Tablica IO'!BH297*1)</f>
        <v>4.1350092545016178E-4</v>
      </c>
      <c r="BI63" s="222" cm="1">
        <f t="array" aca="1" ref="BI63" ca="1">'Tablica IO'!BI219*INDEX(Model!$C$93:$CA$93,Model!$A63) + IF(wplyw_cen_import_wlaczony,'Tablica IO'!BI297*INDEX(Model!$C$2:$CA$2,Model!$A63),'Tablica IO'!BI297*1)</f>
        <v>1.7501737325410039E-4</v>
      </c>
      <c r="BJ63" s="222" cm="1">
        <f t="array" aca="1" ref="BJ63" ca="1">'Tablica IO'!BJ219*INDEX(Model!$C$93:$CA$93,Model!$A63) + IF(wplyw_cen_import_wlaczony,'Tablica IO'!BJ297*INDEX(Model!$C$2:$CA$2,Model!$A63),'Tablica IO'!BJ297*1)</f>
        <v>2.5323253322472429E-4</v>
      </c>
      <c r="BK63" s="222" cm="1">
        <f t="array" aca="1" ref="BK63" ca="1">'Tablica IO'!BK219*INDEX(Model!$C$93:$CA$93,Model!$A63) + IF(wplyw_cen_import_wlaczony,'Tablica IO'!BK297*INDEX(Model!$C$2:$CA$2,Model!$A63),'Tablica IO'!BK297*1)</f>
        <v>5.9055910049665131E-4</v>
      </c>
      <c r="BL63" s="222" cm="1">
        <f t="array" aca="1" ref="BL63" ca="1">'Tablica IO'!BL219*INDEX(Model!$C$93:$CA$93,Model!$A63) + IF(wplyw_cen_import_wlaczony,'Tablica IO'!BL297*INDEX(Model!$C$2:$CA$2,Model!$A63),'Tablica IO'!BL297*1)</f>
        <v>7.1988809574620417E-4</v>
      </c>
      <c r="BM63" s="222" cm="1">
        <f t="array" aca="1" ref="BM63" ca="1">'Tablica IO'!BM219*INDEX(Model!$C$93:$CA$93,Model!$A63) + IF(wplyw_cen_import_wlaczony,'Tablica IO'!BM297*INDEX(Model!$C$2:$CA$2,Model!$A63),'Tablica IO'!BM297*1)</f>
        <v>6.3065131163484896E-3</v>
      </c>
      <c r="BN63" s="222" cm="1">
        <f t="array" aca="1" ref="BN63" ca="1">'Tablica IO'!BN219*INDEX(Model!$C$93:$CA$93,Model!$A63) + IF(wplyw_cen_import_wlaczony,'Tablica IO'!BN297*INDEX(Model!$C$2:$CA$2,Model!$A63),'Tablica IO'!BN297*1)</f>
        <v>1.0623680964588305E-3</v>
      </c>
      <c r="BO63" s="222" cm="1">
        <f t="array" aca="1" ref="BO63" ca="1">'Tablica IO'!BO219*INDEX(Model!$C$93:$CA$93,Model!$A63) + IF(wplyw_cen_import_wlaczony,'Tablica IO'!BO297*INDEX(Model!$C$2:$CA$2,Model!$A63),'Tablica IO'!BO297*1)</f>
        <v>4.8200008160121646E-4</v>
      </c>
      <c r="BP63" s="222" cm="1">
        <f t="array" aca="1" ref="BP63" ca="1">'Tablica IO'!BP219*INDEX(Model!$C$93:$CA$93,Model!$A63) + IF(wplyw_cen_import_wlaczony,'Tablica IO'!BP297*INDEX(Model!$C$2:$CA$2,Model!$A63),'Tablica IO'!BP297*1)</f>
        <v>4.3519152715582846E-4</v>
      </c>
      <c r="BQ63" s="222" cm="1">
        <f t="array" aca="1" ref="BQ63" ca="1">'Tablica IO'!BQ219*INDEX(Model!$C$93:$CA$93,Model!$A63) + IF(wplyw_cen_import_wlaczony,'Tablica IO'!BQ297*INDEX(Model!$C$2:$CA$2,Model!$A63),'Tablica IO'!BQ297*1)</f>
        <v>8.325716233258942E-5</v>
      </c>
      <c r="BR63" s="222" cm="1">
        <f t="array" aca="1" ref="BR63" ca="1">'Tablica IO'!BR219*INDEX(Model!$C$93:$CA$93,Model!$A63) + IF(wplyw_cen_import_wlaczony,'Tablica IO'!BR297*INDEX(Model!$C$2:$CA$2,Model!$A63),'Tablica IO'!BR297*1)</f>
        <v>4.6194415133644971E-4</v>
      </c>
      <c r="BS63" s="222" cm="1">
        <f t="array" aca="1" ref="BS63" ca="1">'Tablica IO'!BS219*INDEX(Model!$C$93:$CA$93,Model!$A63) + IF(wplyw_cen_import_wlaczony,'Tablica IO'!BS297*INDEX(Model!$C$2:$CA$2,Model!$A63),'Tablica IO'!BS297*1)</f>
        <v>7.538627334642011E-5</v>
      </c>
      <c r="BT63" s="222" cm="1">
        <f t="array" aca="1" ref="BT63" ca="1">'Tablica IO'!BT219*INDEX(Model!$C$93:$CA$93,Model!$A63) + IF(wplyw_cen_import_wlaczony,'Tablica IO'!BT297*INDEX(Model!$C$2:$CA$2,Model!$A63),'Tablica IO'!BT297*1)</f>
        <v>3.5748439930614103E-4</v>
      </c>
      <c r="BU63" s="222" cm="1">
        <f t="array" aca="1" ref="BU63" ca="1">'Tablica IO'!BU219*INDEX(Model!$C$93:$CA$93,Model!$A63) + IF(wplyw_cen_import_wlaczony,'Tablica IO'!BU297*INDEX(Model!$C$2:$CA$2,Model!$A63),'Tablica IO'!BU297*1)</f>
        <v>3.9671556130053948E-4</v>
      </c>
      <c r="BV63" s="222" cm="1">
        <f t="array" aca="1" ref="BV63" ca="1">'Tablica IO'!BV219*INDEX(Model!$C$93:$CA$93,Model!$A63) + IF(wplyw_cen_import_wlaczony,'Tablica IO'!BV297*INDEX(Model!$C$2:$CA$2,Model!$A63),'Tablica IO'!BV297*1)</f>
        <v>8.6726184302056116E-5</v>
      </c>
      <c r="BW63" s="222" cm="1">
        <f t="array" aca="1" ref="BW63" ca="1">'Tablica IO'!BW219*INDEX(Model!$C$93:$CA$93,Model!$A63) + IF(wplyw_cen_import_wlaczony,'Tablica IO'!BW297*INDEX(Model!$C$2:$CA$2,Model!$A63),'Tablica IO'!BW297*1)</f>
        <v>4.2419762661792407E-4</v>
      </c>
      <c r="BX63" s="222" cm="1">
        <f t="array" aca="1" ref="BX63" ca="1">'Tablica IO'!BX219*INDEX(Model!$C$93:$CA$93,Model!$A63) + IF(wplyw_cen_import_wlaczony,'Tablica IO'!BX297*INDEX(Model!$C$2:$CA$2,Model!$A63),'Tablica IO'!BX297*1)</f>
        <v>1.4644253758699309E-4</v>
      </c>
      <c r="BY63" s="222" cm="1">
        <f t="array" aca="1" ref="BY63" ca="1">'Tablica IO'!BY219*INDEX(Model!$C$93:$CA$93,Model!$A63) + IF(wplyw_cen_import_wlaczony,'Tablica IO'!BY297*INDEX(Model!$C$2:$CA$2,Model!$A63),'Tablica IO'!BY297*1)</f>
        <v>3.0409217444294783E-4</v>
      </c>
      <c r="BZ63" s="222" cm="1">
        <f t="array" aca="1" ref="BZ63" ca="1">'Tablica IO'!BZ219*INDEX(Model!$C$93:$CA$93,Model!$A63) + IF(wplyw_cen_import_wlaczony,'Tablica IO'!BZ297*INDEX(Model!$C$2:$CA$2,Model!$A63),'Tablica IO'!BZ297*1)</f>
        <v>1.7025437482245934E-4</v>
      </c>
      <c r="CA63" s="222" cm="1">
        <f t="array" aca="1" ref="CA63" ca="1">'Tablica IO'!CA219*INDEX(Model!$C$93:$CA$93,Model!$A63) + IF(wplyw_cen_import_wlaczony,'Tablica IO'!CA297*INDEX(Model!$C$2:$CA$2,Model!$A63),'Tablica IO'!CA297*1)</f>
        <v>0</v>
      </c>
      <c r="CB63" s="247">
        <f ca="1">'Tablica IO'!CD219*INDEX(Model!$C$93:$CA$93,Model!$A63)+'Tablica IO'!CD297*INDEX(Model!$C$2:$CA$2,Model!$A63)</f>
        <v>1.6512742694882114E-2</v>
      </c>
      <c r="CC63" s="188">
        <f ca="1">'Tablica IO'!CE219*INDEX(Model!$C$93:$CA$93,Model!$A63)+'Tablica IO'!CE297*INDEX(Model!$C$2:$CA$2,Model!$A63)</f>
        <v>1.0923557522730612E-4</v>
      </c>
      <c r="CD63" s="188">
        <f ca="1">'Tablica IO'!CF219*INDEX(Model!$C$93:$CA$93,Model!$A63)+'Tablica IO'!CF297*INDEX(Model!$C$2:$CA$2,Model!$A63)</f>
        <v>-9.80773211572784E-10</v>
      </c>
      <c r="CE63" s="189">
        <f ca="1">'Tablica IO'!CG219*INDEX(Model!$C$93:$CA$93,Model!$A63)+'Tablica IO'!CG297*INDEX(Model!$C$2:$CA$2,Model!$A63)</f>
        <v>1.1303239680897869E-4</v>
      </c>
    </row>
    <row r="64" spans="1:83" x14ac:dyDescent="0.25">
      <c r="A64" s="164">
        <v>52</v>
      </c>
      <c r="B64" s="172" t="s">
        <v>51</v>
      </c>
      <c r="C64" s="221" cm="1">
        <f t="array" aca="1" ref="C64" ca="1">'Tablica IO'!C220*INDEX(Model!$C$93:$CA$93,Model!$A64) + IF(wplyw_cen_import_wlaczony,'Tablica IO'!C298*INDEX(Model!$C$2:$CA$2,Model!$A64),'Tablica IO'!C298*1)</f>
        <v>1.4984156281710537E-3</v>
      </c>
      <c r="D64" s="222" cm="1">
        <f t="array" aca="1" ref="D64" ca="1">'Tablica IO'!D220*INDEX(Model!$C$93:$CA$93,Model!$A64) + IF(wplyw_cen_import_wlaczony,'Tablica IO'!D298*INDEX(Model!$C$2:$CA$2,Model!$A64),'Tablica IO'!D298*1)</f>
        <v>3.590308955957485E-3</v>
      </c>
      <c r="E64" s="222" cm="1">
        <f t="array" aca="1" ref="E64" ca="1">'Tablica IO'!E220*INDEX(Model!$C$93:$CA$93,Model!$A64) + IF(wplyw_cen_import_wlaczony,'Tablica IO'!E298*INDEX(Model!$C$2:$CA$2,Model!$A64),'Tablica IO'!E298*1)</f>
        <v>5.6796316958862775E-3</v>
      </c>
      <c r="F64" s="222" cm="1">
        <f t="array" aca="1" ref="F64" ca="1">'Tablica IO'!F220*INDEX(Model!$C$93:$CA$93,Model!$A64) + IF(wplyw_cen_import_wlaczony,'Tablica IO'!F298*INDEX(Model!$C$2:$CA$2,Model!$A64),'Tablica IO'!F298*1)</f>
        <v>5.3377227876487919E-4</v>
      </c>
      <c r="G64" s="222" cm="1">
        <f t="array" aca="1" ref="G64" ca="1">'Tablica IO'!G220*INDEX(Model!$C$93:$CA$93,Model!$A64) + IF(wplyw_cen_import_wlaczony,'Tablica IO'!G298*INDEX(Model!$C$2:$CA$2,Model!$A64),'Tablica IO'!G298*1)</f>
        <v>4.1103473460687772E-3</v>
      </c>
      <c r="H64" s="222" cm="1">
        <f t="array" aca="1" ref="H64" ca="1">'Tablica IO'!H220*INDEX(Model!$C$93:$CA$93,Model!$A64) + IF(wplyw_cen_import_wlaczony,'Tablica IO'!H298*INDEX(Model!$C$2:$CA$2,Model!$A64),'Tablica IO'!H298*1)</f>
        <v>2.4612088592161473E-3</v>
      </c>
      <c r="I64" s="222" cm="1">
        <f t="array" aca="1" ref="I64" ca="1">'Tablica IO'!I220*INDEX(Model!$C$93:$CA$93,Model!$A64) + IF(wplyw_cen_import_wlaczony,'Tablica IO'!I298*INDEX(Model!$C$2:$CA$2,Model!$A64),'Tablica IO'!I298*1)</f>
        <v>7.1024889534046674E-3</v>
      </c>
      <c r="J64" s="222" cm="1">
        <f t="array" aca="1" ref="J64" ca="1">'Tablica IO'!J220*INDEX(Model!$C$93:$CA$93,Model!$A64) + IF(wplyw_cen_import_wlaczony,'Tablica IO'!J298*INDEX(Model!$C$2:$CA$2,Model!$A64),'Tablica IO'!J298*1)</f>
        <v>8.9460185567030136E-3</v>
      </c>
      <c r="K64" s="222" cm="1">
        <f t="array" aca="1" ref="K64" ca="1">'Tablica IO'!K220*INDEX(Model!$C$93:$CA$93,Model!$A64) + IF(wplyw_cen_import_wlaczony,'Tablica IO'!K298*INDEX(Model!$C$2:$CA$2,Model!$A64),'Tablica IO'!K298*1)</f>
        <v>4.2782414268474137E-3</v>
      </c>
      <c r="L64" s="222" cm="1">
        <f t="array" aca="1" ref="L64" ca="1">'Tablica IO'!L220*INDEX(Model!$C$93:$CA$93,Model!$A64) + IF(wplyw_cen_import_wlaczony,'Tablica IO'!L298*INDEX(Model!$C$2:$CA$2,Model!$A64),'Tablica IO'!L298*1)</f>
        <v>7.8645197537557058E-3</v>
      </c>
      <c r="M64" s="222" cm="1">
        <f t="array" aca="1" ref="M64" ca="1">'Tablica IO'!M220*INDEX(Model!$C$93:$CA$93,Model!$A64) + IF(wplyw_cen_import_wlaczony,'Tablica IO'!M298*INDEX(Model!$C$2:$CA$2,Model!$A64),'Tablica IO'!M298*1)</f>
        <v>7.3675656477700897E-3</v>
      </c>
      <c r="N64" s="222" cm="1">
        <f t="array" aca="1" ref="N64" ca="1">'Tablica IO'!N220*INDEX(Model!$C$93:$CA$93,Model!$A64) + IF(wplyw_cen_import_wlaczony,'Tablica IO'!N298*INDEX(Model!$C$2:$CA$2,Model!$A64),'Tablica IO'!N298*1)</f>
        <v>2.0371238077566164E-3</v>
      </c>
      <c r="O64" s="222" cm="1">
        <f t="array" aca="1" ref="O64" ca="1">'Tablica IO'!O220*INDEX(Model!$C$93:$CA$93,Model!$A64) + IF(wplyw_cen_import_wlaczony,'Tablica IO'!O298*INDEX(Model!$C$2:$CA$2,Model!$A64),'Tablica IO'!O298*1)</f>
        <v>4.0602787817703148E-3</v>
      </c>
      <c r="P64" s="222" cm="1">
        <f t="array" aca="1" ref="P64" ca="1">'Tablica IO'!P220*INDEX(Model!$C$93:$CA$93,Model!$A64) + IF(wplyw_cen_import_wlaczony,'Tablica IO'!P298*INDEX(Model!$C$2:$CA$2,Model!$A64),'Tablica IO'!P298*1)</f>
        <v>4.5537203922802489E-3</v>
      </c>
      <c r="Q64" s="222" cm="1">
        <f t="array" aca="1" ref="Q64" ca="1">'Tablica IO'!Q220*INDEX(Model!$C$93:$CA$93,Model!$A64) + IF(wplyw_cen_import_wlaczony,'Tablica IO'!Q298*INDEX(Model!$C$2:$CA$2,Model!$A64),'Tablica IO'!Q298*1)</f>
        <v>2.0957298097295479E-3</v>
      </c>
      <c r="R64" s="222" cm="1">
        <f t="array" aca="1" ref="R64" ca="1">'Tablica IO'!R220*INDEX(Model!$C$93:$CA$93,Model!$A64) + IF(wplyw_cen_import_wlaczony,'Tablica IO'!R298*INDEX(Model!$C$2:$CA$2,Model!$A64),'Tablica IO'!R298*1)</f>
        <v>3.6547809586274928E-3</v>
      </c>
      <c r="S64" s="222" cm="1">
        <f t="array" aca="1" ref="S64" ca="1">'Tablica IO'!S220*INDEX(Model!$C$93:$CA$93,Model!$A64) + IF(wplyw_cen_import_wlaczony,'Tablica IO'!S298*INDEX(Model!$C$2:$CA$2,Model!$A64),'Tablica IO'!S298*1)</f>
        <v>3.5180284680109155E-3</v>
      </c>
      <c r="T64" s="222" cm="1">
        <f t="array" aca="1" ref="T64" ca="1">'Tablica IO'!T220*INDEX(Model!$C$93:$CA$93,Model!$A64) + IF(wplyw_cen_import_wlaczony,'Tablica IO'!T298*INDEX(Model!$C$2:$CA$2,Model!$A64),'Tablica IO'!T298*1)</f>
        <v>3.0602872657063697E-3</v>
      </c>
      <c r="U64" s="222" cm="1">
        <f t="array" aca="1" ref="U64" ca="1">'Tablica IO'!U220*INDEX(Model!$C$93:$CA$93,Model!$A64) + IF(wplyw_cen_import_wlaczony,'Tablica IO'!U298*INDEX(Model!$C$2:$CA$2,Model!$A64),'Tablica IO'!U298*1)</f>
        <v>3.6270087770496006E-3</v>
      </c>
      <c r="V64" s="222" cm="1">
        <f t="array" aca="1" ref="V64" ca="1">'Tablica IO'!V220*INDEX(Model!$C$93:$CA$93,Model!$A64) + IF(wplyw_cen_import_wlaczony,'Tablica IO'!V298*INDEX(Model!$C$2:$CA$2,Model!$A64),'Tablica IO'!V298*1)</f>
        <v>8.8244772683962491E-4</v>
      </c>
      <c r="W64" s="222" cm="1">
        <f t="array" aca="1" ref="W64" ca="1">'Tablica IO'!W220*INDEX(Model!$C$93:$CA$93,Model!$A64) + IF(wplyw_cen_import_wlaczony,'Tablica IO'!W298*INDEX(Model!$C$2:$CA$2,Model!$A64),'Tablica IO'!W298*1)</f>
        <v>3.115677249622288E-3</v>
      </c>
      <c r="X64" s="222" cm="1">
        <f t="array" aca="1" ref="X64" ca="1">'Tablica IO'!X220*INDEX(Model!$C$93:$CA$93,Model!$A64) + IF(wplyw_cen_import_wlaczony,'Tablica IO'!X298*INDEX(Model!$C$2:$CA$2,Model!$A64),'Tablica IO'!X298*1)</f>
        <v>1.3625381078133767E-3</v>
      </c>
      <c r="Y64" s="222" cm="1">
        <f t="array" aca="1" ref="Y64" ca="1">'Tablica IO'!Y220*INDEX(Model!$C$93:$CA$93,Model!$A64) + IF(wplyw_cen_import_wlaczony,'Tablica IO'!Y298*INDEX(Model!$C$2:$CA$2,Model!$A64),'Tablica IO'!Y298*1)</f>
        <v>3.6802516844473628E-3</v>
      </c>
      <c r="Z64" s="222" cm="1">
        <f t="array" aca="1" ref="Z64" ca="1">'Tablica IO'!Z220*INDEX(Model!$C$93:$CA$93,Model!$A64) + IF(wplyw_cen_import_wlaczony,'Tablica IO'!Z298*INDEX(Model!$C$2:$CA$2,Model!$A64),'Tablica IO'!Z298*1)</f>
        <v>3.7042135976755857E-3</v>
      </c>
      <c r="AA64" s="222" cm="1">
        <f t="array" aca="1" ref="AA64" ca="1">'Tablica IO'!AA220*INDEX(Model!$C$93:$CA$93,Model!$A64) + IF(wplyw_cen_import_wlaczony,'Tablica IO'!AA298*INDEX(Model!$C$2:$CA$2,Model!$A64),'Tablica IO'!AA298*1)</f>
        <v>1.4401846361383371E-3</v>
      </c>
      <c r="AB64" s="222" cm="1">
        <f t="array" aca="1" ref="AB64" ca="1">'Tablica IO'!AB220*INDEX(Model!$C$93:$CA$93,Model!$A64) + IF(wplyw_cen_import_wlaczony,'Tablica IO'!AB298*INDEX(Model!$C$2:$CA$2,Model!$A64),'Tablica IO'!AB298*1)</f>
        <v>5.4431249634820031E-3</v>
      </c>
      <c r="AC64" s="222" cm="1">
        <f t="array" aca="1" ref="AC64" ca="1">'Tablica IO'!AC220*INDEX(Model!$C$93:$CA$93,Model!$A64) + IF(wplyw_cen_import_wlaczony,'Tablica IO'!AC298*INDEX(Model!$C$2:$CA$2,Model!$A64),'Tablica IO'!AC298*1)</f>
        <v>6.4265607552446155E-3</v>
      </c>
      <c r="AD64" s="222" cm="1">
        <f t="array" aca="1" ref="AD64" ca="1">'Tablica IO'!AD220*INDEX(Model!$C$93:$CA$93,Model!$A64) + IF(wplyw_cen_import_wlaczony,'Tablica IO'!AD298*INDEX(Model!$C$2:$CA$2,Model!$A64),'Tablica IO'!AD298*1)</f>
        <v>5.4430398687951992E-3</v>
      </c>
      <c r="AE64" s="222" cm="1">
        <f t="array" aca="1" ref="AE64" ca="1">'Tablica IO'!AE220*INDEX(Model!$C$93:$CA$93,Model!$A64) + IF(wplyw_cen_import_wlaczony,'Tablica IO'!AE298*INDEX(Model!$C$2:$CA$2,Model!$A64),'Tablica IO'!AE298*1)</f>
        <v>6.7567880265536565E-3</v>
      </c>
      <c r="AF64" s="222" cm="1">
        <f t="array" aca="1" ref="AF64" ca="1">'Tablica IO'!AF220*INDEX(Model!$C$93:$CA$93,Model!$A64) + IF(wplyw_cen_import_wlaczony,'Tablica IO'!AF298*INDEX(Model!$C$2:$CA$2,Model!$A64),'Tablica IO'!AF298*1)</f>
        <v>5.2934340980855836E-3</v>
      </c>
      <c r="AG64" s="222" cm="1">
        <f t="array" aca="1" ref="AG64" ca="1">'Tablica IO'!AG220*INDEX(Model!$C$93:$CA$93,Model!$A64) + IF(wplyw_cen_import_wlaczony,'Tablica IO'!AG298*INDEX(Model!$C$2:$CA$2,Model!$A64),'Tablica IO'!AG298*1)</f>
        <v>6.9238722725403707E-3</v>
      </c>
      <c r="AH64" s="222" cm="1">
        <f t="array" aca="1" ref="AH64" ca="1">'Tablica IO'!AH220*INDEX(Model!$C$93:$CA$93,Model!$A64) + IF(wplyw_cen_import_wlaczony,'Tablica IO'!AH298*INDEX(Model!$C$2:$CA$2,Model!$A64),'Tablica IO'!AH298*1)</f>
        <v>6.2516771632518458E-3</v>
      </c>
      <c r="AI64" s="222" cm="1">
        <f t="array" aca="1" ref="AI64" ca="1">'Tablica IO'!AI220*INDEX(Model!$C$93:$CA$93,Model!$A64) + IF(wplyw_cen_import_wlaczony,'Tablica IO'!AI298*INDEX(Model!$C$2:$CA$2,Model!$A64),'Tablica IO'!AI298*1)</f>
        <v>1.31564595631806E-2</v>
      </c>
      <c r="AJ64" s="222" cm="1">
        <f t="array" aca="1" ref="AJ64" ca="1">'Tablica IO'!AJ220*INDEX(Model!$C$93:$CA$93,Model!$A64) + IF(wplyw_cen_import_wlaczony,'Tablica IO'!AJ298*INDEX(Model!$C$2:$CA$2,Model!$A64),'Tablica IO'!AJ298*1)</f>
        <v>3.5059372805948462E-3</v>
      </c>
      <c r="AK64" s="222" cm="1">
        <f t="array" aca="1" ref="AK64" ca="1">'Tablica IO'!AK220*INDEX(Model!$C$93:$CA$93,Model!$A64) + IF(wplyw_cen_import_wlaczony,'Tablica IO'!AK298*INDEX(Model!$C$2:$CA$2,Model!$A64),'Tablica IO'!AK298*1)</f>
        <v>2.6572267690068301E-2</v>
      </c>
      <c r="AL64" s="222" cm="1">
        <f t="array" aca="1" ref="AL64" ca="1">'Tablica IO'!AL220*INDEX(Model!$C$93:$CA$93,Model!$A64) + IF(wplyw_cen_import_wlaczony,'Tablica IO'!AL298*INDEX(Model!$C$2:$CA$2,Model!$A64),'Tablica IO'!AL298*1)</f>
        <v>2.9748810389089244E-2</v>
      </c>
      <c r="AM64" s="222" cm="1">
        <f t="array" aca="1" ref="AM64" ca="1">'Tablica IO'!AM220*INDEX(Model!$C$93:$CA$93,Model!$A64) + IF(wplyw_cen_import_wlaczony,'Tablica IO'!AM298*INDEX(Model!$C$2:$CA$2,Model!$A64),'Tablica IO'!AM298*1)</f>
        <v>2.5011136811081969E-2</v>
      </c>
      <c r="AN64" s="222" cm="1">
        <f t="array" aca="1" ref="AN64" ca="1">'Tablica IO'!AN220*INDEX(Model!$C$93:$CA$93,Model!$A64) + IF(wplyw_cen_import_wlaczony,'Tablica IO'!AN298*INDEX(Model!$C$2:$CA$2,Model!$A64),'Tablica IO'!AN298*1)</f>
        <v>5.5687925927826827E-3</v>
      </c>
      <c r="AO64" s="222" cm="1">
        <f t="array" aca="1" ref="AO64" ca="1">'Tablica IO'!AO220*INDEX(Model!$C$93:$CA$93,Model!$A64) + IF(wplyw_cen_import_wlaczony,'Tablica IO'!AO298*INDEX(Model!$C$2:$CA$2,Model!$A64),'Tablica IO'!AO298*1)</f>
        <v>6.4708509058862083E-3</v>
      </c>
      <c r="AP64" s="222" cm="1">
        <f t="array" aca="1" ref="AP64" ca="1">'Tablica IO'!AP220*INDEX(Model!$C$93:$CA$93,Model!$A64) + IF(wplyw_cen_import_wlaczony,'Tablica IO'!AP298*INDEX(Model!$C$2:$CA$2,Model!$A64),'Tablica IO'!AP298*1)</f>
        <v>1.5060295156508311E-2</v>
      </c>
      <c r="AQ64" s="222" cm="1">
        <f t="array" aca="1" ref="AQ64" ca="1">'Tablica IO'!AQ220*INDEX(Model!$C$93:$CA$93,Model!$A64) + IF(wplyw_cen_import_wlaczony,'Tablica IO'!AQ298*INDEX(Model!$C$2:$CA$2,Model!$A64),'Tablica IO'!AQ298*1)</f>
        <v>4.9995949932910413E-2</v>
      </c>
      <c r="AR64" s="222" cm="1">
        <f t="array" aca="1" ref="AR64" ca="1">'Tablica IO'!AR220*INDEX(Model!$C$93:$CA$93,Model!$A64) + IF(wplyw_cen_import_wlaczony,'Tablica IO'!AR298*INDEX(Model!$C$2:$CA$2,Model!$A64),'Tablica IO'!AR298*1)</f>
        <v>2.2445098107287453E-2</v>
      </c>
      <c r="AS64" s="222" cm="1">
        <f t="array" aca="1" ref="AS64" ca="1">'Tablica IO'!AS220*INDEX(Model!$C$93:$CA$93,Model!$A64) + IF(wplyw_cen_import_wlaczony,'Tablica IO'!AS298*INDEX(Model!$C$2:$CA$2,Model!$A64),'Tablica IO'!AS298*1)</f>
        <v>1.2863905867978325E-2</v>
      </c>
      <c r="AT64" s="222" cm="1">
        <f t="array" aca="1" ref="AT64" ca="1">'Tablica IO'!AT220*INDEX(Model!$C$93:$CA$93,Model!$A64) + IF(wplyw_cen_import_wlaczony,'Tablica IO'!AT298*INDEX(Model!$C$2:$CA$2,Model!$A64),'Tablica IO'!AT298*1)</f>
        <v>1.0553513102520709E-2</v>
      </c>
      <c r="AU64" s="222" cm="1">
        <f t="array" aca="1" ref="AU64" ca="1">'Tablica IO'!AU220*INDEX(Model!$C$93:$CA$93,Model!$A64) + IF(wplyw_cen_import_wlaczony,'Tablica IO'!AU298*INDEX(Model!$C$2:$CA$2,Model!$A64),'Tablica IO'!AU298*1)</f>
        <v>5.922020568685714E-3</v>
      </c>
      <c r="AV64" s="222" cm="1">
        <f t="array" aca="1" ref="AV64" ca="1">'Tablica IO'!AV220*INDEX(Model!$C$93:$CA$93,Model!$A64) + IF(wplyw_cen_import_wlaczony,'Tablica IO'!AV298*INDEX(Model!$C$2:$CA$2,Model!$A64),'Tablica IO'!AV298*1)</f>
        <v>2.0577785584857993E-2</v>
      </c>
      <c r="AW64" s="222" cm="1">
        <f t="array" aca="1" ref="AW64" ca="1">'Tablica IO'!AW220*INDEX(Model!$C$93:$CA$93,Model!$A64) + IF(wplyw_cen_import_wlaczony,'Tablica IO'!AW298*INDEX(Model!$C$2:$CA$2,Model!$A64),'Tablica IO'!AW298*1)</f>
        <v>1.1866113687652263E-2</v>
      </c>
      <c r="AX64" s="222" cm="1">
        <f t="array" aca="1" ref="AX64" ca="1">'Tablica IO'!AX220*INDEX(Model!$C$93:$CA$93,Model!$A64) + IF(wplyw_cen_import_wlaczony,'Tablica IO'!AX298*INDEX(Model!$C$2:$CA$2,Model!$A64),'Tablica IO'!AX298*1)</f>
        <v>1.6343566299597632E-2</v>
      </c>
      <c r="AY64" s="222" cm="1">
        <f t="array" aca="1" ref="AY64" ca="1">'Tablica IO'!AY220*INDEX(Model!$C$93:$CA$93,Model!$A64) + IF(wplyw_cen_import_wlaczony,'Tablica IO'!AY298*INDEX(Model!$C$2:$CA$2,Model!$A64),'Tablica IO'!AY298*1)</f>
        <v>2.4157751858649375E-2</v>
      </c>
      <c r="AZ64" s="222" cm="1">
        <f t="array" aca="1" ref="AZ64" ca="1">'Tablica IO'!AZ220*INDEX(Model!$C$93:$CA$93,Model!$A64) + IF(wplyw_cen_import_wlaczony,'Tablica IO'!AZ298*INDEX(Model!$C$2:$CA$2,Model!$A64),'Tablica IO'!AZ298*1)</f>
        <v>2.7885840991861231E-2</v>
      </c>
      <c r="BA64" s="222" cm="1">
        <f t="array" aca="1" ref="BA64" ca="1">'Tablica IO'!BA220*INDEX(Model!$C$93:$CA$93,Model!$A64) + IF(wplyw_cen_import_wlaczony,'Tablica IO'!BA298*INDEX(Model!$C$2:$CA$2,Model!$A64),'Tablica IO'!BA298*1)</f>
        <v>3.585336094061771E-2</v>
      </c>
      <c r="BB64" s="222" cm="1">
        <f t="array" aca="1" ref="BB64" ca="1">'Tablica IO'!BB220*INDEX(Model!$C$93:$CA$93,Model!$A64) + IF(wplyw_cen_import_wlaczony,'Tablica IO'!BB298*INDEX(Model!$C$2:$CA$2,Model!$A64),'Tablica IO'!BB298*1)</f>
        <v>2.4837870147292183E-2</v>
      </c>
      <c r="BC64" s="222" cm="1">
        <f t="array" aca="1" ref="BC64" ca="1">'Tablica IO'!BC220*INDEX(Model!$C$93:$CA$93,Model!$A64) + IF(wplyw_cen_import_wlaczony,'Tablica IO'!BC298*INDEX(Model!$C$2:$CA$2,Model!$A64),'Tablica IO'!BC298*1)</f>
        <v>2.5260490075904987E-2</v>
      </c>
      <c r="BD64" s="222" cm="1">
        <f t="array" aca="1" ref="BD64" ca="1">'Tablica IO'!BD220*INDEX(Model!$C$93:$CA$93,Model!$A64) + IF(wplyw_cen_import_wlaczony,'Tablica IO'!BD298*INDEX(Model!$C$2:$CA$2,Model!$A64),'Tablica IO'!BD298*1)</f>
        <v>3.4289908074092074E-2</v>
      </c>
      <c r="BE64" s="222" cm="1">
        <f t="array" aca="1" ref="BE64" ca="1">'Tablica IO'!BE220*INDEX(Model!$C$93:$CA$93,Model!$A64) + IF(wplyw_cen_import_wlaczony,'Tablica IO'!BE298*INDEX(Model!$C$2:$CA$2,Model!$A64),'Tablica IO'!BE298*1)</f>
        <v>4.3558305011540356E-3</v>
      </c>
      <c r="BF64" s="222" cm="1">
        <f t="array" aca="1" ref="BF64" ca="1">'Tablica IO'!BF220*INDEX(Model!$C$93:$CA$93,Model!$A64) + IF(wplyw_cen_import_wlaczony,'Tablica IO'!BF298*INDEX(Model!$C$2:$CA$2,Model!$A64),'Tablica IO'!BF298*1)</f>
        <v>5.3908795711218784E-3</v>
      </c>
      <c r="BG64" s="222" cm="1">
        <f t="array" aca="1" ref="BG64" ca="1">'Tablica IO'!BG220*INDEX(Model!$C$93:$CA$93,Model!$A64) + IF(wplyw_cen_import_wlaczony,'Tablica IO'!BG298*INDEX(Model!$C$2:$CA$2,Model!$A64),'Tablica IO'!BG298*1)</f>
        <v>3.6170990020744412E-3</v>
      </c>
      <c r="BH64" s="222" cm="1">
        <f t="array" aca="1" ref="BH64" ca="1">'Tablica IO'!BH220*INDEX(Model!$C$93:$CA$93,Model!$A64) + IF(wplyw_cen_import_wlaczony,'Tablica IO'!BH298*INDEX(Model!$C$2:$CA$2,Model!$A64),'Tablica IO'!BH298*1)</f>
        <v>2.4202896854926121E-2</v>
      </c>
      <c r="BI64" s="222" cm="1">
        <f t="array" aca="1" ref="BI64" ca="1">'Tablica IO'!BI220*INDEX(Model!$C$93:$CA$93,Model!$A64) + IF(wplyw_cen_import_wlaczony,'Tablica IO'!BI298*INDEX(Model!$C$2:$CA$2,Model!$A64),'Tablica IO'!BI298*1)</f>
        <v>7.779176972653476E-4</v>
      </c>
      <c r="BJ64" s="222" cm="1">
        <f t="array" aca="1" ref="BJ64" ca="1">'Tablica IO'!BJ220*INDEX(Model!$C$93:$CA$93,Model!$A64) + IF(wplyw_cen_import_wlaczony,'Tablica IO'!BJ298*INDEX(Model!$C$2:$CA$2,Model!$A64),'Tablica IO'!BJ298*1)</f>
        <v>1.6931031479095384E-2</v>
      </c>
      <c r="BK64" s="222" cm="1">
        <f t="array" aca="1" ref="BK64" ca="1">'Tablica IO'!BK220*INDEX(Model!$C$93:$CA$93,Model!$A64) + IF(wplyw_cen_import_wlaczony,'Tablica IO'!BK298*INDEX(Model!$C$2:$CA$2,Model!$A64),'Tablica IO'!BK298*1)</f>
        <v>2.5459263040951245E-2</v>
      </c>
      <c r="BL64" s="222" cm="1">
        <f t="array" aca="1" ref="BL64" ca="1">'Tablica IO'!BL220*INDEX(Model!$C$93:$CA$93,Model!$A64) + IF(wplyw_cen_import_wlaczony,'Tablica IO'!BL298*INDEX(Model!$C$2:$CA$2,Model!$A64),'Tablica IO'!BL298*1)</f>
        <v>9.6346571593689378E-3</v>
      </c>
      <c r="BM64" s="222" cm="1">
        <f t="array" aca="1" ref="BM64" ca="1">'Tablica IO'!BM220*INDEX(Model!$C$93:$CA$93,Model!$A64) + IF(wplyw_cen_import_wlaczony,'Tablica IO'!BM298*INDEX(Model!$C$2:$CA$2,Model!$A64),'Tablica IO'!BM298*1)</f>
        <v>2.2491609623818389E-2</v>
      </c>
      <c r="BN64" s="222" cm="1">
        <f t="array" aca="1" ref="BN64" ca="1">'Tablica IO'!BN220*INDEX(Model!$C$93:$CA$93,Model!$A64) + IF(wplyw_cen_import_wlaczony,'Tablica IO'!BN298*INDEX(Model!$C$2:$CA$2,Model!$A64),'Tablica IO'!BN298*1)</f>
        <v>2.823970075393753E-2</v>
      </c>
      <c r="BO64" s="222" cm="1">
        <f t="array" aca="1" ref="BO64" ca="1">'Tablica IO'!BO220*INDEX(Model!$C$93:$CA$93,Model!$A64) + IF(wplyw_cen_import_wlaczony,'Tablica IO'!BO298*INDEX(Model!$C$2:$CA$2,Model!$A64),'Tablica IO'!BO298*1)</f>
        <v>8.2604306720302847E-3</v>
      </c>
      <c r="BP64" s="222" cm="1">
        <f t="array" aca="1" ref="BP64" ca="1">'Tablica IO'!BP220*INDEX(Model!$C$93:$CA$93,Model!$A64) + IF(wplyw_cen_import_wlaczony,'Tablica IO'!BP298*INDEX(Model!$C$2:$CA$2,Model!$A64),'Tablica IO'!BP298*1)</f>
        <v>5.2394576458214123E-3</v>
      </c>
      <c r="BQ64" s="222" cm="1">
        <f t="array" aca="1" ref="BQ64" ca="1">'Tablica IO'!BQ220*INDEX(Model!$C$93:$CA$93,Model!$A64) + IF(wplyw_cen_import_wlaczony,'Tablica IO'!BQ298*INDEX(Model!$C$2:$CA$2,Model!$A64),'Tablica IO'!BQ298*1)</f>
        <v>1.0439111777068149E-2</v>
      </c>
      <c r="BR64" s="222" cm="1">
        <f t="array" aca="1" ref="BR64" ca="1">'Tablica IO'!BR220*INDEX(Model!$C$93:$CA$93,Model!$A64) + IF(wplyw_cen_import_wlaczony,'Tablica IO'!BR298*INDEX(Model!$C$2:$CA$2,Model!$A64),'Tablica IO'!BR298*1)</f>
        <v>2.4185511118670396E-2</v>
      </c>
      <c r="BS64" s="222" cm="1">
        <f t="array" aca="1" ref="BS64" ca="1">'Tablica IO'!BS220*INDEX(Model!$C$93:$CA$93,Model!$A64) + IF(wplyw_cen_import_wlaczony,'Tablica IO'!BS298*INDEX(Model!$C$2:$CA$2,Model!$A64),'Tablica IO'!BS298*1)</f>
        <v>4.4078976630924992E-2</v>
      </c>
      <c r="BT64" s="222" cm="1">
        <f t="array" aca="1" ref="BT64" ca="1">'Tablica IO'!BT220*INDEX(Model!$C$93:$CA$93,Model!$A64) + IF(wplyw_cen_import_wlaczony,'Tablica IO'!BT298*INDEX(Model!$C$2:$CA$2,Model!$A64),'Tablica IO'!BT298*1)</f>
        <v>1.5049444435694209E-2</v>
      </c>
      <c r="BU64" s="222" cm="1">
        <f t="array" aca="1" ref="BU64" ca="1">'Tablica IO'!BU220*INDEX(Model!$C$93:$CA$93,Model!$A64) + IF(wplyw_cen_import_wlaczony,'Tablica IO'!BU298*INDEX(Model!$C$2:$CA$2,Model!$A64),'Tablica IO'!BU298*1)</f>
        <v>3.0691785396113013E-2</v>
      </c>
      <c r="BV64" s="222" cm="1">
        <f t="array" aca="1" ref="BV64" ca="1">'Tablica IO'!BV220*INDEX(Model!$C$93:$CA$93,Model!$A64) + IF(wplyw_cen_import_wlaczony,'Tablica IO'!BV298*INDEX(Model!$C$2:$CA$2,Model!$A64),'Tablica IO'!BV298*1)</f>
        <v>8.6627374115164885E-2</v>
      </c>
      <c r="BW64" s="222" cm="1">
        <f t="array" aca="1" ref="BW64" ca="1">'Tablica IO'!BW220*INDEX(Model!$C$93:$CA$93,Model!$A64) + IF(wplyw_cen_import_wlaczony,'Tablica IO'!BW298*INDEX(Model!$C$2:$CA$2,Model!$A64),'Tablica IO'!BW298*1)</f>
        <v>4.271162381142881E-2</v>
      </c>
      <c r="BX64" s="222" cm="1">
        <f t="array" aca="1" ref="BX64" ca="1">'Tablica IO'!BX220*INDEX(Model!$C$93:$CA$93,Model!$A64) + IF(wplyw_cen_import_wlaczony,'Tablica IO'!BX298*INDEX(Model!$C$2:$CA$2,Model!$A64),'Tablica IO'!BX298*1)</f>
        <v>1.012437235355049E-3</v>
      </c>
      <c r="BY64" s="222" cm="1">
        <f t="array" aca="1" ref="BY64" ca="1">'Tablica IO'!BY220*INDEX(Model!$C$93:$CA$93,Model!$A64) + IF(wplyw_cen_import_wlaczony,'Tablica IO'!BY298*INDEX(Model!$C$2:$CA$2,Model!$A64),'Tablica IO'!BY298*1)</f>
        <v>9.1649904112896443E-3</v>
      </c>
      <c r="BZ64" s="222" cm="1">
        <f t="array" aca="1" ref="BZ64" ca="1">'Tablica IO'!BZ220*INDEX(Model!$C$93:$CA$93,Model!$A64) + IF(wplyw_cen_import_wlaczony,'Tablica IO'!BZ298*INDEX(Model!$C$2:$CA$2,Model!$A64),'Tablica IO'!BZ298*1)</f>
        <v>2.747020433774237E-2</v>
      </c>
      <c r="CA64" s="222" cm="1">
        <f t="array" aca="1" ref="CA64" ca="1">'Tablica IO'!CA220*INDEX(Model!$C$93:$CA$93,Model!$A64) + IF(wplyw_cen_import_wlaczony,'Tablica IO'!CA298*INDEX(Model!$C$2:$CA$2,Model!$A64),'Tablica IO'!CA298*1)</f>
        <v>0</v>
      </c>
      <c r="CB64" s="247">
        <f ca="1">'Tablica IO'!CD220*INDEX(Model!$C$93:$CA$93,Model!$A64)+'Tablica IO'!CD298*INDEX(Model!$C$2:$CA$2,Model!$A64)</f>
        <v>0.12146689223492192</v>
      </c>
      <c r="CC64" s="188">
        <f ca="1">'Tablica IO'!CE220*INDEX(Model!$C$93:$CA$93,Model!$A64)+'Tablica IO'!CE298*INDEX(Model!$C$2:$CA$2,Model!$A64)</f>
        <v>1.6988402356944245E-2</v>
      </c>
      <c r="CD64" s="188">
        <f ca="1">'Tablica IO'!CF220*INDEX(Model!$C$93:$CA$93,Model!$A64)+'Tablica IO'!CF298*INDEX(Model!$C$2:$CA$2,Model!$A64)</f>
        <v>1.3159614134322449E-3</v>
      </c>
      <c r="CE64" s="189">
        <f ca="1">'Tablica IO'!CG220*INDEX(Model!$C$93:$CA$93,Model!$A64)+'Tablica IO'!CG298*INDEX(Model!$C$2:$CA$2,Model!$A64)</f>
        <v>5.378201248233047E-3</v>
      </c>
    </row>
    <row r="65" spans="1:83" x14ac:dyDescent="0.25">
      <c r="A65" s="164">
        <v>53</v>
      </c>
      <c r="B65" s="172" t="s">
        <v>52</v>
      </c>
      <c r="C65" s="221" cm="1">
        <f t="array" aca="1" ref="C65" ca="1">'Tablica IO'!C221*INDEX(Model!$C$93:$CA$93,Model!$A65) + IF(wplyw_cen_import_wlaczony,'Tablica IO'!C299*INDEX(Model!$C$2:$CA$2,Model!$A65),'Tablica IO'!C299*1)</f>
        <v>6.5383877659939461E-4</v>
      </c>
      <c r="D65" s="222" cm="1">
        <f t="array" aca="1" ref="D65" ca="1">'Tablica IO'!D221*INDEX(Model!$C$93:$CA$93,Model!$A65) + IF(wplyw_cen_import_wlaczony,'Tablica IO'!D299*INDEX(Model!$C$2:$CA$2,Model!$A65),'Tablica IO'!D299*1)</f>
        <v>3.996783365740819E-3</v>
      </c>
      <c r="E65" s="222" cm="1">
        <f t="array" aca="1" ref="E65" ca="1">'Tablica IO'!E221*INDEX(Model!$C$93:$CA$93,Model!$A65) + IF(wplyw_cen_import_wlaczony,'Tablica IO'!E299*INDEX(Model!$C$2:$CA$2,Model!$A65),'Tablica IO'!E299*1)</f>
        <v>5.6705359493955897E-4</v>
      </c>
      <c r="F65" s="222" cm="1">
        <f t="array" aca="1" ref="F65" ca="1">'Tablica IO'!F221*INDEX(Model!$C$93:$CA$93,Model!$A65) + IF(wplyw_cen_import_wlaczony,'Tablica IO'!F299*INDEX(Model!$C$2:$CA$2,Model!$A65),'Tablica IO'!F299*1)</f>
        <v>5.3232506061102747E-3</v>
      </c>
      <c r="G65" s="222" cm="1">
        <f t="array" aca="1" ref="G65" ca="1">'Tablica IO'!G221*INDEX(Model!$C$93:$CA$93,Model!$A65) + IF(wplyw_cen_import_wlaczony,'Tablica IO'!G299*INDEX(Model!$C$2:$CA$2,Model!$A65),'Tablica IO'!G299*1)</f>
        <v>6.2173799919665838E-3</v>
      </c>
      <c r="H65" s="222" cm="1">
        <f t="array" aca="1" ref="H65" ca="1">'Tablica IO'!H221*INDEX(Model!$C$93:$CA$93,Model!$A65) + IF(wplyw_cen_import_wlaczony,'Tablica IO'!H299*INDEX(Model!$C$2:$CA$2,Model!$A65),'Tablica IO'!H299*1)</f>
        <v>3.0993737695291929E-3</v>
      </c>
      <c r="I65" s="222" cm="1">
        <f t="array" aca="1" ref="I65" ca="1">'Tablica IO'!I221*INDEX(Model!$C$93:$CA$93,Model!$A65) + IF(wplyw_cen_import_wlaczony,'Tablica IO'!I299*INDEX(Model!$C$2:$CA$2,Model!$A65),'Tablica IO'!I299*1)</f>
        <v>1.9817903754383834E-2</v>
      </c>
      <c r="J65" s="222" cm="1">
        <f t="array" aca="1" ref="J65" ca="1">'Tablica IO'!J221*INDEX(Model!$C$93:$CA$93,Model!$A65) + IF(wplyw_cen_import_wlaczony,'Tablica IO'!J299*INDEX(Model!$C$2:$CA$2,Model!$A65),'Tablica IO'!J299*1)</f>
        <v>3.5314525693041408E-3</v>
      </c>
      <c r="K65" s="222" cm="1">
        <f t="array" aca="1" ref="K65" ca="1">'Tablica IO'!K221*INDEX(Model!$C$93:$CA$93,Model!$A65) + IF(wplyw_cen_import_wlaczony,'Tablica IO'!K299*INDEX(Model!$C$2:$CA$2,Model!$A65),'Tablica IO'!K299*1)</f>
        <v>5.2221273568019717E-3</v>
      </c>
      <c r="L65" s="222" cm="1">
        <f t="array" aca="1" ref="L65" ca="1">'Tablica IO'!L221*INDEX(Model!$C$93:$CA$93,Model!$A65) + IF(wplyw_cen_import_wlaczony,'Tablica IO'!L299*INDEX(Model!$C$2:$CA$2,Model!$A65),'Tablica IO'!L299*1)</f>
        <v>6.3805033898796477E-3</v>
      </c>
      <c r="M65" s="222" cm="1">
        <f t="array" aca="1" ref="M65" ca="1">'Tablica IO'!M221*INDEX(Model!$C$93:$CA$93,Model!$A65) + IF(wplyw_cen_import_wlaczony,'Tablica IO'!M299*INDEX(Model!$C$2:$CA$2,Model!$A65),'Tablica IO'!M299*1)</f>
        <v>5.0558928363456952E-3</v>
      </c>
      <c r="N65" s="222" cm="1">
        <f t="array" aca="1" ref="N65" ca="1">'Tablica IO'!N221*INDEX(Model!$C$93:$CA$93,Model!$A65) + IF(wplyw_cen_import_wlaczony,'Tablica IO'!N299*INDEX(Model!$C$2:$CA$2,Model!$A65),'Tablica IO'!N299*1)</f>
        <v>7.3567042345373448E-3</v>
      </c>
      <c r="O65" s="222" cm="1">
        <f t="array" aca="1" ref="O65" ca="1">'Tablica IO'!O221*INDEX(Model!$C$93:$CA$93,Model!$A65) + IF(wplyw_cen_import_wlaczony,'Tablica IO'!O299*INDEX(Model!$C$2:$CA$2,Model!$A65),'Tablica IO'!O299*1)</f>
        <v>4.6359604976198027E-3</v>
      </c>
      <c r="P65" s="222" cm="1">
        <f t="array" aca="1" ref="P65" ca="1">'Tablica IO'!P221*INDEX(Model!$C$93:$CA$93,Model!$A65) + IF(wplyw_cen_import_wlaczony,'Tablica IO'!P299*INDEX(Model!$C$2:$CA$2,Model!$A65),'Tablica IO'!P299*1)</f>
        <v>7.0886866464849544E-3</v>
      </c>
      <c r="Q65" s="222" cm="1">
        <f t="array" aca="1" ref="Q65" ca="1">'Tablica IO'!Q221*INDEX(Model!$C$93:$CA$93,Model!$A65) + IF(wplyw_cen_import_wlaczony,'Tablica IO'!Q299*INDEX(Model!$C$2:$CA$2,Model!$A65),'Tablica IO'!Q299*1)</f>
        <v>4.9752273326352512E-4</v>
      </c>
      <c r="R65" s="222" cm="1">
        <f t="array" aca="1" ref="R65" ca="1">'Tablica IO'!R221*INDEX(Model!$C$93:$CA$93,Model!$A65) + IF(wplyw_cen_import_wlaczony,'Tablica IO'!R299*INDEX(Model!$C$2:$CA$2,Model!$A65),'Tablica IO'!R299*1)</f>
        <v>5.387442899100937E-3</v>
      </c>
      <c r="S65" s="222" cm="1">
        <f t="array" aca="1" ref="S65" ca="1">'Tablica IO'!S221*INDEX(Model!$C$93:$CA$93,Model!$A65) + IF(wplyw_cen_import_wlaczony,'Tablica IO'!S299*INDEX(Model!$C$2:$CA$2,Model!$A65),'Tablica IO'!S299*1)</f>
        <v>1.4901334705200959E-2</v>
      </c>
      <c r="T65" s="222" cm="1">
        <f t="array" aca="1" ref="T65" ca="1">'Tablica IO'!T221*INDEX(Model!$C$93:$CA$93,Model!$A65) + IF(wplyw_cen_import_wlaczony,'Tablica IO'!T299*INDEX(Model!$C$2:$CA$2,Model!$A65),'Tablica IO'!T299*1)</f>
        <v>2.4281217076782906E-3</v>
      </c>
      <c r="U65" s="222" cm="1">
        <f t="array" aca="1" ref="U65" ca="1">'Tablica IO'!U221*INDEX(Model!$C$93:$CA$93,Model!$A65) + IF(wplyw_cen_import_wlaczony,'Tablica IO'!U299*INDEX(Model!$C$2:$CA$2,Model!$A65),'Tablica IO'!U299*1)</f>
        <v>5.5198056596007673E-3</v>
      </c>
      <c r="V65" s="222" cm="1">
        <f t="array" aca="1" ref="V65" ca="1">'Tablica IO'!V221*INDEX(Model!$C$93:$CA$93,Model!$A65) + IF(wplyw_cen_import_wlaczony,'Tablica IO'!V299*INDEX(Model!$C$2:$CA$2,Model!$A65),'Tablica IO'!V299*1)</f>
        <v>1.0451504796185248E-2</v>
      </c>
      <c r="W65" s="222" cm="1">
        <f t="array" aca="1" ref="W65" ca="1">'Tablica IO'!W221*INDEX(Model!$C$93:$CA$93,Model!$A65) + IF(wplyw_cen_import_wlaczony,'Tablica IO'!W299*INDEX(Model!$C$2:$CA$2,Model!$A65),'Tablica IO'!W299*1)</f>
        <v>1.2974887990910618E-2</v>
      </c>
      <c r="X65" s="222" cm="1">
        <f t="array" aca="1" ref="X65" ca="1">'Tablica IO'!X221*INDEX(Model!$C$93:$CA$93,Model!$A65) + IF(wplyw_cen_import_wlaczony,'Tablica IO'!X299*INDEX(Model!$C$2:$CA$2,Model!$A65),'Tablica IO'!X299*1)</f>
        <v>2.0671197650363E-3</v>
      </c>
      <c r="Y65" s="222" cm="1">
        <f t="array" aca="1" ref="Y65" ca="1">'Tablica IO'!Y221*INDEX(Model!$C$93:$CA$93,Model!$A65) + IF(wplyw_cen_import_wlaczony,'Tablica IO'!Y299*INDEX(Model!$C$2:$CA$2,Model!$A65),'Tablica IO'!Y299*1)</f>
        <v>1.123174712068468E-2</v>
      </c>
      <c r="Z65" s="222" cm="1">
        <f t="array" aca="1" ref="Z65" ca="1">'Tablica IO'!Z221*INDEX(Model!$C$93:$CA$93,Model!$A65) + IF(wplyw_cen_import_wlaczony,'Tablica IO'!Z299*INDEX(Model!$C$2:$CA$2,Model!$A65),'Tablica IO'!Z299*1)</f>
        <v>5.8764800720266831E-3</v>
      </c>
      <c r="AA65" s="222" cm="1">
        <f t="array" aca="1" ref="AA65" ca="1">'Tablica IO'!AA221*INDEX(Model!$C$93:$CA$93,Model!$A65) + IF(wplyw_cen_import_wlaczony,'Tablica IO'!AA299*INDEX(Model!$C$2:$CA$2,Model!$A65),'Tablica IO'!AA299*1)</f>
        <v>3.3431998569272803E-3</v>
      </c>
      <c r="AB65" s="222" cm="1">
        <f t="array" aca="1" ref="AB65" ca="1">'Tablica IO'!AB221*INDEX(Model!$C$93:$CA$93,Model!$A65) + IF(wplyw_cen_import_wlaczony,'Tablica IO'!AB299*INDEX(Model!$C$2:$CA$2,Model!$A65),'Tablica IO'!AB299*1)</f>
        <v>1.1380141478329298E-2</v>
      </c>
      <c r="AC65" s="222" cm="1">
        <f t="array" aca="1" ref="AC65" ca="1">'Tablica IO'!AC221*INDEX(Model!$C$93:$CA$93,Model!$A65) + IF(wplyw_cen_import_wlaczony,'Tablica IO'!AC299*INDEX(Model!$C$2:$CA$2,Model!$A65),'Tablica IO'!AC299*1)</f>
        <v>1.1161625873254501E-2</v>
      </c>
      <c r="AD65" s="222" cm="1">
        <f t="array" aca="1" ref="AD65" ca="1">'Tablica IO'!AD221*INDEX(Model!$C$93:$CA$93,Model!$A65) + IF(wplyw_cen_import_wlaczony,'Tablica IO'!AD299*INDEX(Model!$C$2:$CA$2,Model!$A65),'Tablica IO'!AD299*1)</f>
        <v>3.7310417753687116E-3</v>
      </c>
      <c r="AE65" s="222" cm="1">
        <f t="array" aca="1" ref="AE65" ca="1">'Tablica IO'!AE221*INDEX(Model!$C$93:$CA$93,Model!$A65) + IF(wplyw_cen_import_wlaczony,'Tablica IO'!AE299*INDEX(Model!$C$2:$CA$2,Model!$A65),'Tablica IO'!AE299*1)</f>
        <v>6.8821607086326153E-3</v>
      </c>
      <c r="AF65" s="222" cm="1">
        <f t="array" aca="1" ref="AF65" ca="1">'Tablica IO'!AF221*INDEX(Model!$C$93:$CA$93,Model!$A65) + IF(wplyw_cen_import_wlaczony,'Tablica IO'!AF299*INDEX(Model!$C$2:$CA$2,Model!$A65),'Tablica IO'!AF299*1)</f>
        <v>8.0651926101668239E-3</v>
      </c>
      <c r="AG65" s="222" cm="1">
        <f t="array" aca="1" ref="AG65" ca="1">'Tablica IO'!AG221*INDEX(Model!$C$93:$CA$93,Model!$A65) + IF(wplyw_cen_import_wlaczony,'Tablica IO'!AG299*INDEX(Model!$C$2:$CA$2,Model!$A65),'Tablica IO'!AG299*1)</f>
        <v>1.0501294333580716E-3</v>
      </c>
      <c r="AH65" s="222" cm="1">
        <f t="array" aca="1" ref="AH65" ca="1">'Tablica IO'!AH221*INDEX(Model!$C$93:$CA$93,Model!$A65) + IF(wplyw_cen_import_wlaczony,'Tablica IO'!AH299*INDEX(Model!$C$2:$CA$2,Model!$A65),'Tablica IO'!AH299*1)</f>
        <v>5.8138973976217638E-3</v>
      </c>
      <c r="AI65" s="222" cm="1">
        <f t="array" aca="1" ref="AI65" ca="1">'Tablica IO'!AI221*INDEX(Model!$C$93:$CA$93,Model!$A65) + IF(wplyw_cen_import_wlaczony,'Tablica IO'!AI299*INDEX(Model!$C$2:$CA$2,Model!$A65),'Tablica IO'!AI299*1)</f>
        <v>3.8169886855610293E-3</v>
      </c>
      <c r="AJ65" s="222" cm="1">
        <f t="array" aca="1" ref="AJ65" ca="1">'Tablica IO'!AJ221*INDEX(Model!$C$93:$CA$93,Model!$A65) + IF(wplyw_cen_import_wlaczony,'Tablica IO'!AJ299*INDEX(Model!$C$2:$CA$2,Model!$A65),'Tablica IO'!AJ299*1)</f>
        <v>3.2289578488143393E-3</v>
      </c>
      <c r="AK65" s="222" cm="1">
        <f t="array" aca="1" ref="AK65" ca="1">'Tablica IO'!AK221*INDEX(Model!$C$93:$CA$93,Model!$A65) + IF(wplyw_cen_import_wlaczony,'Tablica IO'!AK299*INDEX(Model!$C$2:$CA$2,Model!$A65),'Tablica IO'!AK299*1)</f>
        <v>1.4686370042873114E-2</v>
      </c>
      <c r="AL65" s="222" cm="1">
        <f t="array" aca="1" ref="AL65" ca="1">'Tablica IO'!AL221*INDEX(Model!$C$93:$CA$93,Model!$A65) + IF(wplyw_cen_import_wlaczony,'Tablica IO'!AL299*INDEX(Model!$C$2:$CA$2,Model!$A65),'Tablica IO'!AL299*1)</f>
        <v>1.704016094996625E-2</v>
      </c>
      <c r="AM65" s="222" cm="1">
        <f t="array" aca="1" ref="AM65" ca="1">'Tablica IO'!AM221*INDEX(Model!$C$93:$CA$93,Model!$A65) + IF(wplyw_cen_import_wlaczony,'Tablica IO'!AM299*INDEX(Model!$C$2:$CA$2,Model!$A65),'Tablica IO'!AM299*1)</f>
        <v>1.1550245115182562E-2</v>
      </c>
      <c r="AN65" s="222" cm="1">
        <f t="array" aca="1" ref="AN65" ca="1">'Tablica IO'!AN221*INDEX(Model!$C$93:$CA$93,Model!$A65) + IF(wplyw_cen_import_wlaczony,'Tablica IO'!AN299*INDEX(Model!$C$2:$CA$2,Model!$A65),'Tablica IO'!AN299*1)</f>
        <v>5.1939051810239549E-3</v>
      </c>
      <c r="AO65" s="222" cm="1">
        <f t="array" aca="1" ref="AO65" ca="1">'Tablica IO'!AO221*INDEX(Model!$C$93:$CA$93,Model!$A65) + IF(wplyw_cen_import_wlaczony,'Tablica IO'!AO299*INDEX(Model!$C$2:$CA$2,Model!$A65),'Tablica IO'!AO299*1)</f>
        <v>2.5725298372017841E-3</v>
      </c>
      <c r="AP65" s="222" cm="1">
        <f t="array" aca="1" ref="AP65" ca="1">'Tablica IO'!AP221*INDEX(Model!$C$93:$CA$93,Model!$A65) + IF(wplyw_cen_import_wlaczony,'Tablica IO'!AP299*INDEX(Model!$C$2:$CA$2,Model!$A65),'Tablica IO'!AP299*1)</f>
        <v>4.4281401430902147E-3</v>
      </c>
      <c r="AQ65" s="222" cm="1">
        <f t="array" aca="1" ref="AQ65" ca="1">'Tablica IO'!AQ221*INDEX(Model!$C$93:$CA$93,Model!$A65) + IF(wplyw_cen_import_wlaczony,'Tablica IO'!AQ299*INDEX(Model!$C$2:$CA$2,Model!$A65),'Tablica IO'!AQ299*1)</f>
        <v>4.6208269837371323E-3</v>
      </c>
      <c r="AR65" s="222" cm="1">
        <f t="array" aca="1" ref="AR65" ca="1">'Tablica IO'!AR221*INDEX(Model!$C$93:$CA$93,Model!$A65) + IF(wplyw_cen_import_wlaczony,'Tablica IO'!AR299*INDEX(Model!$C$2:$CA$2,Model!$A65),'Tablica IO'!AR299*1)</f>
        <v>4.3292906741884563E-3</v>
      </c>
      <c r="AS65" s="222" cm="1">
        <f t="array" aca="1" ref="AS65" ca="1">'Tablica IO'!AS221*INDEX(Model!$C$93:$CA$93,Model!$A65) + IF(wplyw_cen_import_wlaczony,'Tablica IO'!AS299*INDEX(Model!$C$2:$CA$2,Model!$A65),'Tablica IO'!AS299*1)</f>
        <v>1.036695202455077E-2</v>
      </c>
      <c r="AT65" s="222" cm="1">
        <f t="array" aca="1" ref="AT65" ca="1">'Tablica IO'!AT221*INDEX(Model!$C$93:$CA$93,Model!$A65) + IF(wplyw_cen_import_wlaczony,'Tablica IO'!AT299*INDEX(Model!$C$2:$CA$2,Model!$A65),'Tablica IO'!AT299*1)</f>
        <v>4.4570394650629754E-3</v>
      </c>
      <c r="AU65" s="222" cm="1">
        <f t="array" aca="1" ref="AU65" ca="1">'Tablica IO'!AU221*INDEX(Model!$C$93:$CA$93,Model!$A65) + IF(wplyw_cen_import_wlaczony,'Tablica IO'!AU299*INDEX(Model!$C$2:$CA$2,Model!$A65),'Tablica IO'!AU299*1)</f>
        <v>4.1274763935639919E-3</v>
      </c>
      <c r="AV65" s="222" cm="1">
        <f t="array" aca="1" ref="AV65" ca="1">'Tablica IO'!AV221*INDEX(Model!$C$93:$CA$93,Model!$A65) + IF(wplyw_cen_import_wlaczony,'Tablica IO'!AV299*INDEX(Model!$C$2:$CA$2,Model!$A65),'Tablica IO'!AV299*1)</f>
        <v>1.6962634797070823E-2</v>
      </c>
      <c r="AW65" s="222" cm="1">
        <f t="array" aca="1" ref="AW65" ca="1">'Tablica IO'!AW221*INDEX(Model!$C$93:$CA$93,Model!$A65) + IF(wplyw_cen_import_wlaczony,'Tablica IO'!AW299*INDEX(Model!$C$2:$CA$2,Model!$A65),'Tablica IO'!AW299*1)</f>
        <v>6.1037631683778463E-3</v>
      </c>
      <c r="AX65" s="222" cm="1">
        <f t="array" aca="1" ref="AX65" ca="1">'Tablica IO'!AX221*INDEX(Model!$C$93:$CA$93,Model!$A65) + IF(wplyw_cen_import_wlaczony,'Tablica IO'!AX299*INDEX(Model!$C$2:$CA$2,Model!$A65),'Tablica IO'!AX299*1)</f>
        <v>1.7377363763194049E-2</v>
      </c>
      <c r="AY65" s="222" cm="1">
        <f t="array" aca="1" ref="AY65" ca="1">'Tablica IO'!AY221*INDEX(Model!$C$93:$CA$93,Model!$A65) + IF(wplyw_cen_import_wlaczony,'Tablica IO'!AY299*INDEX(Model!$C$2:$CA$2,Model!$A65),'Tablica IO'!AY299*1)</f>
        <v>5.7199082056138767E-3</v>
      </c>
      <c r="AZ65" s="222" cm="1">
        <f t="array" aca="1" ref="AZ65" ca="1">'Tablica IO'!AZ221*INDEX(Model!$C$93:$CA$93,Model!$A65) + IF(wplyw_cen_import_wlaczony,'Tablica IO'!AZ299*INDEX(Model!$C$2:$CA$2,Model!$A65),'Tablica IO'!AZ299*1)</f>
        <v>1.2457402094151415E-2</v>
      </c>
      <c r="BA65" s="222" cm="1">
        <f t="array" aca="1" ref="BA65" ca="1">'Tablica IO'!BA221*INDEX(Model!$C$93:$CA$93,Model!$A65) + IF(wplyw_cen_import_wlaczony,'Tablica IO'!BA299*INDEX(Model!$C$2:$CA$2,Model!$A65),'Tablica IO'!BA299*1)</f>
        <v>3.2066065188779636E-2</v>
      </c>
      <c r="BB65" s="222" cm="1">
        <f t="array" aca="1" ref="BB65" ca="1">'Tablica IO'!BB221*INDEX(Model!$C$93:$CA$93,Model!$A65) + IF(wplyw_cen_import_wlaczony,'Tablica IO'!BB299*INDEX(Model!$C$2:$CA$2,Model!$A65),'Tablica IO'!BB299*1)</f>
        <v>4.6025865627782655E-3</v>
      </c>
      <c r="BC65" s="222" cm="1">
        <f t="array" aca="1" ref="BC65" ca="1">'Tablica IO'!BC221*INDEX(Model!$C$93:$CA$93,Model!$A65) + IF(wplyw_cen_import_wlaczony,'Tablica IO'!BC299*INDEX(Model!$C$2:$CA$2,Model!$A65),'Tablica IO'!BC299*1)</f>
        <v>0.13346649116870149</v>
      </c>
      <c r="BD65" s="222" cm="1">
        <f t="array" aca="1" ref="BD65" ca="1">'Tablica IO'!BD221*INDEX(Model!$C$93:$CA$93,Model!$A65) + IF(wplyw_cen_import_wlaczony,'Tablica IO'!BD299*INDEX(Model!$C$2:$CA$2,Model!$A65),'Tablica IO'!BD299*1)</f>
        <v>3.9536598445836416E-2</v>
      </c>
      <c r="BE65" s="222" cm="1">
        <f t="array" aca="1" ref="BE65" ca="1">'Tablica IO'!BE221*INDEX(Model!$C$93:$CA$93,Model!$A65) + IF(wplyw_cen_import_wlaczony,'Tablica IO'!BE299*INDEX(Model!$C$2:$CA$2,Model!$A65),'Tablica IO'!BE299*1)</f>
        <v>2.838141548520958E-3</v>
      </c>
      <c r="BF65" s="222" cm="1">
        <f t="array" aca="1" ref="BF65" ca="1">'Tablica IO'!BF221*INDEX(Model!$C$93:$CA$93,Model!$A65) + IF(wplyw_cen_import_wlaczony,'Tablica IO'!BF299*INDEX(Model!$C$2:$CA$2,Model!$A65),'Tablica IO'!BF299*1)</f>
        <v>4.4898583631456674E-3</v>
      </c>
      <c r="BG65" s="222" cm="1">
        <f t="array" aca="1" ref="BG65" ca="1">'Tablica IO'!BG221*INDEX(Model!$C$93:$CA$93,Model!$A65) + IF(wplyw_cen_import_wlaczony,'Tablica IO'!BG299*INDEX(Model!$C$2:$CA$2,Model!$A65),'Tablica IO'!BG299*1)</f>
        <v>4.5634780357343653E-3</v>
      </c>
      <c r="BH65" s="222" cm="1">
        <f t="array" aca="1" ref="BH65" ca="1">'Tablica IO'!BH221*INDEX(Model!$C$93:$CA$93,Model!$A65) + IF(wplyw_cen_import_wlaczony,'Tablica IO'!BH299*INDEX(Model!$C$2:$CA$2,Model!$A65),'Tablica IO'!BH299*1)</f>
        <v>2.9843241043936718E-2</v>
      </c>
      <c r="BI65" s="222" cm="1">
        <f t="array" aca="1" ref="BI65" ca="1">'Tablica IO'!BI221*INDEX(Model!$C$93:$CA$93,Model!$A65) + IF(wplyw_cen_import_wlaczony,'Tablica IO'!BI299*INDEX(Model!$C$2:$CA$2,Model!$A65),'Tablica IO'!BI299*1)</f>
        <v>2.0006636153882713E-3</v>
      </c>
      <c r="BJ65" s="222" cm="1">
        <f t="array" aca="1" ref="BJ65" ca="1">'Tablica IO'!BJ221*INDEX(Model!$C$93:$CA$93,Model!$A65) + IF(wplyw_cen_import_wlaczony,'Tablica IO'!BJ299*INDEX(Model!$C$2:$CA$2,Model!$A65),'Tablica IO'!BJ299*1)</f>
        <v>1.2891208498981803E-2</v>
      </c>
      <c r="BK65" s="222" cm="1">
        <f t="array" aca="1" ref="BK65" ca="1">'Tablica IO'!BK221*INDEX(Model!$C$93:$CA$93,Model!$A65) + IF(wplyw_cen_import_wlaczony,'Tablica IO'!BK299*INDEX(Model!$C$2:$CA$2,Model!$A65),'Tablica IO'!BK299*1)</f>
        <v>6.3747008192770772E-3</v>
      </c>
      <c r="BL65" s="222" cm="1">
        <f t="array" aca="1" ref="BL65" ca="1">'Tablica IO'!BL221*INDEX(Model!$C$93:$CA$93,Model!$A65) + IF(wplyw_cen_import_wlaczony,'Tablica IO'!BL299*INDEX(Model!$C$2:$CA$2,Model!$A65),'Tablica IO'!BL299*1)</f>
        <v>2.7971833697261828E-3</v>
      </c>
      <c r="BM65" s="222" cm="1">
        <f t="array" aca="1" ref="BM65" ca="1">'Tablica IO'!BM221*INDEX(Model!$C$93:$CA$93,Model!$A65) + IF(wplyw_cen_import_wlaczony,'Tablica IO'!BM299*INDEX(Model!$C$2:$CA$2,Model!$A65),'Tablica IO'!BM299*1)</f>
        <v>1.6696919252883441E-2</v>
      </c>
      <c r="BN65" s="222" cm="1">
        <f t="array" aca="1" ref="BN65" ca="1">'Tablica IO'!BN221*INDEX(Model!$C$93:$CA$93,Model!$A65) + IF(wplyw_cen_import_wlaczony,'Tablica IO'!BN299*INDEX(Model!$C$2:$CA$2,Model!$A65),'Tablica IO'!BN299*1)</f>
        <v>1.7854689475259485E-2</v>
      </c>
      <c r="BO65" s="222" cm="1">
        <f t="array" aca="1" ref="BO65" ca="1">'Tablica IO'!BO221*INDEX(Model!$C$93:$CA$93,Model!$A65) + IF(wplyw_cen_import_wlaczony,'Tablica IO'!BO299*INDEX(Model!$C$2:$CA$2,Model!$A65),'Tablica IO'!BO299*1)</f>
        <v>1.6788416417421265E-2</v>
      </c>
      <c r="BP65" s="222" cm="1">
        <f t="array" aca="1" ref="BP65" ca="1">'Tablica IO'!BP221*INDEX(Model!$C$93:$CA$93,Model!$A65) + IF(wplyw_cen_import_wlaczony,'Tablica IO'!BP299*INDEX(Model!$C$2:$CA$2,Model!$A65),'Tablica IO'!BP299*1)</f>
        <v>2.0599659742144886E-3</v>
      </c>
      <c r="BQ65" s="222" cm="1">
        <f t="array" aca="1" ref="BQ65" ca="1">'Tablica IO'!BQ221*INDEX(Model!$C$93:$CA$93,Model!$A65) + IF(wplyw_cen_import_wlaczony,'Tablica IO'!BQ299*INDEX(Model!$C$2:$CA$2,Model!$A65),'Tablica IO'!BQ299*1)</f>
        <v>5.3545001298424787E-3</v>
      </c>
      <c r="BR65" s="222" cm="1">
        <f t="array" aca="1" ref="BR65" ca="1">'Tablica IO'!BR221*INDEX(Model!$C$93:$CA$93,Model!$A65) + IF(wplyw_cen_import_wlaczony,'Tablica IO'!BR299*INDEX(Model!$C$2:$CA$2,Model!$A65),'Tablica IO'!BR299*1)</f>
        <v>4.8760344000677268E-3</v>
      </c>
      <c r="BS65" s="222" cm="1">
        <f t="array" aca="1" ref="BS65" ca="1">'Tablica IO'!BS221*INDEX(Model!$C$93:$CA$93,Model!$A65) + IF(wplyw_cen_import_wlaczony,'Tablica IO'!BS299*INDEX(Model!$C$2:$CA$2,Model!$A65),'Tablica IO'!BS299*1)</f>
        <v>1.7350456382494977E-3</v>
      </c>
      <c r="BT65" s="222" cm="1">
        <f t="array" aca="1" ref="BT65" ca="1">'Tablica IO'!BT221*INDEX(Model!$C$93:$CA$93,Model!$A65) + IF(wplyw_cen_import_wlaczony,'Tablica IO'!BT299*INDEX(Model!$C$2:$CA$2,Model!$A65),'Tablica IO'!BT299*1)</f>
        <v>1.5505911367331296E-2</v>
      </c>
      <c r="BU65" s="222" cm="1">
        <f t="array" aca="1" ref="BU65" ca="1">'Tablica IO'!BU221*INDEX(Model!$C$93:$CA$93,Model!$A65) + IF(wplyw_cen_import_wlaczony,'Tablica IO'!BU299*INDEX(Model!$C$2:$CA$2,Model!$A65),'Tablica IO'!BU299*1)</f>
        <v>1.6519115931591714E-2</v>
      </c>
      <c r="BV65" s="222" cm="1">
        <f t="array" aca="1" ref="BV65" ca="1">'Tablica IO'!BV221*INDEX(Model!$C$93:$CA$93,Model!$A65) + IF(wplyw_cen_import_wlaczony,'Tablica IO'!BV299*INDEX(Model!$C$2:$CA$2,Model!$A65),'Tablica IO'!BV299*1)</f>
        <v>7.218801131606568E-3</v>
      </c>
      <c r="BW65" s="222" cm="1">
        <f t="array" aca="1" ref="BW65" ca="1">'Tablica IO'!BW221*INDEX(Model!$C$93:$CA$93,Model!$A65) + IF(wplyw_cen_import_wlaczony,'Tablica IO'!BW299*INDEX(Model!$C$2:$CA$2,Model!$A65),'Tablica IO'!BW299*1)</f>
        <v>1.0288546039640443E-2</v>
      </c>
      <c r="BX65" s="222" cm="1">
        <f t="array" aca="1" ref="BX65" ca="1">'Tablica IO'!BX221*INDEX(Model!$C$93:$CA$93,Model!$A65) + IF(wplyw_cen_import_wlaczony,'Tablica IO'!BX299*INDEX(Model!$C$2:$CA$2,Model!$A65),'Tablica IO'!BX299*1)</f>
        <v>2.9247784314287951E-5</v>
      </c>
      <c r="BY65" s="222" cm="1">
        <f t="array" aca="1" ref="BY65" ca="1">'Tablica IO'!BY221*INDEX(Model!$C$93:$CA$93,Model!$A65) + IF(wplyw_cen_import_wlaczony,'Tablica IO'!BY299*INDEX(Model!$C$2:$CA$2,Model!$A65),'Tablica IO'!BY299*1)</f>
        <v>5.4373351300911988E-3</v>
      </c>
      <c r="BZ65" s="222" cm="1">
        <f t="array" aca="1" ref="BZ65" ca="1">'Tablica IO'!BZ221*INDEX(Model!$C$93:$CA$93,Model!$A65) + IF(wplyw_cen_import_wlaczony,'Tablica IO'!BZ299*INDEX(Model!$C$2:$CA$2,Model!$A65),'Tablica IO'!BZ299*1)</f>
        <v>8.4095113868771932E-3</v>
      </c>
      <c r="CA65" s="222" cm="1">
        <f t="array" aca="1" ref="CA65" ca="1">'Tablica IO'!CA221*INDEX(Model!$C$93:$CA$93,Model!$A65) + IF(wplyw_cen_import_wlaczony,'Tablica IO'!CA299*INDEX(Model!$C$2:$CA$2,Model!$A65),'Tablica IO'!CA299*1)</f>
        <v>0</v>
      </c>
      <c r="CB65" s="247">
        <f ca="1">'Tablica IO'!CD221*INDEX(Model!$C$93:$CA$93,Model!$A65)+'Tablica IO'!CD299*INDEX(Model!$C$2:$CA$2,Model!$A65)</f>
        <v>6.744236952392027E-3</v>
      </c>
      <c r="CC65" s="188">
        <f ca="1">'Tablica IO'!CE221*INDEX(Model!$C$93:$CA$93,Model!$A65)+'Tablica IO'!CE299*INDEX(Model!$C$2:$CA$2,Model!$A65)</f>
        <v>0</v>
      </c>
      <c r="CD65" s="188">
        <f ca="1">'Tablica IO'!CF221*INDEX(Model!$C$93:$CA$93,Model!$A65)+'Tablica IO'!CF299*INDEX(Model!$C$2:$CA$2,Model!$A65)</f>
        <v>1.8426017126057593E-4</v>
      </c>
      <c r="CE65" s="189">
        <f ca="1">'Tablica IO'!CG221*INDEX(Model!$C$93:$CA$93,Model!$A65)+'Tablica IO'!CG299*INDEX(Model!$C$2:$CA$2,Model!$A65)</f>
        <v>7.2443161344646883E-3</v>
      </c>
    </row>
    <row r="66" spans="1:83" x14ac:dyDescent="0.25">
      <c r="A66" s="164">
        <v>54</v>
      </c>
      <c r="B66" s="172" t="s">
        <v>53</v>
      </c>
      <c r="C66" s="221" cm="1">
        <f t="array" aca="1" ref="C66" ca="1">'Tablica IO'!C222*INDEX(Model!$C$93:$CA$93,Model!$A66) + IF(wplyw_cen_import_wlaczony,'Tablica IO'!C300*INDEX(Model!$C$2:$CA$2,Model!$A66),'Tablica IO'!C300*1)</f>
        <v>5.7156125103333566E-4</v>
      </c>
      <c r="D66" s="222" cm="1">
        <f t="array" aca="1" ref="D66" ca="1">'Tablica IO'!D222*INDEX(Model!$C$93:$CA$93,Model!$A66) + IF(wplyw_cen_import_wlaczony,'Tablica IO'!D300*INDEX(Model!$C$2:$CA$2,Model!$A66),'Tablica IO'!D300*1)</f>
        <v>2.6012909506328208E-3</v>
      </c>
      <c r="E66" s="222" cm="1">
        <f t="array" aca="1" ref="E66" ca="1">'Tablica IO'!E222*INDEX(Model!$C$93:$CA$93,Model!$A66) + IF(wplyw_cen_import_wlaczony,'Tablica IO'!E300*INDEX(Model!$C$2:$CA$2,Model!$A66),'Tablica IO'!E300*1)</f>
        <v>1.8850898311334593E-3</v>
      </c>
      <c r="F66" s="222" cm="1">
        <f t="array" aca="1" ref="F66" ca="1">'Tablica IO'!F222*INDEX(Model!$C$93:$CA$93,Model!$A66) + IF(wplyw_cen_import_wlaczony,'Tablica IO'!F300*INDEX(Model!$C$2:$CA$2,Model!$A66),'Tablica IO'!F300*1)</f>
        <v>2.181928856972938E-3</v>
      </c>
      <c r="G66" s="222" cm="1">
        <f t="array" aca="1" ref="G66" ca="1">'Tablica IO'!G222*INDEX(Model!$C$93:$CA$93,Model!$A66) + IF(wplyw_cen_import_wlaczony,'Tablica IO'!G300*INDEX(Model!$C$2:$CA$2,Model!$A66),'Tablica IO'!G300*1)</f>
        <v>4.5234300552645622E-3</v>
      </c>
      <c r="H66" s="222" cm="1">
        <f t="array" aca="1" ref="H66" ca="1">'Tablica IO'!H222*INDEX(Model!$C$93:$CA$93,Model!$A66) + IF(wplyw_cen_import_wlaczony,'Tablica IO'!H300*INDEX(Model!$C$2:$CA$2,Model!$A66),'Tablica IO'!H300*1)</f>
        <v>4.0513130880240238E-3</v>
      </c>
      <c r="I66" s="222" cm="1">
        <f t="array" aca="1" ref="I66" ca="1">'Tablica IO'!I222*INDEX(Model!$C$93:$CA$93,Model!$A66) + IF(wplyw_cen_import_wlaczony,'Tablica IO'!I300*INDEX(Model!$C$2:$CA$2,Model!$A66),'Tablica IO'!I300*1)</f>
        <v>9.0889147819536407E-3</v>
      </c>
      <c r="J66" s="222" cm="1">
        <f t="array" aca="1" ref="J66" ca="1">'Tablica IO'!J222*INDEX(Model!$C$93:$CA$93,Model!$A66) + IF(wplyw_cen_import_wlaczony,'Tablica IO'!J300*INDEX(Model!$C$2:$CA$2,Model!$A66),'Tablica IO'!J300*1)</f>
        <v>1.3378573496669616E-2</v>
      </c>
      <c r="K66" s="222" cm="1">
        <f t="array" aca="1" ref="K66" ca="1">'Tablica IO'!K222*INDEX(Model!$C$93:$CA$93,Model!$A66) + IF(wplyw_cen_import_wlaczony,'Tablica IO'!K300*INDEX(Model!$C$2:$CA$2,Model!$A66),'Tablica IO'!K300*1)</f>
        <v>5.7825184378034831E-3</v>
      </c>
      <c r="L66" s="222" cm="1">
        <f t="array" aca="1" ref="L66" ca="1">'Tablica IO'!L222*INDEX(Model!$C$93:$CA$93,Model!$A66) + IF(wplyw_cen_import_wlaczony,'Tablica IO'!L300*INDEX(Model!$C$2:$CA$2,Model!$A66),'Tablica IO'!L300*1)</f>
        <v>4.0304793124476615E-3</v>
      </c>
      <c r="M66" s="222" cm="1">
        <f t="array" aca="1" ref="M66" ca="1">'Tablica IO'!M222*INDEX(Model!$C$93:$CA$93,Model!$A66) + IF(wplyw_cen_import_wlaczony,'Tablica IO'!M300*INDEX(Model!$C$2:$CA$2,Model!$A66),'Tablica IO'!M300*1)</f>
        <v>3.661360266113006E-3</v>
      </c>
      <c r="N66" s="222" cm="1">
        <f t="array" aca="1" ref="N66" ca="1">'Tablica IO'!N222*INDEX(Model!$C$93:$CA$93,Model!$A66) + IF(wplyw_cen_import_wlaczony,'Tablica IO'!N300*INDEX(Model!$C$2:$CA$2,Model!$A66),'Tablica IO'!N300*1)</f>
        <v>3.436470257808414E-3</v>
      </c>
      <c r="O66" s="222" cm="1">
        <f t="array" aca="1" ref="O66" ca="1">'Tablica IO'!O222*INDEX(Model!$C$93:$CA$93,Model!$A66) + IF(wplyw_cen_import_wlaczony,'Tablica IO'!O300*INDEX(Model!$C$2:$CA$2,Model!$A66),'Tablica IO'!O300*1)</f>
        <v>7.5918157588190935E-3</v>
      </c>
      <c r="P66" s="222" cm="1">
        <f t="array" aca="1" ref="P66" ca="1">'Tablica IO'!P222*INDEX(Model!$C$93:$CA$93,Model!$A66) + IF(wplyw_cen_import_wlaczony,'Tablica IO'!P300*INDEX(Model!$C$2:$CA$2,Model!$A66),'Tablica IO'!P300*1)</f>
        <v>2.7581338739600121E-2</v>
      </c>
      <c r="Q66" s="222" cm="1">
        <f t="array" aca="1" ref="Q66" ca="1">'Tablica IO'!Q222*INDEX(Model!$C$93:$CA$93,Model!$A66) + IF(wplyw_cen_import_wlaczony,'Tablica IO'!Q300*INDEX(Model!$C$2:$CA$2,Model!$A66),'Tablica IO'!Q300*1)</f>
        <v>1.9697628138348193E-3</v>
      </c>
      <c r="R66" s="222" cm="1">
        <f t="array" aca="1" ref="R66" ca="1">'Tablica IO'!R222*INDEX(Model!$C$93:$CA$93,Model!$A66) + IF(wplyw_cen_import_wlaczony,'Tablica IO'!R300*INDEX(Model!$C$2:$CA$2,Model!$A66),'Tablica IO'!R300*1)</f>
        <v>8.6556265018698317E-3</v>
      </c>
      <c r="S66" s="222" cm="1">
        <f t="array" aca="1" ref="S66" ca="1">'Tablica IO'!S222*INDEX(Model!$C$93:$CA$93,Model!$A66) + IF(wplyw_cen_import_wlaczony,'Tablica IO'!S300*INDEX(Model!$C$2:$CA$2,Model!$A66),'Tablica IO'!S300*1)</f>
        <v>2.6337296592704378E-2</v>
      </c>
      <c r="T66" s="222" cm="1">
        <f t="array" aca="1" ref="T66" ca="1">'Tablica IO'!T222*INDEX(Model!$C$93:$CA$93,Model!$A66) + IF(wplyw_cen_import_wlaczony,'Tablica IO'!T300*INDEX(Model!$C$2:$CA$2,Model!$A66),'Tablica IO'!T300*1)</f>
        <v>1.26482460870368E-2</v>
      </c>
      <c r="U66" s="222" cm="1">
        <f t="array" aca="1" ref="U66" ca="1">'Tablica IO'!U222*INDEX(Model!$C$93:$CA$93,Model!$A66) + IF(wplyw_cen_import_wlaczony,'Tablica IO'!U300*INDEX(Model!$C$2:$CA$2,Model!$A66),'Tablica IO'!U300*1)</f>
        <v>1.2068709865636384E-2</v>
      </c>
      <c r="V66" s="222" cm="1">
        <f t="array" aca="1" ref="V66" ca="1">'Tablica IO'!V222*INDEX(Model!$C$93:$CA$93,Model!$A66) + IF(wplyw_cen_import_wlaczony,'Tablica IO'!V300*INDEX(Model!$C$2:$CA$2,Model!$A66),'Tablica IO'!V300*1)</f>
        <v>8.7587215119369951E-3</v>
      </c>
      <c r="W66" s="222" cm="1">
        <f t="array" aca="1" ref="W66" ca="1">'Tablica IO'!W222*INDEX(Model!$C$93:$CA$93,Model!$A66) + IF(wplyw_cen_import_wlaczony,'Tablica IO'!W300*INDEX(Model!$C$2:$CA$2,Model!$A66),'Tablica IO'!W300*1)</f>
        <v>1.0756117794861844E-2</v>
      </c>
      <c r="X66" s="222" cm="1">
        <f t="array" aca="1" ref="X66" ca="1">'Tablica IO'!X222*INDEX(Model!$C$93:$CA$93,Model!$A66) + IF(wplyw_cen_import_wlaczony,'Tablica IO'!X300*INDEX(Model!$C$2:$CA$2,Model!$A66),'Tablica IO'!X300*1)</f>
        <v>8.6800684546560376E-3</v>
      </c>
      <c r="Y66" s="222" cm="1">
        <f t="array" aca="1" ref="Y66" ca="1">'Tablica IO'!Y222*INDEX(Model!$C$93:$CA$93,Model!$A66) + IF(wplyw_cen_import_wlaczony,'Tablica IO'!Y300*INDEX(Model!$C$2:$CA$2,Model!$A66),'Tablica IO'!Y300*1)</f>
        <v>1.0754639677568151E-2</v>
      </c>
      <c r="Z66" s="222" cm="1">
        <f t="array" aca="1" ref="Z66" ca="1">'Tablica IO'!Z222*INDEX(Model!$C$93:$CA$93,Model!$A66) + IF(wplyw_cen_import_wlaczony,'Tablica IO'!Z300*INDEX(Model!$C$2:$CA$2,Model!$A66),'Tablica IO'!Z300*1)</f>
        <v>1.1461617942324857E-2</v>
      </c>
      <c r="AA66" s="222" cm="1">
        <f t="array" aca="1" ref="AA66" ca="1">'Tablica IO'!AA222*INDEX(Model!$C$93:$CA$93,Model!$A66) + IF(wplyw_cen_import_wlaczony,'Tablica IO'!AA300*INDEX(Model!$C$2:$CA$2,Model!$A66),'Tablica IO'!AA300*1)</f>
        <v>1.2642471354239489E-2</v>
      </c>
      <c r="AB66" s="222" cm="1">
        <f t="array" aca="1" ref="AB66" ca="1">'Tablica IO'!AB222*INDEX(Model!$C$93:$CA$93,Model!$A66) + IF(wplyw_cen_import_wlaczony,'Tablica IO'!AB300*INDEX(Model!$C$2:$CA$2,Model!$A66),'Tablica IO'!AB300*1)</f>
        <v>1.7914333045329706E-2</v>
      </c>
      <c r="AC66" s="222" cm="1">
        <f t="array" aca="1" ref="AC66" ca="1">'Tablica IO'!AC222*INDEX(Model!$C$93:$CA$93,Model!$A66) + IF(wplyw_cen_import_wlaczony,'Tablica IO'!AC300*INDEX(Model!$C$2:$CA$2,Model!$A66),'Tablica IO'!AC300*1)</f>
        <v>5.0449445984373543E-3</v>
      </c>
      <c r="AD66" s="222" cm="1">
        <f t="array" aca="1" ref="AD66" ca="1">'Tablica IO'!AD222*INDEX(Model!$C$93:$CA$93,Model!$A66) + IF(wplyw_cen_import_wlaczony,'Tablica IO'!AD300*INDEX(Model!$C$2:$CA$2,Model!$A66),'Tablica IO'!AD300*1)</f>
        <v>4.0824844903410732E-3</v>
      </c>
      <c r="AE66" s="222" cm="1">
        <f t="array" aca="1" ref="AE66" ca="1">'Tablica IO'!AE222*INDEX(Model!$C$93:$CA$93,Model!$A66) + IF(wplyw_cen_import_wlaczony,'Tablica IO'!AE300*INDEX(Model!$C$2:$CA$2,Model!$A66),'Tablica IO'!AE300*1)</f>
        <v>4.1217446092921897E-3</v>
      </c>
      <c r="AF66" s="222" cm="1">
        <f t="array" aca="1" ref="AF66" ca="1">'Tablica IO'!AF222*INDEX(Model!$C$93:$CA$93,Model!$A66) + IF(wplyw_cen_import_wlaczony,'Tablica IO'!AF300*INDEX(Model!$C$2:$CA$2,Model!$A66),'Tablica IO'!AF300*1)</f>
        <v>6.9982343752075325E-3</v>
      </c>
      <c r="AG66" s="222" cm="1">
        <f t="array" aca="1" ref="AG66" ca="1">'Tablica IO'!AG222*INDEX(Model!$C$93:$CA$93,Model!$A66) + IF(wplyw_cen_import_wlaczony,'Tablica IO'!AG300*INDEX(Model!$C$2:$CA$2,Model!$A66),'Tablica IO'!AG300*1)</f>
        <v>2.4713214658528548E-3</v>
      </c>
      <c r="AH66" s="222" cm="1">
        <f t="array" aca="1" ref="AH66" ca="1">'Tablica IO'!AH222*INDEX(Model!$C$93:$CA$93,Model!$A66) + IF(wplyw_cen_import_wlaczony,'Tablica IO'!AH300*INDEX(Model!$C$2:$CA$2,Model!$A66),'Tablica IO'!AH300*1)</f>
        <v>6.2565822389558517E-3</v>
      </c>
      <c r="AI66" s="222" cm="1">
        <f t="array" aca="1" ref="AI66" ca="1">'Tablica IO'!AI222*INDEX(Model!$C$93:$CA$93,Model!$A66) + IF(wplyw_cen_import_wlaczony,'Tablica IO'!AI300*INDEX(Model!$C$2:$CA$2,Model!$A66),'Tablica IO'!AI300*1)</f>
        <v>1.8538830382678867E-3</v>
      </c>
      <c r="AJ66" s="222" cm="1">
        <f t="array" aca="1" ref="AJ66" ca="1">'Tablica IO'!AJ222*INDEX(Model!$C$93:$CA$93,Model!$A66) + IF(wplyw_cen_import_wlaczony,'Tablica IO'!AJ300*INDEX(Model!$C$2:$CA$2,Model!$A66),'Tablica IO'!AJ300*1)</f>
        <v>3.9378390250186133E-3</v>
      </c>
      <c r="AK66" s="222" cm="1">
        <f t="array" aca="1" ref="AK66" ca="1">'Tablica IO'!AK222*INDEX(Model!$C$93:$CA$93,Model!$A66) + IF(wplyw_cen_import_wlaczony,'Tablica IO'!AK300*INDEX(Model!$C$2:$CA$2,Model!$A66),'Tablica IO'!AK300*1)</f>
        <v>7.2145198004048994E-3</v>
      </c>
      <c r="AL66" s="222" cm="1">
        <f t="array" aca="1" ref="AL66" ca="1">'Tablica IO'!AL222*INDEX(Model!$C$93:$CA$93,Model!$A66) + IF(wplyw_cen_import_wlaczony,'Tablica IO'!AL300*INDEX(Model!$C$2:$CA$2,Model!$A66),'Tablica IO'!AL300*1)</f>
        <v>1.9350563193563756E-2</v>
      </c>
      <c r="AM66" s="222" cm="1">
        <f t="array" aca="1" ref="AM66" ca="1">'Tablica IO'!AM222*INDEX(Model!$C$93:$CA$93,Model!$A66) + IF(wplyw_cen_import_wlaczony,'Tablica IO'!AM300*INDEX(Model!$C$2:$CA$2,Model!$A66),'Tablica IO'!AM300*1)</f>
        <v>1.9883389837546398E-2</v>
      </c>
      <c r="AN66" s="222" cm="1">
        <f t="array" aca="1" ref="AN66" ca="1">'Tablica IO'!AN222*INDEX(Model!$C$93:$CA$93,Model!$A66) + IF(wplyw_cen_import_wlaczony,'Tablica IO'!AN300*INDEX(Model!$C$2:$CA$2,Model!$A66),'Tablica IO'!AN300*1)</f>
        <v>2.8898816302799957E-3</v>
      </c>
      <c r="AO66" s="222" cm="1">
        <f t="array" aca="1" ref="AO66" ca="1">'Tablica IO'!AO222*INDEX(Model!$C$93:$CA$93,Model!$A66) + IF(wplyw_cen_import_wlaczony,'Tablica IO'!AO300*INDEX(Model!$C$2:$CA$2,Model!$A66),'Tablica IO'!AO300*1)</f>
        <v>2.2917934619902415E-3</v>
      </c>
      <c r="AP66" s="222" cm="1">
        <f t="array" aca="1" ref="AP66" ca="1">'Tablica IO'!AP222*INDEX(Model!$C$93:$CA$93,Model!$A66) + IF(wplyw_cen_import_wlaczony,'Tablica IO'!AP300*INDEX(Model!$C$2:$CA$2,Model!$A66),'Tablica IO'!AP300*1)</f>
        <v>5.859791048310096E-3</v>
      </c>
      <c r="AQ66" s="222" cm="1">
        <f t="array" aca="1" ref="AQ66" ca="1">'Tablica IO'!AQ222*INDEX(Model!$C$93:$CA$93,Model!$A66) + IF(wplyw_cen_import_wlaczony,'Tablica IO'!AQ300*INDEX(Model!$C$2:$CA$2,Model!$A66),'Tablica IO'!AQ300*1)</f>
        <v>2.1488173998164075E-2</v>
      </c>
      <c r="AR66" s="222" cm="1">
        <f t="array" aca="1" ref="AR66" ca="1">'Tablica IO'!AR222*INDEX(Model!$C$93:$CA$93,Model!$A66) + IF(wplyw_cen_import_wlaczony,'Tablica IO'!AR300*INDEX(Model!$C$2:$CA$2,Model!$A66),'Tablica IO'!AR300*1)</f>
        <v>6.5204915081314343E-3</v>
      </c>
      <c r="AS66" s="222" cm="1">
        <f t="array" aca="1" ref="AS66" ca="1">'Tablica IO'!AS222*INDEX(Model!$C$93:$CA$93,Model!$A66) + IF(wplyw_cen_import_wlaczony,'Tablica IO'!AS300*INDEX(Model!$C$2:$CA$2,Model!$A66),'Tablica IO'!AS300*1)</f>
        <v>2.0015349782884065E-2</v>
      </c>
      <c r="AT66" s="222" cm="1">
        <f t="array" aca="1" ref="AT66" ca="1">'Tablica IO'!AT222*INDEX(Model!$C$93:$CA$93,Model!$A66) + IF(wplyw_cen_import_wlaczony,'Tablica IO'!AT300*INDEX(Model!$C$2:$CA$2,Model!$A66),'Tablica IO'!AT300*1)</f>
        <v>4.6166101208025322E-3</v>
      </c>
      <c r="AU66" s="222" cm="1">
        <f t="array" aca="1" ref="AU66" ca="1">'Tablica IO'!AU222*INDEX(Model!$C$93:$CA$93,Model!$A66) + IF(wplyw_cen_import_wlaczony,'Tablica IO'!AU300*INDEX(Model!$C$2:$CA$2,Model!$A66),'Tablica IO'!AU300*1)</f>
        <v>4.9606848254705044E-3</v>
      </c>
      <c r="AV66" s="222" cm="1">
        <f t="array" aca="1" ref="AV66" ca="1">'Tablica IO'!AV222*INDEX(Model!$C$93:$CA$93,Model!$A66) + IF(wplyw_cen_import_wlaczony,'Tablica IO'!AV300*INDEX(Model!$C$2:$CA$2,Model!$A66),'Tablica IO'!AV300*1)</f>
        <v>1.8926831433002594E-2</v>
      </c>
      <c r="AW66" s="222" cm="1">
        <f t="array" aca="1" ref="AW66" ca="1">'Tablica IO'!AW222*INDEX(Model!$C$93:$CA$93,Model!$A66) + IF(wplyw_cen_import_wlaczony,'Tablica IO'!AW300*INDEX(Model!$C$2:$CA$2,Model!$A66),'Tablica IO'!AW300*1)</f>
        <v>1.8346935415830844E-2</v>
      </c>
      <c r="AX66" s="222" cm="1">
        <f t="array" aca="1" ref="AX66" ca="1">'Tablica IO'!AX222*INDEX(Model!$C$93:$CA$93,Model!$A66) + IF(wplyw_cen_import_wlaczony,'Tablica IO'!AX300*INDEX(Model!$C$2:$CA$2,Model!$A66),'Tablica IO'!AX300*1)</f>
        <v>6.120275902155288E-2</v>
      </c>
      <c r="AY66" s="222" cm="1">
        <f t="array" aca="1" ref="AY66" ca="1">'Tablica IO'!AY222*INDEX(Model!$C$93:$CA$93,Model!$A66) + IF(wplyw_cen_import_wlaczony,'Tablica IO'!AY300*INDEX(Model!$C$2:$CA$2,Model!$A66),'Tablica IO'!AY300*1)</f>
        <v>8.4061718936221629E-3</v>
      </c>
      <c r="AZ66" s="222" cm="1">
        <f t="array" aca="1" ref="AZ66" ca="1">'Tablica IO'!AZ222*INDEX(Model!$C$93:$CA$93,Model!$A66) + IF(wplyw_cen_import_wlaczony,'Tablica IO'!AZ300*INDEX(Model!$C$2:$CA$2,Model!$A66),'Tablica IO'!AZ300*1)</f>
        <v>9.6186781816968506E-3</v>
      </c>
      <c r="BA66" s="222" cm="1">
        <f t="array" aca="1" ref="BA66" ca="1">'Tablica IO'!BA222*INDEX(Model!$C$93:$CA$93,Model!$A66) + IF(wplyw_cen_import_wlaczony,'Tablica IO'!BA300*INDEX(Model!$C$2:$CA$2,Model!$A66),'Tablica IO'!BA300*1)</f>
        <v>2.7884892321637132E-2</v>
      </c>
      <c r="BB66" s="222" cm="1">
        <f t="array" aca="1" ref="BB66" ca="1">'Tablica IO'!BB222*INDEX(Model!$C$93:$CA$93,Model!$A66) + IF(wplyw_cen_import_wlaczony,'Tablica IO'!BB300*INDEX(Model!$C$2:$CA$2,Model!$A66),'Tablica IO'!BB300*1)</f>
        <v>7.988967943036062E-3</v>
      </c>
      <c r="BC66" s="222" cm="1">
        <f t="array" aca="1" ref="BC66" ca="1">'Tablica IO'!BC222*INDEX(Model!$C$93:$CA$93,Model!$A66) + IF(wplyw_cen_import_wlaczony,'Tablica IO'!BC300*INDEX(Model!$C$2:$CA$2,Model!$A66),'Tablica IO'!BC300*1)</f>
        <v>1.8378144382755129E-2</v>
      </c>
      <c r="BD66" s="222" cm="1">
        <f t="array" aca="1" ref="BD66" ca="1">'Tablica IO'!BD222*INDEX(Model!$C$93:$CA$93,Model!$A66) + IF(wplyw_cen_import_wlaczony,'Tablica IO'!BD300*INDEX(Model!$C$2:$CA$2,Model!$A66),'Tablica IO'!BD300*1)</f>
        <v>6.5078102326662737E-2</v>
      </c>
      <c r="BE66" s="222" cm="1">
        <f t="array" aca="1" ref="BE66" ca="1">'Tablica IO'!BE222*INDEX(Model!$C$93:$CA$93,Model!$A66) + IF(wplyw_cen_import_wlaczony,'Tablica IO'!BE300*INDEX(Model!$C$2:$CA$2,Model!$A66),'Tablica IO'!BE300*1)</f>
        <v>5.0456286416020813E-3</v>
      </c>
      <c r="BF66" s="222" cm="1">
        <f t="array" aca="1" ref="BF66" ca="1">'Tablica IO'!BF222*INDEX(Model!$C$93:$CA$93,Model!$A66) + IF(wplyw_cen_import_wlaczony,'Tablica IO'!BF300*INDEX(Model!$C$2:$CA$2,Model!$A66),'Tablica IO'!BF300*1)</f>
        <v>6.5473134852413999E-3</v>
      </c>
      <c r="BG66" s="222" cm="1">
        <f t="array" aca="1" ref="BG66" ca="1">'Tablica IO'!BG222*INDEX(Model!$C$93:$CA$93,Model!$A66) + IF(wplyw_cen_import_wlaczony,'Tablica IO'!BG300*INDEX(Model!$C$2:$CA$2,Model!$A66),'Tablica IO'!BG300*1)</f>
        <v>6.5939888197573716E-3</v>
      </c>
      <c r="BH66" s="222" cm="1">
        <f t="array" aca="1" ref="BH66" ca="1">'Tablica IO'!BH222*INDEX(Model!$C$93:$CA$93,Model!$A66) + IF(wplyw_cen_import_wlaczony,'Tablica IO'!BH300*INDEX(Model!$C$2:$CA$2,Model!$A66),'Tablica IO'!BH300*1)</f>
        <v>2.463838522495591E-2</v>
      </c>
      <c r="BI66" s="222" cm="1">
        <f t="array" aca="1" ref="BI66" ca="1">'Tablica IO'!BI222*INDEX(Model!$C$93:$CA$93,Model!$A66) + IF(wplyw_cen_import_wlaczony,'Tablica IO'!BI300*INDEX(Model!$C$2:$CA$2,Model!$A66),'Tablica IO'!BI300*1)</f>
        <v>0</v>
      </c>
      <c r="BJ66" s="222" cm="1">
        <f t="array" aca="1" ref="BJ66" ca="1">'Tablica IO'!BJ222*INDEX(Model!$C$93:$CA$93,Model!$A66) + IF(wplyw_cen_import_wlaczony,'Tablica IO'!BJ300*INDEX(Model!$C$2:$CA$2,Model!$A66),'Tablica IO'!BJ300*1)</f>
        <v>1.2751200214434407E-2</v>
      </c>
      <c r="BK66" s="222" cm="1">
        <f t="array" aca="1" ref="BK66" ca="1">'Tablica IO'!BK222*INDEX(Model!$C$93:$CA$93,Model!$A66) + IF(wplyw_cen_import_wlaczony,'Tablica IO'!BK300*INDEX(Model!$C$2:$CA$2,Model!$A66),'Tablica IO'!BK300*1)</f>
        <v>1.6680296117468886E-2</v>
      </c>
      <c r="BL66" s="222" cm="1">
        <f t="array" aca="1" ref="BL66" ca="1">'Tablica IO'!BL222*INDEX(Model!$C$93:$CA$93,Model!$A66) + IF(wplyw_cen_import_wlaczony,'Tablica IO'!BL300*INDEX(Model!$C$2:$CA$2,Model!$A66),'Tablica IO'!BL300*1)</f>
        <v>2.9893240608897908E-3</v>
      </c>
      <c r="BM66" s="222" cm="1">
        <f t="array" aca="1" ref="BM66" ca="1">'Tablica IO'!BM222*INDEX(Model!$C$93:$CA$93,Model!$A66) + IF(wplyw_cen_import_wlaczony,'Tablica IO'!BM300*INDEX(Model!$C$2:$CA$2,Model!$A66),'Tablica IO'!BM300*1)</f>
        <v>3.7148652051880995E-3</v>
      </c>
      <c r="BN66" s="222" cm="1">
        <f t="array" aca="1" ref="BN66" ca="1">'Tablica IO'!BN222*INDEX(Model!$C$93:$CA$93,Model!$A66) + IF(wplyw_cen_import_wlaczony,'Tablica IO'!BN300*INDEX(Model!$C$2:$CA$2,Model!$A66),'Tablica IO'!BN300*1)</f>
        <v>5.0988087752629361E-3</v>
      </c>
      <c r="BO66" s="222" cm="1">
        <f t="array" aca="1" ref="BO66" ca="1">'Tablica IO'!BO222*INDEX(Model!$C$93:$CA$93,Model!$A66) + IF(wplyw_cen_import_wlaczony,'Tablica IO'!BO300*INDEX(Model!$C$2:$CA$2,Model!$A66),'Tablica IO'!BO300*1)</f>
        <v>9.810499342965226E-3</v>
      </c>
      <c r="BP66" s="222" cm="1">
        <f t="array" aca="1" ref="BP66" ca="1">'Tablica IO'!BP222*INDEX(Model!$C$93:$CA$93,Model!$A66) + IF(wplyw_cen_import_wlaczony,'Tablica IO'!BP300*INDEX(Model!$C$2:$CA$2,Model!$A66),'Tablica IO'!BP300*1)</f>
        <v>1.2398033389635023E-3</v>
      </c>
      <c r="BQ66" s="222" cm="1">
        <f t="array" aca="1" ref="BQ66" ca="1">'Tablica IO'!BQ222*INDEX(Model!$C$93:$CA$93,Model!$A66) + IF(wplyw_cen_import_wlaczony,'Tablica IO'!BQ300*INDEX(Model!$C$2:$CA$2,Model!$A66),'Tablica IO'!BQ300*1)</f>
        <v>2.1052759621045265E-3</v>
      </c>
      <c r="BR66" s="222" cm="1">
        <f t="array" aca="1" ref="BR66" ca="1">'Tablica IO'!BR222*INDEX(Model!$C$93:$CA$93,Model!$A66) + IF(wplyw_cen_import_wlaczony,'Tablica IO'!BR300*INDEX(Model!$C$2:$CA$2,Model!$A66),'Tablica IO'!BR300*1)</f>
        <v>2.666979347037894E-3</v>
      </c>
      <c r="BS66" s="222" cm="1">
        <f t="array" aca="1" ref="BS66" ca="1">'Tablica IO'!BS222*INDEX(Model!$C$93:$CA$93,Model!$A66) + IF(wplyw_cen_import_wlaczony,'Tablica IO'!BS300*INDEX(Model!$C$2:$CA$2,Model!$A66),'Tablica IO'!BS300*1)</f>
        <v>1.3022714174119464E-3</v>
      </c>
      <c r="BT66" s="222" cm="1">
        <f t="array" aca="1" ref="BT66" ca="1">'Tablica IO'!BT222*INDEX(Model!$C$93:$CA$93,Model!$A66) + IF(wplyw_cen_import_wlaczony,'Tablica IO'!BT300*INDEX(Model!$C$2:$CA$2,Model!$A66),'Tablica IO'!BT300*1)</f>
        <v>1.0295538038863892E-4</v>
      </c>
      <c r="BU66" s="222" cm="1">
        <f t="array" aca="1" ref="BU66" ca="1">'Tablica IO'!BU222*INDEX(Model!$C$93:$CA$93,Model!$A66) + IF(wplyw_cen_import_wlaczony,'Tablica IO'!BU300*INDEX(Model!$C$2:$CA$2,Model!$A66),'Tablica IO'!BU300*1)</f>
        <v>2.3819679569798697E-4</v>
      </c>
      <c r="BV66" s="222" cm="1">
        <f t="array" aca="1" ref="BV66" ca="1">'Tablica IO'!BV222*INDEX(Model!$C$93:$CA$93,Model!$A66) + IF(wplyw_cen_import_wlaczony,'Tablica IO'!BV300*INDEX(Model!$C$2:$CA$2,Model!$A66),'Tablica IO'!BV300*1)</f>
        <v>1.5805703251406743E-2</v>
      </c>
      <c r="BW66" s="222" cm="1">
        <f t="array" aca="1" ref="BW66" ca="1">'Tablica IO'!BW222*INDEX(Model!$C$93:$CA$93,Model!$A66) + IF(wplyw_cen_import_wlaczony,'Tablica IO'!BW300*INDEX(Model!$C$2:$CA$2,Model!$A66),'Tablica IO'!BW300*1)</f>
        <v>9.1543816449658807E-3</v>
      </c>
      <c r="BX66" s="222" cm="1">
        <f t="array" aca="1" ref="BX66" ca="1">'Tablica IO'!BX222*INDEX(Model!$C$93:$CA$93,Model!$A66) + IF(wplyw_cen_import_wlaczony,'Tablica IO'!BX300*INDEX(Model!$C$2:$CA$2,Model!$A66),'Tablica IO'!BX300*1)</f>
        <v>2.0051578119933814E-3</v>
      </c>
      <c r="BY66" s="222" cm="1">
        <f t="array" aca="1" ref="BY66" ca="1">'Tablica IO'!BY222*INDEX(Model!$C$93:$CA$93,Model!$A66) + IF(wplyw_cen_import_wlaczony,'Tablica IO'!BY300*INDEX(Model!$C$2:$CA$2,Model!$A66),'Tablica IO'!BY300*1)</f>
        <v>5.0549587409722914E-3</v>
      </c>
      <c r="BZ66" s="222" cm="1">
        <f t="array" aca="1" ref="BZ66" ca="1">'Tablica IO'!BZ222*INDEX(Model!$C$93:$CA$93,Model!$A66) + IF(wplyw_cen_import_wlaczony,'Tablica IO'!BZ300*INDEX(Model!$C$2:$CA$2,Model!$A66),'Tablica IO'!BZ300*1)</f>
        <v>2.0697626803904356E-3</v>
      </c>
      <c r="CA66" s="222" cm="1">
        <f t="array" aca="1" ref="CA66" ca="1">'Tablica IO'!CA222*INDEX(Model!$C$93:$CA$93,Model!$A66) + IF(wplyw_cen_import_wlaczony,'Tablica IO'!CA300*INDEX(Model!$C$2:$CA$2,Model!$A66),'Tablica IO'!CA300*1)</f>
        <v>0</v>
      </c>
      <c r="CB66" s="247">
        <f ca="1">'Tablica IO'!CD222*INDEX(Model!$C$93:$CA$93,Model!$A66)+'Tablica IO'!CD300*INDEX(Model!$C$2:$CA$2,Model!$A66)</f>
        <v>0</v>
      </c>
      <c r="CC66" s="188">
        <f ca="1">'Tablica IO'!CE222*INDEX(Model!$C$93:$CA$93,Model!$A66)+'Tablica IO'!CE300*INDEX(Model!$C$2:$CA$2,Model!$A66)</f>
        <v>3.2934528361043152E-3</v>
      </c>
      <c r="CD66" s="188">
        <f ca="1">'Tablica IO'!CF222*INDEX(Model!$C$93:$CA$93,Model!$A66)+'Tablica IO'!CF300*INDEX(Model!$C$2:$CA$2,Model!$A66)</f>
        <v>-5.778508832969511E-5</v>
      </c>
      <c r="CE66" s="189">
        <f ca="1">'Tablica IO'!CG222*INDEX(Model!$C$93:$CA$93,Model!$A66)+'Tablica IO'!CG300*INDEX(Model!$C$2:$CA$2,Model!$A66)</f>
        <v>2.1546714765909819E-3</v>
      </c>
    </row>
    <row r="67" spans="1:83" x14ac:dyDescent="0.25">
      <c r="A67" s="164">
        <v>55</v>
      </c>
      <c r="B67" s="172" t="s">
        <v>54</v>
      </c>
      <c r="C67" s="221" cm="1">
        <f t="array" aca="1" ref="C67" ca="1">'Tablica IO'!C223*INDEX(Model!$C$93:$CA$93,Model!$A67) + IF(wplyw_cen_import_wlaczony,'Tablica IO'!C301*INDEX(Model!$C$2:$CA$2,Model!$A67),'Tablica IO'!C301*1)</f>
        <v>7.2078614739104192E-4</v>
      </c>
      <c r="D67" s="222" cm="1">
        <f t="array" aca="1" ref="D67" ca="1">'Tablica IO'!D223*INDEX(Model!$C$93:$CA$93,Model!$A67) + IF(wplyw_cen_import_wlaczony,'Tablica IO'!D301*INDEX(Model!$C$2:$CA$2,Model!$A67),'Tablica IO'!D301*1)</f>
        <v>2.458588872644761E-3</v>
      </c>
      <c r="E67" s="222" cm="1">
        <f t="array" aca="1" ref="E67" ca="1">'Tablica IO'!E223*INDEX(Model!$C$93:$CA$93,Model!$A67) + IF(wplyw_cen_import_wlaczony,'Tablica IO'!E301*INDEX(Model!$C$2:$CA$2,Model!$A67),'Tablica IO'!E301*1)</f>
        <v>1.0983755848881908E-3</v>
      </c>
      <c r="F67" s="222" cm="1">
        <f t="array" aca="1" ref="F67" ca="1">'Tablica IO'!F223*INDEX(Model!$C$93:$CA$93,Model!$A67) + IF(wplyw_cen_import_wlaczony,'Tablica IO'!F301*INDEX(Model!$C$2:$CA$2,Model!$A67),'Tablica IO'!F301*1)</f>
        <v>7.0956148011684719E-3</v>
      </c>
      <c r="G67" s="222" cm="1">
        <f t="array" aca="1" ref="G67" ca="1">'Tablica IO'!G223*INDEX(Model!$C$93:$CA$93,Model!$A67) + IF(wplyw_cen_import_wlaczony,'Tablica IO'!G301*INDEX(Model!$C$2:$CA$2,Model!$A67),'Tablica IO'!G301*1)</f>
        <v>5.6141592064648154E-3</v>
      </c>
      <c r="H67" s="222" cm="1">
        <f t="array" aca="1" ref="H67" ca="1">'Tablica IO'!H223*INDEX(Model!$C$93:$CA$93,Model!$A67) + IF(wplyw_cen_import_wlaczony,'Tablica IO'!H301*INDEX(Model!$C$2:$CA$2,Model!$A67),'Tablica IO'!H301*1)</f>
        <v>1.6270666227161138E-3</v>
      </c>
      <c r="I67" s="222" cm="1">
        <f t="array" aca="1" ref="I67" ca="1">'Tablica IO'!I223*INDEX(Model!$C$93:$CA$93,Model!$A67) + IF(wplyw_cen_import_wlaczony,'Tablica IO'!I301*INDEX(Model!$C$2:$CA$2,Model!$A67),'Tablica IO'!I301*1)</f>
        <v>2.1788846124679424E-4</v>
      </c>
      <c r="J67" s="222" cm="1">
        <f t="array" aca="1" ref="J67" ca="1">'Tablica IO'!J223*INDEX(Model!$C$93:$CA$93,Model!$A67) + IF(wplyw_cen_import_wlaczony,'Tablica IO'!J301*INDEX(Model!$C$2:$CA$2,Model!$A67),'Tablica IO'!J301*1)</f>
        <v>1.5444939223993725E-3</v>
      </c>
      <c r="K67" s="222" cm="1">
        <f t="array" aca="1" ref="K67" ca="1">'Tablica IO'!K223*INDEX(Model!$C$93:$CA$93,Model!$A67) + IF(wplyw_cen_import_wlaczony,'Tablica IO'!K301*INDEX(Model!$C$2:$CA$2,Model!$A67),'Tablica IO'!K301*1)</f>
        <v>3.8786914672257825E-3</v>
      </c>
      <c r="L67" s="222" cm="1">
        <f t="array" aca="1" ref="L67" ca="1">'Tablica IO'!L223*INDEX(Model!$C$93:$CA$93,Model!$A67) + IF(wplyw_cen_import_wlaczony,'Tablica IO'!L301*INDEX(Model!$C$2:$CA$2,Model!$A67),'Tablica IO'!L301*1)</f>
        <v>4.3656198311020069E-3</v>
      </c>
      <c r="M67" s="222" cm="1">
        <f t="array" aca="1" ref="M67" ca="1">'Tablica IO'!M223*INDEX(Model!$C$93:$CA$93,Model!$A67) + IF(wplyw_cen_import_wlaczony,'Tablica IO'!M301*INDEX(Model!$C$2:$CA$2,Model!$A67),'Tablica IO'!M301*1)</f>
        <v>5.4467164323618398E-3</v>
      </c>
      <c r="N67" s="222" cm="1">
        <f t="array" aca="1" ref="N67" ca="1">'Tablica IO'!N223*INDEX(Model!$C$93:$CA$93,Model!$A67) + IF(wplyw_cen_import_wlaczony,'Tablica IO'!N301*INDEX(Model!$C$2:$CA$2,Model!$A67),'Tablica IO'!N301*1)</f>
        <v>2.4031107691118662E-3</v>
      </c>
      <c r="O67" s="222" cm="1">
        <f t="array" aca="1" ref="O67" ca="1">'Tablica IO'!O223*INDEX(Model!$C$93:$CA$93,Model!$A67) + IF(wplyw_cen_import_wlaczony,'Tablica IO'!O301*INDEX(Model!$C$2:$CA$2,Model!$A67),'Tablica IO'!O301*1)</f>
        <v>5.2562313785557979E-3</v>
      </c>
      <c r="P67" s="222" cm="1">
        <f t="array" aca="1" ref="P67" ca="1">'Tablica IO'!P223*INDEX(Model!$C$93:$CA$93,Model!$A67) + IF(wplyw_cen_import_wlaczony,'Tablica IO'!P301*INDEX(Model!$C$2:$CA$2,Model!$A67),'Tablica IO'!P301*1)</f>
        <v>1.5732938280089308E-2</v>
      </c>
      <c r="Q67" s="222" cm="1">
        <f t="array" aca="1" ref="Q67" ca="1">'Tablica IO'!Q223*INDEX(Model!$C$93:$CA$93,Model!$A67) + IF(wplyw_cen_import_wlaczony,'Tablica IO'!Q301*INDEX(Model!$C$2:$CA$2,Model!$A67),'Tablica IO'!Q301*1)</f>
        <v>3.1528749229657867E-3</v>
      </c>
      <c r="R67" s="222" cm="1">
        <f t="array" aca="1" ref="R67" ca="1">'Tablica IO'!R223*INDEX(Model!$C$93:$CA$93,Model!$A67) + IF(wplyw_cen_import_wlaczony,'Tablica IO'!R301*INDEX(Model!$C$2:$CA$2,Model!$A67),'Tablica IO'!R301*1)</f>
        <v>6.8388269151778702E-3</v>
      </c>
      <c r="S67" s="222" cm="1">
        <f t="array" aca="1" ref="S67" ca="1">'Tablica IO'!S223*INDEX(Model!$C$93:$CA$93,Model!$A67) + IF(wplyw_cen_import_wlaczony,'Tablica IO'!S301*INDEX(Model!$C$2:$CA$2,Model!$A67),'Tablica IO'!S301*1)</f>
        <v>9.7764032801770295E-4</v>
      </c>
      <c r="T67" s="222" cm="1">
        <f t="array" aca="1" ref="T67" ca="1">'Tablica IO'!T223*INDEX(Model!$C$93:$CA$93,Model!$A67) + IF(wplyw_cen_import_wlaczony,'Tablica IO'!T301*INDEX(Model!$C$2:$CA$2,Model!$A67),'Tablica IO'!T301*1)</f>
        <v>5.4005565141239664E-3</v>
      </c>
      <c r="U67" s="222" cm="1">
        <f t="array" aca="1" ref="U67" ca="1">'Tablica IO'!U223*INDEX(Model!$C$93:$CA$93,Model!$A67) + IF(wplyw_cen_import_wlaczony,'Tablica IO'!U301*INDEX(Model!$C$2:$CA$2,Model!$A67),'Tablica IO'!U301*1)</f>
        <v>7.5561267235457145E-3</v>
      </c>
      <c r="V67" s="222" cm="1">
        <f t="array" aca="1" ref="V67" ca="1">'Tablica IO'!V223*INDEX(Model!$C$93:$CA$93,Model!$A67) + IF(wplyw_cen_import_wlaczony,'Tablica IO'!V301*INDEX(Model!$C$2:$CA$2,Model!$A67),'Tablica IO'!V301*1)</f>
        <v>4.5769865676079883E-3</v>
      </c>
      <c r="W67" s="222" cm="1">
        <f t="array" aca="1" ref="W67" ca="1">'Tablica IO'!W223*INDEX(Model!$C$93:$CA$93,Model!$A67) + IF(wplyw_cen_import_wlaczony,'Tablica IO'!W301*INDEX(Model!$C$2:$CA$2,Model!$A67),'Tablica IO'!W301*1)</f>
        <v>5.262493127261781E-3</v>
      </c>
      <c r="X67" s="222" cm="1">
        <f t="array" aca="1" ref="X67" ca="1">'Tablica IO'!X223*INDEX(Model!$C$93:$CA$93,Model!$A67) + IF(wplyw_cen_import_wlaczony,'Tablica IO'!X301*INDEX(Model!$C$2:$CA$2,Model!$A67),'Tablica IO'!X301*1)</f>
        <v>5.9673768847692463E-4</v>
      </c>
      <c r="Y67" s="222" cm="1">
        <f t="array" aca="1" ref="Y67" ca="1">'Tablica IO'!Y223*INDEX(Model!$C$93:$CA$93,Model!$A67) + IF(wplyw_cen_import_wlaczony,'Tablica IO'!Y301*INDEX(Model!$C$2:$CA$2,Model!$A67),'Tablica IO'!Y301*1)</f>
        <v>3.8970391288789333E-3</v>
      </c>
      <c r="Z67" s="222" cm="1">
        <f t="array" aca="1" ref="Z67" ca="1">'Tablica IO'!Z223*INDEX(Model!$C$93:$CA$93,Model!$A67) + IF(wplyw_cen_import_wlaczony,'Tablica IO'!Z301*INDEX(Model!$C$2:$CA$2,Model!$A67),'Tablica IO'!Z301*1)</f>
        <v>1.6877335025173641E-2</v>
      </c>
      <c r="AA67" s="222" cm="1">
        <f t="array" aca="1" ref="AA67" ca="1">'Tablica IO'!AA223*INDEX(Model!$C$93:$CA$93,Model!$A67) + IF(wplyw_cen_import_wlaczony,'Tablica IO'!AA301*INDEX(Model!$C$2:$CA$2,Model!$A67),'Tablica IO'!AA301*1)</f>
        <v>4.2634831813068499E-3</v>
      </c>
      <c r="AB67" s="222" cm="1">
        <f t="array" aca="1" ref="AB67" ca="1">'Tablica IO'!AB223*INDEX(Model!$C$93:$CA$93,Model!$A67) + IF(wplyw_cen_import_wlaczony,'Tablica IO'!AB301*INDEX(Model!$C$2:$CA$2,Model!$A67),'Tablica IO'!AB301*1)</f>
        <v>1.2706262497999376E-2</v>
      </c>
      <c r="AC67" s="222" cm="1">
        <f t="array" aca="1" ref="AC67" ca="1">'Tablica IO'!AC223*INDEX(Model!$C$93:$CA$93,Model!$A67) + IF(wplyw_cen_import_wlaczony,'Tablica IO'!AC301*INDEX(Model!$C$2:$CA$2,Model!$A67),'Tablica IO'!AC301*1)</f>
        <v>4.1733998256872525E-3</v>
      </c>
      <c r="AD67" s="222" cm="1">
        <f t="array" aca="1" ref="AD67" ca="1">'Tablica IO'!AD223*INDEX(Model!$C$93:$CA$93,Model!$A67) + IF(wplyw_cen_import_wlaczony,'Tablica IO'!AD301*INDEX(Model!$C$2:$CA$2,Model!$A67),'Tablica IO'!AD301*1)</f>
        <v>1.4185684415248584E-3</v>
      </c>
      <c r="AE67" s="222" cm="1">
        <f t="array" aca="1" ref="AE67" ca="1">'Tablica IO'!AE223*INDEX(Model!$C$93:$CA$93,Model!$A67) + IF(wplyw_cen_import_wlaczony,'Tablica IO'!AE301*INDEX(Model!$C$2:$CA$2,Model!$A67),'Tablica IO'!AE301*1)</f>
        <v>5.2409406567094736E-3</v>
      </c>
      <c r="AF67" s="222" cm="1">
        <f t="array" aca="1" ref="AF67" ca="1">'Tablica IO'!AF223*INDEX(Model!$C$93:$CA$93,Model!$A67) + IF(wplyw_cen_import_wlaczony,'Tablica IO'!AF301*INDEX(Model!$C$2:$CA$2,Model!$A67),'Tablica IO'!AF301*1)</f>
        <v>8.223420556180765E-3</v>
      </c>
      <c r="AG67" s="222" cm="1">
        <f t="array" aca="1" ref="AG67" ca="1">'Tablica IO'!AG223*INDEX(Model!$C$93:$CA$93,Model!$A67) + IF(wplyw_cen_import_wlaczony,'Tablica IO'!AG301*INDEX(Model!$C$2:$CA$2,Model!$A67),'Tablica IO'!AG301*1)</f>
        <v>5.5472001482775217E-3</v>
      </c>
      <c r="AH67" s="222" cm="1">
        <f t="array" aca="1" ref="AH67" ca="1">'Tablica IO'!AH223*INDEX(Model!$C$93:$CA$93,Model!$A67) + IF(wplyw_cen_import_wlaczony,'Tablica IO'!AH301*INDEX(Model!$C$2:$CA$2,Model!$A67),'Tablica IO'!AH301*1)</f>
        <v>6.7407969556000291E-3</v>
      </c>
      <c r="AI67" s="222" cm="1">
        <f t="array" aca="1" ref="AI67" ca="1">'Tablica IO'!AI223*INDEX(Model!$C$93:$CA$93,Model!$A67) + IF(wplyw_cen_import_wlaczony,'Tablica IO'!AI301*INDEX(Model!$C$2:$CA$2,Model!$A67),'Tablica IO'!AI301*1)</f>
        <v>2.7844526915007583E-3</v>
      </c>
      <c r="AJ67" s="222" cm="1">
        <f t="array" aca="1" ref="AJ67" ca="1">'Tablica IO'!AJ223*INDEX(Model!$C$93:$CA$93,Model!$A67) + IF(wplyw_cen_import_wlaczony,'Tablica IO'!AJ301*INDEX(Model!$C$2:$CA$2,Model!$A67),'Tablica IO'!AJ301*1)</f>
        <v>1.0584762672726596E-2</v>
      </c>
      <c r="AK67" s="222" cm="1">
        <f t="array" aca="1" ref="AK67" ca="1">'Tablica IO'!AK223*INDEX(Model!$C$93:$CA$93,Model!$A67) + IF(wplyw_cen_import_wlaczony,'Tablica IO'!AK301*INDEX(Model!$C$2:$CA$2,Model!$A67),'Tablica IO'!AK301*1)</f>
        <v>5.0142858573219533E-4</v>
      </c>
      <c r="AL67" s="222" cm="1">
        <f t="array" aca="1" ref="AL67" ca="1">'Tablica IO'!AL223*INDEX(Model!$C$93:$CA$93,Model!$A67) + IF(wplyw_cen_import_wlaczony,'Tablica IO'!AL301*INDEX(Model!$C$2:$CA$2,Model!$A67),'Tablica IO'!AL301*1)</f>
        <v>4.5626311903182084E-3</v>
      </c>
      <c r="AM67" s="222" cm="1">
        <f t="array" aca="1" ref="AM67" ca="1">'Tablica IO'!AM223*INDEX(Model!$C$93:$CA$93,Model!$A67) + IF(wplyw_cen_import_wlaczony,'Tablica IO'!AM301*INDEX(Model!$C$2:$CA$2,Model!$A67),'Tablica IO'!AM301*1)</f>
        <v>2.913559424218031E-3</v>
      </c>
      <c r="AN67" s="222" cm="1">
        <f t="array" aca="1" ref="AN67" ca="1">'Tablica IO'!AN223*INDEX(Model!$C$93:$CA$93,Model!$A67) + IF(wplyw_cen_import_wlaczony,'Tablica IO'!AN301*INDEX(Model!$C$2:$CA$2,Model!$A67),'Tablica IO'!AN301*1)</f>
        <v>3.6835396736083761E-3</v>
      </c>
      <c r="AO67" s="222" cm="1">
        <f t="array" aca="1" ref="AO67" ca="1">'Tablica IO'!AO223*INDEX(Model!$C$93:$CA$93,Model!$A67) + IF(wplyw_cen_import_wlaczony,'Tablica IO'!AO301*INDEX(Model!$C$2:$CA$2,Model!$A67),'Tablica IO'!AO301*1)</f>
        <v>2.6203301843736649E-3</v>
      </c>
      <c r="AP67" s="222" cm="1">
        <f t="array" aca="1" ref="AP67" ca="1">'Tablica IO'!AP223*INDEX(Model!$C$93:$CA$93,Model!$A67) + IF(wplyw_cen_import_wlaczony,'Tablica IO'!AP301*INDEX(Model!$C$2:$CA$2,Model!$A67),'Tablica IO'!AP301*1)</f>
        <v>1.6900412674063637E-3</v>
      </c>
      <c r="AQ67" s="222" cm="1">
        <f t="array" aca="1" ref="AQ67" ca="1">'Tablica IO'!AQ223*INDEX(Model!$C$93:$CA$93,Model!$A67) + IF(wplyw_cen_import_wlaczony,'Tablica IO'!AQ301*INDEX(Model!$C$2:$CA$2,Model!$A67),'Tablica IO'!AQ301*1)</f>
        <v>2.0165369496164334E-3</v>
      </c>
      <c r="AR67" s="222" cm="1">
        <f t="array" aca="1" ref="AR67" ca="1">'Tablica IO'!AR223*INDEX(Model!$C$93:$CA$93,Model!$A67) + IF(wplyw_cen_import_wlaczony,'Tablica IO'!AR301*INDEX(Model!$C$2:$CA$2,Model!$A67),'Tablica IO'!AR301*1)</f>
        <v>2.993120405584655E-3</v>
      </c>
      <c r="AS67" s="222" cm="1">
        <f t="array" aca="1" ref="AS67" ca="1">'Tablica IO'!AS223*INDEX(Model!$C$93:$CA$93,Model!$A67) + IF(wplyw_cen_import_wlaczony,'Tablica IO'!AS301*INDEX(Model!$C$2:$CA$2,Model!$A67),'Tablica IO'!AS301*1)</f>
        <v>1.341044278430086E-5</v>
      </c>
      <c r="AT67" s="222" cm="1">
        <f t="array" aca="1" ref="AT67" ca="1">'Tablica IO'!AT223*INDEX(Model!$C$93:$CA$93,Model!$A67) + IF(wplyw_cen_import_wlaczony,'Tablica IO'!AT301*INDEX(Model!$C$2:$CA$2,Model!$A67),'Tablica IO'!AT301*1)</f>
        <v>6.4456145217080745E-5</v>
      </c>
      <c r="AU67" s="222" cm="1">
        <f t="array" aca="1" ref="AU67" ca="1">'Tablica IO'!AU223*INDEX(Model!$C$93:$CA$93,Model!$A67) + IF(wplyw_cen_import_wlaczony,'Tablica IO'!AU301*INDEX(Model!$C$2:$CA$2,Model!$A67),'Tablica IO'!AU301*1)</f>
        <v>6.985784275320817E-6</v>
      </c>
      <c r="AV67" s="222" cm="1">
        <f t="array" aca="1" ref="AV67" ca="1">'Tablica IO'!AV223*INDEX(Model!$C$93:$CA$93,Model!$A67) + IF(wplyw_cen_import_wlaczony,'Tablica IO'!AV301*INDEX(Model!$C$2:$CA$2,Model!$A67),'Tablica IO'!AV301*1)</f>
        <v>1.4710833113014233E-2</v>
      </c>
      <c r="AW67" s="222" cm="1">
        <f t="array" aca="1" ref="AW67" ca="1">'Tablica IO'!AW223*INDEX(Model!$C$93:$CA$93,Model!$A67) + IF(wplyw_cen_import_wlaczony,'Tablica IO'!AW301*INDEX(Model!$C$2:$CA$2,Model!$A67),'Tablica IO'!AW301*1)</f>
        <v>1.5623926142805601E-3</v>
      </c>
      <c r="AX67" s="222" cm="1">
        <f t="array" aca="1" ref="AX67" ca="1">'Tablica IO'!AX223*INDEX(Model!$C$93:$CA$93,Model!$A67) + IF(wplyw_cen_import_wlaczony,'Tablica IO'!AX301*INDEX(Model!$C$2:$CA$2,Model!$A67),'Tablica IO'!AX301*1)</f>
        <v>2.594561961016033E-4</v>
      </c>
      <c r="AY67" s="222" cm="1">
        <f t="array" aca="1" ref="AY67" ca="1">'Tablica IO'!AY223*INDEX(Model!$C$93:$CA$93,Model!$A67) + IF(wplyw_cen_import_wlaczony,'Tablica IO'!AY301*INDEX(Model!$C$2:$CA$2,Model!$A67),'Tablica IO'!AY301*1)</f>
        <v>4.187319974149996E-3</v>
      </c>
      <c r="AZ67" s="222" cm="1">
        <f t="array" aca="1" ref="AZ67" ca="1">'Tablica IO'!AZ223*INDEX(Model!$C$93:$CA$93,Model!$A67) + IF(wplyw_cen_import_wlaczony,'Tablica IO'!AZ301*INDEX(Model!$C$2:$CA$2,Model!$A67),'Tablica IO'!AZ301*1)</f>
        <v>7.0466255598574633E-3</v>
      </c>
      <c r="BA67" s="222" cm="1">
        <f t="array" aca="1" ref="BA67" ca="1">'Tablica IO'!BA223*INDEX(Model!$C$93:$CA$93,Model!$A67) + IF(wplyw_cen_import_wlaczony,'Tablica IO'!BA301*INDEX(Model!$C$2:$CA$2,Model!$A67),'Tablica IO'!BA301*1)</f>
        <v>1.0263776563331235E-2</v>
      </c>
      <c r="BB67" s="222" cm="1">
        <f t="array" aca="1" ref="BB67" ca="1">'Tablica IO'!BB223*INDEX(Model!$C$93:$CA$93,Model!$A67) + IF(wplyw_cen_import_wlaczony,'Tablica IO'!BB301*INDEX(Model!$C$2:$CA$2,Model!$A67),'Tablica IO'!BB301*1)</f>
        <v>4.8994073410913502E-3</v>
      </c>
      <c r="BC67" s="222" cm="1">
        <f t="array" aca="1" ref="BC67" ca="1">'Tablica IO'!BC223*INDEX(Model!$C$93:$CA$93,Model!$A67) + IF(wplyw_cen_import_wlaczony,'Tablica IO'!BC301*INDEX(Model!$C$2:$CA$2,Model!$A67),'Tablica IO'!BC301*1)</f>
        <v>1.205891238236504E-3</v>
      </c>
      <c r="BD67" s="222" cm="1">
        <f t="array" aca="1" ref="BD67" ca="1">'Tablica IO'!BD223*INDEX(Model!$C$93:$CA$93,Model!$A67) + IF(wplyw_cen_import_wlaczony,'Tablica IO'!BD301*INDEX(Model!$C$2:$CA$2,Model!$A67),'Tablica IO'!BD301*1)</f>
        <v>6.1816349892007101E-3</v>
      </c>
      <c r="BE67" s="222" cm="1">
        <f t="array" aca="1" ref="BE67" ca="1">'Tablica IO'!BE223*INDEX(Model!$C$93:$CA$93,Model!$A67) + IF(wplyw_cen_import_wlaczony,'Tablica IO'!BE301*INDEX(Model!$C$2:$CA$2,Model!$A67),'Tablica IO'!BE301*1)</f>
        <v>8.4814994554366238E-2</v>
      </c>
      <c r="BF67" s="222" cm="1">
        <f t="array" aca="1" ref="BF67" ca="1">'Tablica IO'!BF223*INDEX(Model!$C$93:$CA$93,Model!$A67) + IF(wplyw_cen_import_wlaczony,'Tablica IO'!BF301*INDEX(Model!$C$2:$CA$2,Model!$A67),'Tablica IO'!BF301*1)</f>
        <v>7.6240414426406496E-3</v>
      </c>
      <c r="BG67" s="222" cm="1">
        <f t="array" aca="1" ref="BG67" ca="1">'Tablica IO'!BG223*INDEX(Model!$C$93:$CA$93,Model!$A67) + IF(wplyw_cen_import_wlaczony,'Tablica IO'!BG301*INDEX(Model!$C$2:$CA$2,Model!$A67),'Tablica IO'!BG301*1)</f>
        <v>1.4382535797222325E-4</v>
      </c>
      <c r="BH67" s="222" cm="1">
        <f t="array" aca="1" ref="BH67" ca="1">'Tablica IO'!BH223*INDEX(Model!$C$93:$CA$93,Model!$A67) + IF(wplyw_cen_import_wlaczony,'Tablica IO'!BH301*INDEX(Model!$C$2:$CA$2,Model!$A67),'Tablica IO'!BH301*1)</f>
        <v>1.0279417701581944E-2</v>
      </c>
      <c r="BI67" s="222" cm="1">
        <f t="array" aca="1" ref="BI67" ca="1">'Tablica IO'!BI223*INDEX(Model!$C$93:$CA$93,Model!$A67) + IF(wplyw_cen_import_wlaczony,'Tablica IO'!BI301*INDEX(Model!$C$2:$CA$2,Model!$A67),'Tablica IO'!BI301*1)</f>
        <v>0</v>
      </c>
      <c r="BJ67" s="222" cm="1">
        <f t="array" aca="1" ref="BJ67" ca="1">'Tablica IO'!BJ223*INDEX(Model!$C$93:$CA$93,Model!$A67) + IF(wplyw_cen_import_wlaczony,'Tablica IO'!BJ301*INDEX(Model!$C$2:$CA$2,Model!$A67),'Tablica IO'!BJ301*1)</f>
        <v>3.4400535400542429E-3</v>
      </c>
      <c r="BK67" s="222" cm="1">
        <f t="array" aca="1" ref="BK67" ca="1">'Tablica IO'!BK223*INDEX(Model!$C$93:$CA$93,Model!$A67) + IF(wplyw_cen_import_wlaczony,'Tablica IO'!BK301*INDEX(Model!$C$2:$CA$2,Model!$A67),'Tablica IO'!BK301*1)</f>
        <v>5.2715846796560811E-4</v>
      </c>
      <c r="BL67" s="222" cm="1">
        <f t="array" aca="1" ref="BL67" ca="1">'Tablica IO'!BL223*INDEX(Model!$C$93:$CA$93,Model!$A67) + IF(wplyw_cen_import_wlaczony,'Tablica IO'!BL301*INDEX(Model!$C$2:$CA$2,Model!$A67),'Tablica IO'!BL301*1)</f>
        <v>1.8245947096269373E-4</v>
      </c>
      <c r="BM67" s="222" cm="1">
        <f t="array" aca="1" ref="BM67" ca="1">'Tablica IO'!BM223*INDEX(Model!$C$93:$CA$93,Model!$A67) + IF(wplyw_cen_import_wlaczony,'Tablica IO'!BM301*INDEX(Model!$C$2:$CA$2,Model!$A67),'Tablica IO'!BM301*1)</f>
        <v>3.2235880954836733E-4</v>
      </c>
      <c r="BN67" s="222" cm="1">
        <f t="array" aca="1" ref="BN67" ca="1">'Tablica IO'!BN223*INDEX(Model!$C$93:$CA$93,Model!$A67) + IF(wplyw_cen_import_wlaczony,'Tablica IO'!BN301*INDEX(Model!$C$2:$CA$2,Model!$A67),'Tablica IO'!BN301*1)</f>
        <v>9.5521988217861613E-3</v>
      </c>
      <c r="BO67" s="222" cm="1">
        <f t="array" aca="1" ref="BO67" ca="1">'Tablica IO'!BO223*INDEX(Model!$C$93:$CA$93,Model!$A67) + IF(wplyw_cen_import_wlaczony,'Tablica IO'!BO301*INDEX(Model!$C$2:$CA$2,Model!$A67),'Tablica IO'!BO301*1)</f>
        <v>2.401546808719113E-3</v>
      </c>
      <c r="BP67" s="222" cm="1">
        <f t="array" aca="1" ref="BP67" ca="1">'Tablica IO'!BP223*INDEX(Model!$C$93:$CA$93,Model!$A67) + IF(wplyw_cen_import_wlaczony,'Tablica IO'!BP301*INDEX(Model!$C$2:$CA$2,Model!$A67),'Tablica IO'!BP301*1)</f>
        <v>3.7181754914708941E-3</v>
      </c>
      <c r="BQ67" s="222" cm="1">
        <f t="array" aca="1" ref="BQ67" ca="1">'Tablica IO'!BQ223*INDEX(Model!$C$93:$CA$93,Model!$A67) + IF(wplyw_cen_import_wlaczony,'Tablica IO'!BQ301*INDEX(Model!$C$2:$CA$2,Model!$A67),'Tablica IO'!BQ301*1)</f>
        <v>2.4131971365912333E-3</v>
      </c>
      <c r="BR67" s="222" cm="1">
        <f t="array" aca="1" ref="BR67" ca="1">'Tablica IO'!BR223*INDEX(Model!$C$93:$CA$93,Model!$A67) + IF(wplyw_cen_import_wlaczony,'Tablica IO'!BR301*INDEX(Model!$C$2:$CA$2,Model!$A67),'Tablica IO'!BR301*1)</f>
        <v>3.1529578740532855E-3</v>
      </c>
      <c r="BS67" s="222" cm="1">
        <f t="array" aca="1" ref="BS67" ca="1">'Tablica IO'!BS223*INDEX(Model!$C$93:$CA$93,Model!$A67) + IF(wplyw_cen_import_wlaczony,'Tablica IO'!BS301*INDEX(Model!$C$2:$CA$2,Model!$A67),'Tablica IO'!BS301*1)</f>
        <v>1.024501472868965E-4</v>
      </c>
      <c r="BT67" s="222" cm="1">
        <f t="array" aca="1" ref="BT67" ca="1">'Tablica IO'!BT223*INDEX(Model!$C$93:$CA$93,Model!$A67) + IF(wplyw_cen_import_wlaczony,'Tablica IO'!BT301*INDEX(Model!$C$2:$CA$2,Model!$A67),'Tablica IO'!BT301*1)</f>
        <v>6.5101178072897198E-4</v>
      </c>
      <c r="BU67" s="222" cm="1">
        <f t="array" aca="1" ref="BU67" ca="1">'Tablica IO'!BU223*INDEX(Model!$C$93:$CA$93,Model!$A67) + IF(wplyw_cen_import_wlaczony,'Tablica IO'!BU301*INDEX(Model!$C$2:$CA$2,Model!$A67),'Tablica IO'!BU301*1)</f>
        <v>3.4238856634355901E-3</v>
      </c>
      <c r="BV67" s="222" cm="1">
        <f t="array" aca="1" ref="BV67" ca="1">'Tablica IO'!BV223*INDEX(Model!$C$93:$CA$93,Model!$A67) + IF(wplyw_cen_import_wlaczony,'Tablica IO'!BV301*INDEX(Model!$C$2:$CA$2,Model!$A67),'Tablica IO'!BV301*1)</f>
        <v>4.6230791617448308E-4</v>
      </c>
      <c r="BW67" s="222" cm="1">
        <f t="array" aca="1" ref="BW67" ca="1">'Tablica IO'!BW223*INDEX(Model!$C$93:$CA$93,Model!$A67) + IF(wplyw_cen_import_wlaczony,'Tablica IO'!BW301*INDEX(Model!$C$2:$CA$2,Model!$A67),'Tablica IO'!BW301*1)</f>
        <v>1.4246796143755765E-3</v>
      </c>
      <c r="BX67" s="222" cm="1">
        <f t="array" aca="1" ref="BX67" ca="1">'Tablica IO'!BX223*INDEX(Model!$C$93:$CA$93,Model!$A67) + IF(wplyw_cen_import_wlaczony,'Tablica IO'!BX301*INDEX(Model!$C$2:$CA$2,Model!$A67),'Tablica IO'!BX301*1)</f>
        <v>2.6287169931693841E-3</v>
      </c>
      <c r="BY67" s="222" cm="1">
        <f t="array" aca="1" ref="BY67" ca="1">'Tablica IO'!BY223*INDEX(Model!$C$93:$CA$93,Model!$A67) + IF(wplyw_cen_import_wlaczony,'Tablica IO'!BY301*INDEX(Model!$C$2:$CA$2,Model!$A67),'Tablica IO'!BY301*1)</f>
        <v>3.5496826436872231E-5</v>
      </c>
      <c r="BZ67" s="222" cm="1">
        <f t="array" aca="1" ref="BZ67" ca="1">'Tablica IO'!BZ223*INDEX(Model!$C$93:$CA$93,Model!$A67) + IF(wplyw_cen_import_wlaczony,'Tablica IO'!BZ301*INDEX(Model!$C$2:$CA$2,Model!$A67),'Tablica IO'!BZ301*1)</f>
        <v>3.4481770295284901E-3</v>
      </c>
      <c r="CA67" s="222" cm="1">
        <f t="array" aca="1" ref="CA67" ca="1">'Tablica IO'!CA223*INDEX(Model!$C$93:$CA$93,Model!$A67) + IF(wplyw_cen_import_wlaczony,'Tablica IO'!CA301*INDEX(Model!$C$2:$CA$2,Model!$A67),'Tablica IO'!CA301*1)</f>
        <v>0</v>
      </c>
      <c r="CB67" s="247">
        <f ca="1">'Tablica IO'!CD223*INDEX(Model!$C$93:$CA$93,Model!$A67)+'Tablica IO'!CD301*INDEX(Model!$C$2:$CA$2,Model!$A67)</f>
        <v>0</v>
      </c>
      <c r="CC67" s="188">
        <f ca="1">'Tablica IO'!CE223*INDEX(Model!$C$93:$CA$93,Model!$A67)+'Tablica IO'!CE301*INDEX(Model!$C$2:$CA$2,Model!$A67)</f>
        <v>1.5574275792264551E-3</v>
      </c>
      <c r="CD67" s="188">
        <f ca="1">'Tablica IO'!CF223*INDEX(Model!$C$93:$CA$93,Model!$A67)+'Tablica IO'!CF301*INDEX(Model!$C$2:$CA$2,Model!$A67)</f>
        <v>4.0291492940647822E-2</v>
      </c>
      <c r="CE67" s="189">
        <f ca="1">'Tablica IO'!CG223*INDEX(Model!$C$93:$CA$93,Model!$A67)+'Tablica IO'!CG301*INDEX(Model!$C$2:$CA$2,Model!$A67)</f>
        <v>5.0845252974649358E-3</v>
      </c>
    </row>
    <row r="68" spans="1:83" x14ac:dyDescent="0.25">
      <c r="A68" s="164">
        <v>56</v>
      </c>
      <c r="B68" s="172" t="s">
        <v>55</v>
      </c>
      <c r="C68" s="221" cm="1">
        <f t="array" aca="1" ref="C68" ca="1">'Tablica IO'!C224*INDEX(Model!$C$93:$CA$93,Model!$A68) + IF(wplyw_cen_import_wlaczony,'Tablica IO'!C302*INDEX(Model!$C$2:$CA$2,Model!$A68),'Tablica IO'!C302*1)</f>
        <v>0</v>
      </c>
      <c r="D68" s="222" cm="1">
        <f t="array" aca="1" ref="D68" ca="1">'Tablica IO'!D224*INDEX(Model!$C$93:$CA$93,Model!$A68) + IF(wplyw_cen_import_wlaczony,'Tablica IO'!D302*INDEX(Model!$C$2:$CA$2,Model!$A68),'Tablica IO'!D302*1)</f>
        <v>0</v>
      </c>
      <c r="E68" s="222" cm="1">
        <f t="array" aca="1" ref="E68" ca="1">'Tablica IO'!E224*INDEX(Model!$C$93:$CA$93,Model!$A68) + IF(wplyw_cen_import_wlaczony,'Tablica IO'!E302*INDEX(Model!$C$2:$CA$2,Model!$A68),'Tablica IO'!E302*1)</f>
        <v>0</v>
      </c>
      <c r="F68" s="222" cm="1">
        <f t="array" aca="1" ref="F68" ca="1">'Tablica IO'!F224*INDEX(Model!$C$93:$CA$93,Model!$A68) + IF(wplyw_cen_import_wlaczony,'Tablica IO'!F302*INDEX(Model!$C$2:$CA$2,Model!$A68),'Tablica IO'!F302*1)</f>
        <v>0</v>
      </c>
      <c r="G68" s="222" cm="1">
        <f t="array" aca="1" ref="G68" ca="1">'Tablica IO'!G224*INDEX(Model!$C$93:$CA$93,Model!$A68) + IF(wplyw_cen_import_wlaczony,'Tablica IO'!G302*INDEX(Model!$C$2:$CA$2,Model!$A68),'Tablica IO'!G302*1)</f>
        <v>0</v>
      </c>
      <c r="H68" s="222" cm="1">
        <f t="array" aca="1" ref="H68" ca="1">'Tablica IO'!H224*INDEX(Model!$C$93:$CA$93,Model!$A68) + IF(wplyw_cen_import_wlaczony,'Tablica IO'!H302*INDEX(Model!$C$2:$CA$2,Model!$A68),'Tablica IO'!H302*1)</f>
        <v>0</v>
      </c>
      <c r="I68" s="222" cm="1">
        <f t="array" aca="1" ref="I68" ca="1">'Tablica IO'!I224*INDEX(Model!$C$93:$CA$93,Model!$A68) + IF(wplyw_cen_import_wlaczony,'Tablica IO'!I302*INDEX(Model!$C$2:$CA$2,Model!$A68),'Tablica IO'!I302*1)</f>
        <v>0</v>
      </c>
      <c r="J68" s="222" cm="1">
        <f t="array" aca="1" ref="J68" ca="1">'Tablica IO'!J224*INDEX(Model!$C$93:$CA$93,Model!$A68) + IF(wplyw_cen_import_wlaczony,'Tablica IO'!J302*INDEX(Model!$C$2:$CA$2,Model!$A68),'Tablica IO'!J302*1)</f>
        <v>0</v>
      </c>
      <c r="K68" s="222" cm="1">
        <f t="array" aca="1" ref="K68" ca="1">'Tablica IO'!K224*INDEX(Model!$C$93:$CA$93,Model!$A68) + IF(wplyw_cen_import_wlaczony,'Tablica IO'!K302*INDEX(Model!$C$2:$CA$2,Model!$A68),'Tablica IO'!K302*1)</f>
        <v>0</v>
      </c>
      <c r="L68" s="222" cm="1">
        <f t="array" aca="1" ref="L68" ca="1">'Tablica IO'!L224*INDEX(Model!$C$93:$CA$93,Model!$A68) + IF(wplyw_cen_import_wlaczony,'Tablica IO'!L302*INDEX(Model!$C$2:$CA$2,Model!$A68),'Tablica IO'!L302*1)</f>
        <v>0</v>
      </c>
      <c r="M68" s="222" cm="1">
        <f t="array" aca="1" ref="M68" ca="1">'Tablica IO'!M224*INDEX(Model!$C$93:$CA$93,Model!$A68) + IF(wplyw_cen_import_wlaczony,'Tablica IO'!M302*INDEX(Model!$C$2:$CA$2,Model!$A68),'Tablica IO'!M302*1)</f>
        <v>0</v>
      </c>
      <c r="N68" s="222" cm="1">
        <f t="array" aca="1" ref="N68" ca="1">'Tablica IO'!N224*INDEX(Model!$C$93:$CA$93,Model!$A68) + IF(wplyw_cen_import_wlaczony,'Tablica IO'!N302*INDEX(Model!$C$2:$CA$2,Model!$A68),'Tablica IO'!N302*1)</f>
        <v>0</v>
      </c>
      <c r="O68" s="222" cm="1">
        <f t="array" aca="1" ref="O68" ca="1">'Tablica IO'!O224*INDEX(Model!$C$93:$CA$93,Model!$A68) + IF(wplyw_cen_import_wlaczony,'Tablica IO'!O302*INDEX(Model!$C$2:$CA$2,Model!$A68),'Tablica IO'!O302*1)</f>
        <v>0</v>
      </c>
      <c r="P68" s="222" cm="1">
        <f t="array" aca="1" ref="P68" ca="1">'Tablica IO'!P224*INDEX(Model!$C$93:$CA$93,Model!$A68) + IF(wplyw_cen_import_wlaczony,'Tablica IO'!P302*INDEX(Model!$C$2:$CA$2,Model!$A68),'Tablica IO'!P302*1)</f>
        <v>0</v>
      </c>
      <c r="Q68" s="222" cm="1">
        <f t="array" aca="1" ref="Q68" ca="1">'Tablica IO'!Q224*INDEX(Model!$C$93:$CA$93,Model!$A68) + IF(wplyw_cen_import_wlaczony,'Tablica IO'!Q302*INDEX(Model!$C$2:$CA$2,Model!$A68),'Tablica IO'!Q302*1)</f>
        <v>0</v>
      </c>
      <c r="R68" s="222" cm="1">
        <f t="array" aca="1" ref="R68" ca="1">'Tablica IO'!R224*INDEX(Model!$C$93:$CA$93,Model!$A68) + IF(wplyw_cen_import_wlaczony,'Tablica IO'!R302*INDEX(Model!$C$2:$CA$2,Model!$A68),'Tablica IO'!R302*1)</f>
        <v>0</v>
      </c>
      <c r="S68" s="222" cm="1">
        <f t="array" aca="1" ref="S68" ca="1">'Tablica IO'!S224*INDEX(Model!$C$93:$CA$93,Model!$A68) + IF(wplyw_cen_import_wlaczony,'Tablica IO'!S302*INDEX(Model!$C$2:$CA$2,Model!$A68),'Tablica IO'!S302*1)</f>
        <v>0</v>
      </c>
      <c r="T68" s="222" cm="1">
        <f t="array" aca="1" ref="T68" ca="1">'Tablica IO'!T224*INDEX(Model!$C$93:$CA$93,Model!$A68) + IF(wplyw_cen_import_wlaczony,'Tablica IO'!T302*INDEX(Model!$C$2:$CA$2,Model!$A68),'Tablica IO'!T302*1)</f>
        <v>0</v>
      </c>
      <c r="U68" s="222" cm="1">
        <f t="array" aca="1" ref="U68" ca="1">'Tablica IO'!U224*INDEX(Model!$C$93:$CA$93,Model!$A68) + IF(wplyw_cen_import_wlaczony,'Tablica IO'!U302*INDEX(Model!$C$2:$CA$2,Model!$A68),'Tablica IO'!U302*1)</f>
        <v>0</v>
      </c>
      <c r="V68" s="222" cm="1">
        <f t="array" aca="1" ref="V68" ca="1">'Tablica IO'!V224*INDEX(Model!$C$93:$CA$93,Model!$A68) + IF(wplyw_cen_import_wlaczony,'Tablica IO'!V302*INDEX(Model!$C$2:$CA$2,Model!$A68),'Tablica IO'!V302*1)</f>
        <v>0</v>
      </c>
      <c r="W68" s="222" cm="1">
        <f t="array" aca="1" ref="W68" ca="1">'Tablica IO'!W224*INDEX(Model!$C$93:$CA$93,Model!$A68) + IF(wplyw_cen_import_wlaczony,'Tablica IO'!W302*INDEX(Model!$C$2:$CA$2,Model!$A68),'Tablica IO'!W302*1)</f>
        <v>0</v>
      </c>
      <c r="X68" s="222" cm="1">
        <f t="array" aca="1" ref="X68" ca="1">'Tablica IO'!X224*INDEX(Model!$C$93:$CA$93,Model!$A68) + IF(wplyw_cen_import_wlaczony,'Tablica IO'!X302*INDEX(Model!$C$2:$CA$2,Model!$A68),'Tablica IO'!X302*1)</f>
        <v>0</v>
      </c>
      <c r="Y68" s="222" cm="1">
        <f t="array" aca="1" ref="Y68" ca="1">'Tablica IO'!Y224*INDEX(Model!$C$93:$CA$93,Model!$A68) + IF(wplyw_cen_import_wlaczony,'Tablica IO'!Y302*INDEX(Model!$C$2:$CA$2,Model!$A68),'Tablica IO'!Y302*1)</f>
        <v>0</v>
      </c>
      <c r="Z68" s="222" cm="1">
        <f t="array" aca="1" ref="Z68" ca="1">'Tablica IO'!Z224*INDEX(Model!$C$93:$CA$93,Model!$A68) + IF(wplyw_cen_import_wlaczony,'Tablica IO'!Z302*INDEX(Model!$C$2:$CA$2,Model!$A68),'Tablica IO'!Z302*1)</f>
        <v>0</v>
      </c>
      <c r="AA68" s="222" cm="1">
        <f t="array" aca="1" ref="AA68" ca="1">'Tablica IO'!AA224*INDEX(Model!$C$93:$CA$93,Model!$A68) + IF(wplyw_cen_import_wlaczony,'Tablica IO'!AA302*INDEX(Model!$C$2:$CA$2,Model!$A68),'Tablica IO'!AA302*1)</f>
        <v>0</v>
      </c>
      <c r="AB68" s="222" cm="1">
        <f t="array" aca="1" ref="AB68" ca="1">'Tablica IO'!AB224*INDEX(Model!$C$93:$CA$93,Model!$A68) + IF(wplyw_cen_import_wlaczony,'Tablica IO'!AB302*INDEX(Model!$C$2:$CA$2,Model!$A68),'Tablica IO'!AB302*1)</f>
        <v>0</v>
      </c>
      <c r="AC68" s="222" cm="1">
        <f t="array" aca="1" ref="AC68" ca="1">'Tablica IO'!AC224*INDEX(Model!$C$93:$CA$93,Model!$A68) + IF(wplyw_cen_import_wlaczony,'Tablica IO'!AC302*INDEX(Model!$C$2:$CA$2,Model!$A68),'Tablica IO'!AC302*1)</f>
        <v>0</v>
      </c>
      <c r="AD68" s="222" cm="1">
        <f t="array" aca="1" ref="AD68" ca="1">'Tablica IO'!AD224*INDEX(Model!$C$93:$CA$93,Model!$A68) + IF(wplyw_cen_import_wlaczony,'Tablica IO'!AD302*INDEX(Model!$C$2:$CA$2,Model!$A68),'Tablica IO'!AD302*1)</f>
        <v>0</v>
      </c>
      <c r="AE68" s="222" cm="1">
        <f t="array" aca="1" ref="AE68" ca="1">'Tablica IO'!AE224*INDEX(Model!$C$93:$CA$93,Model!$A68) + IF(wplyw_cen_import_wlaczony,'Tablica IO'!AE302*INDEX(Model!$C$2:$CA$2,Model!$A68),'Tablica IO'!AE302*1)</f>
        <v>0</v>
      </c>
      <c r="AF68" s="222" cm="1">
        <f t="array" aca="1" ref="AF68" ca="1">'Tablica IO'!AF224*INDEX(Model!$C$93:$CA$93,Model!$A68) + IF(wplyw_cen_import_wlaczony,'Tablica IO'!AF302*INDEX(Model!$C$2:$CA$2,Model!$A68),'Tablica IO'!AF302*1)</f>
        <v>0</v>
      </c>
      <c r="AG68" s="222" cm="1">
        <f t="array" aca="1" ref="AG68" ca="1">'Tablica IO'!AG224*INDEX(Model!$C$93:$CA$93,Model!$A68) + IF(wplyw_cen_import_wlaczony,'Tablica IO'!AG302*INDEX(Model!$C$2:$CA$2,Model!$A68),'Tablica IO'!AG302*1)</f>
        <v>0</v>
      </c>
      <c r="AH68" s="222" cm="1">
        <f t="array" aca="1" ref="AH68" ca="1">'Tablica IO'!AH224*INDEX(Model!$C$93:$CA$93,Model!$A68) + IF(wplyw_cen_import_wlaczony,'Tablica IO'!AH302*INDEX(Model!$C$2:$CA$2,Model!$A68),'Tablica IO'!AH302*1)</f>
        <v>0</v>
      </c>
      <c r="AI68" s="222" cm="1">
        <f t="array" aca="1" ref="AI68" ca="1">'Tablica IO'!AI224*INDEX(Model!$C$93:$CA$93,Model!$A68) + IF(wplyw_cen_import_wlaczony,'Tablica IO'!AI302*INDEX(Model!$C$2:$CA$2,Model!$A68),'Tablica IO'!AI302*1)</f>
        <v>0</v>
      </c>
      <c r="AJ68" s="222" cm="1">
        <f t="array" aca="1" ref="AJ68" ca="1">'Tablica IO'!AJ224*INDEX(Model!$C$93:$CA$93,Model!$A68) + IF(wplyw_cen_import_wlaczony,'Tablica IO'!AJ302*INDEX(Model!$C$2:$CA$2,Model!$A68),'Tablica IO'!AJ302*1)</f>
        <v>0</v>
      </c>
      <c r="AK68" s="222" cm="1">
        <f t="array" aca="1" ref="AK68" ca="1">'Tablica IO'!AK224*INDEX(Model!$C$93:$CA$93,Model!$A68) + IF(wplyw_cen_import_wlaczony,'Tablica IO'!AK302*INDEX(Model!$C$2:$CA$2,Model!$A68),'Tablica IO'!AK302*1)</f>
        <v>0</v>
      </c>
      <c r="AL68" s="222" cm="1">
        <f t="array" aca="1" ref="AL68" ca="1">'Tablica IO'!AL224*INDEX(Model!$C$93:$CA$93,Model!$A68) + IF(wplyw_cen_import_wlaczony,'Tablica IO'!AL302*INDEX(Model!$C$2:$CA$2,Model!$A68),'Tablica IO'!AL302*1)</f>
        <v>0</v>
      </c>
      <c r="AM68" s="222" cm="1">
        <f t="array" aca="1" ref="AM68" ca="1">'Tablica IO'!AM224*INDEX(Model!$C$93:$CA$93,Model!$A68) + IF(wplyw_cen_import_wlaczony,'Tablica IO'!AM302*INDEX(Model!$C$2:$CA$2,Model!$A68),'Tablica IO'!AM302*1)</f>
        <v>0</v>
      </c>
      <c r="AN68" s="222" cm="1">
        <f t="array" aca="1" ref="AN68" ca="1">'Tablica IO'!AN224*INDEX(Model!$C$93:$CA$93,Model!$A68) + IF(wplyw_cen_import_wlaczony,'Tablica IO'!AN302*INDEX(Model!$C$2:$CA$2,Model!$A68),'Tablica IO'!AN302*1)</f>
        <v>0</v>
      </c>
      <c r="AO68" s="222" cm="1">
        <f t="array" aca="1" ref="AO68" ca="1">'Tablica IO'!AO224*INDEX(Model!$C$93:$CA$93,Model!$A68) + IF(wplyw_cen_import_wlaczony,'Tablica IO'!AO302*INDEX(Model!$C$2:$CA$2,Model!$A68),'Tablica IO'!AO302*1)</f>
        <v>0</v>
      </c>
      <c r="AP68" s="222" cm="1">
        <f t="array" aca="1" ref="AP68" ca="1">'Tablica IO'!AP224*INDEX(Model!$C$93:$CA$93,Model!$A68) + IF(wplyw_cen_import_wlaczony,'Tablica IO'!AP302*INDEX(Model!$C$2:$CA$2,Model!$A68),'Tablica IO'!AP302*1)</f>
        <v>0</v>
      </c>
      <c r="AQ68" s="222" cm="1">
        <f t="array" aca="1" ref="AQ68" ca="1">'Tablica IO'!AQ224*INDEX(Model!$C$93:$CA$93,Model!$A68) + IF(wplyw_cen_import_wlaczony,'Tablica IO'!AQ302*INDEX(Model!$C$2:$CA$2,Model!$A68),'Tablica IO'!AQ302*1)</f>
        <v>0</v>
      </c>
      <c r="AR68" s="222" cm="1">
        <f t="array" aca="1" ref="AR68" ca="1">'Tablica IO'!AR224*INDEX(Model!$C$93:$CA$93,Model!$A68) + IF(wplyw_cen_import_wlaczony,'Tablica IO'!AR302*INDEX(Model!$C$2:$CA$2,Model!$A68),'Tablica IO'!AR302*1)</f>
        <v>0</v>
      </c>
      <c r="AS68" s="222" cm="1">
        <f t="array" aca="1" ref="AS68" ca="1">'Tablica IO'!AS224*INDEX(Model!$C$93:$CA$93,Model!$A68) + IF(wplyw_cen_import_wlaczony,'Tablica IO'!AS302*INDEX(Model!$C$2:$CA$2,Model!$A68),'Tablica IO'!AS302*1)</f>
        <v>0</v>
      </c>
      <c r="AT68" s="222" cm="1">
        <f t="array" aca="1" ref="AT68" ca="1">'Tablica IO'!AT224*INDEX(Model!$C$93:$CA$93,Model!$A68) + IF(wplyw_cen_import_wlaczony,'Tablica IO'!AT302*INDEX(Model!$C$2:$CA$2,Model!$A68),'Tablica IO'!AT302*1)</f>
        <v>0</v>
      </c>
      <c r="AU68" s="222" cm="1">
        <f t="array" aca="1" ref="AU68" ca="1">'Tablica IO'!AU224*INDEX(Model!$C$93:$CA$93,Model!$A68) + IF(wplyw_cen_import_wlaczony,'Tablica IO'!AU302*INDEX(Model!$C$2:$CA$2,Model!$A68),'Tablica IO'!AU302*1)</f>
        <v>0</v>
      </c>
      <c r="AV68" s="222" cm="1">
        <f t="array" aca="1" ref="AV68" ca="1">'Tablica IO'!AV224*INDEX(Model!$C$93:$CA$93,Model!$A68) + IF(wplyw_cen_import_wlaczony,'Tablica IO'!AV302*INDEX(Model!$C$2:$CA$2,Model!$A68),'Tablica IO'!AV302*1)</f>
        <v>0</v>
      </c>
      <c r="AW68" s="222" cm="1">
        <f t="array" aca="1" ref="AW68" ca="1">'Tablica IO'!AW224*INDEX(Model!$C$93:$CA$93,Model!$A68) + IF(wplyw_cen_import_wlaczony,'Tablica IO'!AW302*INDEX(Model!$C$2:$CA$2,Model!$A68),'Tablica IO'!AW302*1)</f>
        <v>0</v>
      </c>
      <c r="AX68" s="222" cm="1">
        <f t="array" aca="1" ref="AX68" ca="1">'Tablica IO'!AX224*INDEX(Model!$C$93:$CA$93,Model!$A68) + IF(wplyw_cen_import_wlaczony,'Tablica IO'!AX302*INDEX(Model!$C$2:$CA$2,Model!$A68),'Tablica IO'!AX302*1)</f>
        <v>0</v>
      </c>
      <c r="AY68" s="222" cm="1">
        <f t="array" aca="1" ref="AY68" ca="1">'Tablica IO'!AY224*INDEX(Model!$C$93:$CA$93,Model!$A68) + IF(wplyw_cen_import_wlaczony,'Tablica IO'!AY302*INDEX(Model!$C$2:$CA$2,Model!$A68),'Tablica IO'!AY302*1)</f>
        <v>0</v>
      </c>
      <c r="AZ68" s="222" cm="1">
        <f t="array" aca="1" ref="AZ68" ca="1">'Tablica IO'!AZ224*INDEX(Model!$C$93:$CA$93,Model!$A68) + IF(wplyw_cen_import_wlaczony,'Tablica IO'!AZ302*INDEX(Model!$C$2:$CA$2,Model!$A68),'Tablica IO'!AZ302*1)</f>
        <v>0</v>
      </c>
      <c r="BA68" s="222" cm="1">
        <f t="array" aca="1" ref="BA68" ca="1">'Tablica IO'!BA224*INDEX(Model!$C$93:$CA$93,Model!$A68) + IF(wplyw_cen_import_wlaczony,'Tablica IO'!BA302*INDEX(Model!$C$2:$CA$2,Model!$A68),'Tablica IO'!BA302*1)</f>
        <v>0</v>
      </c>
      <c r="BB68" s="222" cm="1">
        <f t="array" aca="1" ref="BB68" ca="1">'Tablica IO'!BB224*INDEX(Model!$C$93:$CA$93,Model!$A68) + IF(wplyw_cen_import_wlaczony,'Tablica IO'!BB302*INDEX(Model!$C$2:$CA$2,Model!$A68),'Tablica IO'!BB302*1)</f>
        <v>0</v>
      </c>
      <c r="BC68" s="222" cm="1">
        <f t="array" aca="1" ref="BC68" ca="1">'Tablica IO'!BC224*INDEX(Model!$C$93:$CA$93,Model!$A68) + IF(wplyw_cen_import_wlaczony,'Tablica IO'!BC302*INDEX(Model!$C$2:$CA$2,Model!$A68),'Tablica IO'!BC302*1)</f>
        <v>0</v>
      </c>
      <c r="BD68" s="222" cm="1">
        <f t="array" aca="1" ref="BD68" ca="1">'Tablica IO'!BD224*INDEX(Model!$C$93:$CA$93,Model!$A68) + IF(wplyw_cen_import_wlaczony,'Tablica IO'!BD302*INDEX(Model!$C$2:$CA$2,Model!$A68),'Tablica IO'!BD302*1)</f>
        <v>0</v>
      </c>
      <c r="BE68" s="222" cm="1">
        <f t="array" aca="1" ref="BE68" ca="1">'Tablica IO'!BE224*INDEX(Model!$C$93:$CA$93,Model!$A68) + IF(wplyw_cen_import_wlaczony,'Tablica IO'!BE302*INDEX(Model!$C$2:$CA$2,Model!$A68),'Tablica IO'!BE302*1)</f>
        <v>0</v>
      </c>
      <c r="BF68" s="222" cm="1">
        <f t="array" aca="1" ref="BF68" ca="1">'Tablica IO'!BF224*INDEX(Model!$C$93:$CA$93,Model!$A68) + IF(wplyw_cen_import_wlaczony,'Tablica IO'!BF302*INDEX(Model!$C$2:$CA$2,Model!$A68),'Tablica IO'!BF302*1)</f>
        <v>2.3894008898584066E-2</v>
      </c>
      <c r="BG68" s="222" cm="1">
        <f t="array" aca="1" ref="BG68" ca="1">'Tablica IO'!BG224*INDEX(Model!$C$93:$CA$93,Model!$A68) + IF(wplyw_cen_import_wlaczony,'Tablica IO'!BG302*INDEX(Model!$C$2:$CA$2,Model!$A68),'Tablica IO'!BG302*1)</f>
        <v>0</v>
      </c>
      <c r="BH68" s="222" cm="1">
        <f t="array" aca="1" ref="BH68" ca="1">'Tablica IO'!BH224*INDEX(Model!$C$93:$CA$93,Model!$A68) + IF(wplyw_cen_import_wlaczony,'Tablica IO'!BH302*INDEX(Model!$C$2:$CA$2,Model!$A68),'Tablica IO'!BH302*1)</f>
        <v>0</v>
      </c>
      <c r="BI68" s="222" cm="1">
        <f t="array" aca="1" ref="BI68" ca="1">'Tablica IO'!BI224*INDEX(Model!$C$93:$CA$93,Model!$A68) + IF(wplyw_cen_import_wlaczony,'Tablica IO'!BI302*INDEX(Model!$C$2:$CA$2,Model!$A68),'Tablica IO'!BI302*1)</f>
        <v>0</v>
      </c>
      <c r="BJ68" s="222" cm="1">
        <f t="array" aca="1" ref="BJ68" ca="1">'Tablica IO'!BJ224*INDEX(Model!$C$93:$CA$93,Model!$A68) + IF(wplyw_cen_import_wlaczony,'Tablica IO'!BJ302*INDEX(Model!$C$2:$CA$2,Model!$A68),'Tablica IO'!BJ302*1)</f>
        <v>0</v>
      </c>
      <c r="BK68" s="222" cm="1">
        <f t="array" aca="1" ref="BK68" ca="1">'Tablica IO'!BK224*INDEX(Model!$C$93:$CA$93,Model!$A68) + IF(wplyw_cen_import_wlaczony,'Tablica IO'!BK302*INDEX(Model!$C$2:$CA$2,Model!$A68),'Tablica IO'!BK302*1)</f>
        <v>0</v>
      </c>
      <c r="BL68" s="222" cm="1">
        <f t="array" aca="1" ref="BL68" ca="1">'Tablica IO'!BL224*INDEX(Model!$C$93:$CA$93,Model!$A68) + IF(wplyw_cen_import_wlaczony,'Tablica IO'!BL302*INDEX(Model!$C$2:$CA$2,Model!$A68),'Tablica IO'!BL302*1)</f>
        <v>0</v>
      </c>
      <c r="BM68" s="222" cm="1">
        <f t="array" aca="1" ref="BM68" ca="1">'Tablica IO'!BM224*INDEX(Model!$C$93:$CA$93,Model!$A68) + IF(wplyw_cen_import_wlaczony,'Tablica IO'!BM302*INDEX(Model!$C$2:$CA$2,Model!$A68),'Tablica IO'!BM302*1)</f>
        <v>0</v>
      </c>
      <c r="BN68" s="222" cm="1">
        <f t="array" aca="1" ref="BN68" ca="1">'Tablica IO'!BN224*INDEX(Model!$C$93:$CA$93,Model!$A68) + IF(wplyw_cen_import_wlaczony,'Tablica IO'!BN302*INDEX(Model!$C$2:$CA$2,Model!$A68),'Tablica IO'!BN302*1)</f>
        <v>0</v>
      </c>
      <c r="BO68" s="222" cm="1">
        <f t="array" aca="1" ref="BO68" ca="1">'Tablica IO'!BO224*INDEX(Model!$C$93:$CA$93,Model!$A68) + IF(wplyw_cen_import_wlaczony,'Tablica IO'!BO302*INDEX(Model!$C$2:$CA$2,Model!$A68),'Tablica IO'!BO302*1)</f>
        <v>0</v>
      </c>
      <c r="BP68" s="222" cm="1">
        <f t="array" aca="1" ref="BP68" ca="1">'Tablica IO'!BP224*INDEX(Model!$C$93:$CA$93,Model!$A68) + IF(wplyw_cen_import_wlaczony,'Tablica IO'!BP302*INDEX(Model!$C$2:$CA$2,Model!$A68),'Tablica IO'!BP302*1)</f>
        <v>0</v>
      </c>
      <c r="BQ68" s="222" cm="1">
        <f t="array" aca="1" ref="BQ68" ca="1">'Tablica IO'!BQ224*INDEX(Model!$C$93:$CA$93,Model!$A68) + IF(wplyw_cen_import_wlaczony,'Tablica IO'!BQ302*INDEX(Model!$C$2:$CA$2,Model!$A68),'Tablica IO'!BQ302*1)</f>
        <v>0</v>
      </c>
      <c r="BR68" s="222" cm="1">
        <f t="array" aca="1" ref="BR68" ca="1">'Tablica IO'!BR224*INDEX(Model!$C$93:$CA$93,Model!$A68) + IF(wplyw_cen_import_wlaczony,'Tablica IO'!BR302*INDEX(Model!$C$2:$CA$2,Model!$A68),'Tablica IO'!BR302*1)</f>
        <v>0</v>
      </c>
      <c r="BS68" s="222" cm="1">
        <f t="array" aca="1" ref="BS68" ca="1">'Tablica IO'!BS224*INDEX(Model!$C$93:$CA$93,Model!$A68) + IF(wplyw_cen_import_wlaczony,'Tablica IO'!BS302*INDEX(Model!$C$2:$CA$2,Model!$A68),'Tablica IO'!BS302*1)</f>
        <v>0</v>
      </c>
      <c r="BT68" s="222" cm="1">
        <f t="array" aca="1" ref="BT68" ca="1">'Tablica IO'!BT224*INDEX(Model!$C$93:$CA$93,Model!$A68) + IF(wplyw_cen_import_wlaczony,'Tablica IO'!BT302*INDEX(Model!$C$2:$CA$2,Model!$A68),'Tablica IO'!BT302*1)</f>
        <v>0</v>
      </c>
      <c r="BU68" s="222" cm="1">
        <f t="array" aca="1" ref="BU68" ca="1">'Tablica IO'!BU224*INDEX(Model!$C$93:$CA$93,Model!$A68) + IF(wplyw_cen_import_wlaczony,'Tablica IO'!BU302*INDEX(Model!$C$2:$CA$2,Model!$A68),'Tablica IO'!BU302*1)</f>
        <v>0</v>
      </c>
      <c r="BV68" s="222" cm="1">
        <f t="array" aca="1" ref="BV68" ca="1">'Tablica IO'!BV224*INDEX(Model!$C$93:$CA$93,Model!$A68) + IF(wplyw_cen_import_wlaczony,'Tablica IO'!BV302*INDEX(Model!$C$2:$CA$2,Model!$A68),'Tablica IO'!BV302*1)</f>
        <v>0</v>
      </c>
      <c r="BW68" s="222" cm="1">
        <f t="array" aca="1" ref="BW68" ca="1">'Tablica IO'!BW224*INDEX(Model!$C$93:$CA$93,Model!$A68) + IF(wplyw_cen_import_wlaczony,'Tablica IO'!BW302*INDEX(Model!$C$2:$CA$2,Model!$A68),'Tablica IO'!BW302*1)</f>
        <v>0</v>
      </c>
      <c r="BX68" s="222" cm="1">
        <f t="array" aca="1" ref="BX68" ca="1">'Tablica IO'!BX224*INDEX(Model!$C$93:$CA$93,Model!$A68) + IF(wplyw_cen_import_wlaczony,'Tablica IO'!BX302*INDEX(Model!$C$2:$CA$2,Model!$A68),'Tablica IO'!BX302*1)</f>
        <v>0</v>
      </c>
      <c r="BY68" s="222" cm="1">
        <f t="array" aca="1" ref="BY68" ca="1">'Tablica IO'!BY224*INDEX(Model!$C$93:$CA$93,Model!$A68) + IF(wplyw_cen_import_wlaczony,'Tablica IO'!BY302*INDEX(Model!$C$2:$CA$2,Model!$A68),'Tablica IO'!BY302*1)</f>
        <v>0</v>
      </c>
      <c r="BZ68" s="222" cm="1">
        <f t="array" aca="1" ref="BZ68" ca="1">'Tablica IO'!BZ224*INDEX(Model!$C$93:$CA$93,Model!$A68) + IF(wplyw_cen_import_wlaczony,'Tablica IO'!BZ302*INDEX(Model!$C$2:$CA$2,Model!$A68),'Tablica IO'!BZ302*1)</f>
        <v>0</v>
      </c>
      <c r="CA68" s="222" cm="1">
        <f t="array" aca="1" ref="CA68" ca="1">'Tablica IO'!CA224*INDEX(Model!$C$93:$CA$93,Model!$A68) + IF(wplyw_cen_import_wlaczony,'Tablica IO'!CA302*INDEX(Model!$C$2:$CA$2,Model!$A68),'Tablica IO'!CA302*1)</f>
        <v>0</v>
      </c>
      <c r="CB68" s="247">
        <f ca="1">'Tablica IO'!CD224*INDEX(Model!$C$93:$CA$93,Model!$A68)+'Tablica IO'!CD302*INDEX(Model!$C$2:$CA$2,Model!$A68)</f>
        <v>1.3050484056693459E-4</v>
      </c>
      <c r="CC68" s="188">
        <f ca="1">'Tablica IO'!CE224*INDEX(Model!$C$93:$CA$93,Model!$A68)+'Tablica IO'!CE302*INDEX(Model!$C$2:$CA$2,Model!$A68)</f>
        <v>1.4786756238037968E-2</v>
      </c>
      <c r="CD68" s="188">
        <f ca="1">'Tablica IO'!CF224*INDEX(Model!$C$93:$CA$93,Model!$A68)+'Tablica IO'!CF302*INDEX(Model!$C$2:$CA$2,Model!$A68)</f>
        <v>4.2063743720641984E-2</v>
      </c>
      <c r="CE68" s="189">
        <f ca="1">'Tablica IO'!CG224*INDEX(Model!$C$93:$CA$93,Model!$A68)+'Tablica IO'!CG302*INDEX(Model!$C$2:$CA$2,Model!$A68)</f>
        <v>4.8123202233064854E-3</v>
      </c>
    </row>
    <row r="69" spans="1:83" x14ac:dyDescent="0.25">
      <c r="A69" s="164">
        <v>57</v>
      </c>
      <c r="B69" s="172" t="s">
        <v>56</v>
      </c>
      <c r="C69" s="221" cm="1">
        <f t="array" aca="1" ref="C69" ca="1">'Tablica IO'!C225*INDEX(Model!$C$93:$CA$93,Model!$A69) + IF(wplyw_cen_import_wlaczony,'Tablica IO'!C303*INDEX(Model!$C$2:$CA$2,Model!$A69),'Tablica IO'!C303*1)</f>
        <v>4.5163851929675862E-4</v>
      </c>
      <c r="D69" s="222" cm="1">
        <f t="array" aca="1" ref="D69" ca="1">'Tablica IO'!D225*INDEX(Model!$C$93:$CA$93,Model!$A69) + IF(wplyw_cen_import_wlaczony,'Tablica IO'!D303*INDEX(Model!$C$2:$CA$2,Model!$A69),'Tablica IO'!D303*1)</f>
        <v>6.199272601015675E-4</v>
      </c>
      <c r="E69" s="222" cm="1">
        <f t="array" aca="1" ref="E69" ca="1">'Tablica IO'!E225*INDEX(Model!$C$93:$CA$93,Model!$A69) + IF(wplyw_cen_import_wlaczony,'Tablica IO'!E303*INDEX(Model!$C$2:$CA$2,Model!$A69),'Tablica IO'!E303*1)</f>
        <v>3.2977257312762147E-4</v>
      </c>
      <c r="F69" s="222" cm="1">
        <f t="array" aca="1" ref="F69" ca="1">'Tablica IO'!F225*INDEX(Model!$C$93:$CA$93,Model!$A69) + IF(wplyw_cen_import_wlaczony,'Tablica IO'!F303*INDEX(Model!$C$2:$CA$2,Model!$A69),'Tablica IO'!F303*1)</f>
        <v>2.1869032574338859E-3</v>
      </c>
      <c r="G69" s="222" cm="1">
        <f t="array" aca="1" ref="G69" ca="1">'Tablica IO'!G225*INDEX(Model!$C$93:$CA$93,Model!$A69) + IF(wplyw_cen_import_wlaczony,'Tablica IO'!G303*INDEX(Model!$C$2:$CA$2,Model!$A69),'Tablica IO'!G303*1)</f>
        <v>4.7901466158620518E-3</v>
      </c>
      <c r="H69" s="222" cm="1">
        <f t="array" aca="1" ref="H69" ca="1">'Tablica IO'!H225*INDEX(Model!$C$93:$CA$93,Model!$A69) + IF(wplyw_cen_import_wlaczony,'Tablica IO'!H303*INDEX(Model!$C$2:$CA$2,Model!$A69),'Tablica IO'!H303*1)</f>
        <v>4.6135887966543511E-3</v>
      </c>
      <c r="I69" s="222" cm="1">
        <f t="array" aca="1" ref="I69" ca="1">'Tablica IO'!I225*INDEX(Model!$C$93:$CA$93,Model!$A69) + IF(wplyw_cen_import_wlaczony,'Tablica IO'!I303*INDEX(Model!$C$2:$CA$2,Model!$A69),'Tablica IO'!I303*1)</f>
        <v>5.3235477416373647E-2</v>
      </c>
      <c r="J69" s="222" cm="1">
        <f t="array" aca="1" ref="J69" ca="1">'Tablica IO'!J225*INDEX(Model!$C$93:$CA$93,Model!$A69) + IF(wplyw_cen_import_wlaczony,'Tablica IO'!J303*INDEX(Model!$C$2:$CA$2,Model!$A69),'Tablica IO'!J303*1)</f>
        <v>2.0177891310957527E-2</v>
      </c>
      <c r="K69" s="222" cm="1">
        <f t="array" aca="1" ref="K69" ca="1">'Tablica IO'!K225*INDEX(Model!$C$93:$CA$93,Model!$A69) + IF(wplyw_cen_import_wlaczony,'Tablica IO'!K303*INDEX(Model!$C$2:$CA$2,Model!$A69),'Tablica IO'!K303*1)</f>
        <v>3.3011686166414919E-3</v>
      </c>
      <c r="L69" s="222" cm="1">
        <f t="array" aca="1" ref="L69" ca="1">'Tablica IO'!L225*INDEX(Model!$C$93:$CA$93,Model!$A69) + IF(wplyw_cen_import_wlaczony,'Tablica IO'!L303*INDEX(Model!$C$2:$CA$2,Model!$A69),'Tablica IO'!L303*1)</f>
        <v>7.5338398778902072E-3</v>
      </c>
      <c r="M69" s="222" cm="1">
        <f t="array" aca="1" ref="M69" ca="1">'Tablica IO'!M225*INDEX(Model!$C$93:$CA$93,Model!$A69) + IF(wplyw_cen_import_wlaczony,'Tablica IO'!M303*INDEX(Model!$C$2:$CA$2,Model!$A69),'Tablica IO'!M303*1)</f>
        <v>3.2532048781408265E-3</v>
      </c>
      <c r="N69" s="222" cm="1">
        <f t="array" aca="1" ref="N69" ca="1">'Tablica IO'!N225*INDEX(Model!$C$93:$CA$93,Model!$A69) + IF(wplyw_cen_import_wlaczony,'Tablica IO'!N303*INDEX(Model!$C$2:$CA$2,Model!$A69),'Tablica IO'!N303*1)</f>
        <v>1.4934797953629305E-3</v>
      </c>
      <c r="O69" s="222" cm="1">
        <f t="array" aca="1" ref="O69" ca="1">'Tablica IO'!O225*INDEX(Model!$C$93:$CA$93,Model!$A69) + IF(wplyw_cen_import_wlaczony,'Tablica IO'!O303*INDEX(Model!$C$2:$CA$2,Model!$A69),'Tablica IO'!O303*1)</f>
        <v>5.2471980572477844E-3</v>
      </c>
      <c r="P69" s="222" cm="1">
        <f t="array" aca="1" ref="P69" ca="1">'Tablica IO'!P225*INDEX(Model!$C$93:$CA$93,Model!$A69) + IF(wplyw_cen_import_wlaczony,'Tablica IO'!P303*INDEX(Model!$C$2:$CA$2,Model!$A69),'Tablica IO'!P303*1)</f>
        <v>5.0649321588725387E-3</v>
      </c>
      <c r="Q69" s="222" cm="1">
        <f t="array" aca="1" ref="Q69" ca="1">'Tablica IO'!Q225*INDEX(Model!$C$93:$CA$93,Model!$A69) + IF(wplyw_cen_import_wlaczony,'Tablica IO'!Q303*INDEX(Model!$C$2:$CA$2,Model!$A69),'Tablica IO'!Q303*1)</f>
        <v>1.3250283617106577E-3</v>
      </c>
      <c r="R69" s="222" cm="1">
        <f t="array" aca="1" ref="R69" ca="1">'Tablica IO'!R225*INDEX(Model!$C$93:$CA$93,Model!$A69) + IF(wplyw_cen_import_wlaczony,'Tablica IO'!R303*INDEX(Model!$C$2:$CA$2,Model!$A69),'Tablica IO'!R303*1)</f>
        <v>5.210018939354355E-3</v>
      </c>
      <c r="S69" s="222" cm="1">
        <f t="array" aca="1" ref="S69" ca="1">'Tablica IO'!S225*INDEX(Model!$C$93:$CA$93,Model!$A69) + IF(wplyw_cen_import_wlaczony,'Tablica IO'!S303*INDEX(Model!$C$2:$CA$2,Model!$A69),'Tablica IO'!S303*1)</f>
        <v>6.9153762400144286E-2</v>
      </c>
      <c r="T69" s="222" cm="1">
        <f t="array" aca="1" ref="T69" ca="1">'Tablica IO'!T225*INDEX(Model!$C$93:$CA$93,Model!$A69) + IF(wplyw_cen_import_wlaczony,'Tablica IO'!T303*INDEX(Model!$C$2:$CA$2,Model!$A69),'Tablica IO'!T303*1)</f>
        <v>3.0252079524749819E-3</v>
      </c>
      <c r="U69" s="222" cm="1">
        <f t="array" aca="1" ref="U69" ca="1">'Tablica IO'!U225*INDEX(Model!$C$93:$CA$93,Model!$A69) + IF(wplyw_cen_import_wlaczony,'Tablica IO'!U303*INDEX(Model!$C$2:$CA$2,Model!$A69),'Tablica IO'!U303*1)</f>
        <v>4.9016966821080589E-3</v>
      </c>
      <c r="V69" s="222" cm="1">
        <f t="array" aca="1" ref="V69" ca="1">'Tablica IO'!V225*INDEX(Model!$C$93:$CA$93,Model!$A69) + IF(wplyw_cen_import_wlaczony,'Tablica IO'!V303*INDEX(Model!$C$2:$CA$2,Model!$A69),'Tablica IO'!V303*1)</f>
        <v>2.5385829754961723E-3</v>
      </c>
      <c r="W69" s="222" cm="1">
        <f t="array" aca="1" ref="W69" ca="1">'Tablica IO'!W225*INDEX(Model!$C$93:$CA$93,Model!$A69) + IF(wplyw_cen_import_wlaczony,'Tablica IO'!W303*INDEX(Model!$C$2:$CA$2,Model!$A69),'Tablica IO'!W303*1)</f>
        <v>5.5081079573516146E-3</v>
      </c>
      <c r="X69" s="222" cm="1">
        <f t="array" aca="1" ref="X69" ca="1">'Tablica IO'!X225*INDEX(Model!$C$93:$CA$93,Model!$A69) + IF(wplyw_cen_import_wlaczony,'Tablica IO'!X303*INDEX(Model!$C$2:$CA$2,Model!$A69),'Tablica IO'!X303*1)</f>
        <v>1.0156077234388283E-3</v>
      </c>
      <c r="Y69" s="222" cm="1">
        <f t="array" aca="1" ref="Y69" ca="1">'Tablica IO'!Y225*INDEX(Model!$C$93:$CA$93,Model!$A69) + IF(wplyw_cen_import_wlaczony,'Tablica IO'!Y303*INDEX(Model!$C$2:$CA$2,Model!$A69),'Tablica IO'!Y303*1)</f>
        <v>1.0559861881959285E-2</v>
      </c>
      <c r="Z69" s="222" cm="1">
        <f t="array" aca="1" ref="Z69" ca="1">'Tablica IO'!Z225*INDEX(Model!$C$93:$CA$93,Model!$A69) + IF(wplyw_cen_import_wlaczony,'Tablica IO'!Z303*INDEX(Model!$C$2:$CA$2,Model!$A69),'Tablica IO'!Z303*1)</f>
        <v>2.6540992043315908E-3</v>
      </c>
      <c r="AA69" s="222" cm="1">
        <f t="array" aca="1" ref="AA69" ca="1">'Tablica IO'!AA225*INDEX(Model!$C$93:$CA$93,Model!$A69) + IF(wplyw_cen_import_wlaczony,'Tablica IO'!AA303*INDEX(Model!$C$2:$CA$2,Model!$A69),'Tablica IO'!AA303*1)</f>
        <v>5.4039213183875356E-4</v>
      </c>
      <c r="AB69" s="222" cm="1">
        <f t="array" aca="1" ref="AB69" ca="1">'Tablica IO'!AB225*INDEX(Model!$C$93:$CA$93,Model!$A69) + IF(wplyw_cen_import_wlaczony,'Tablica IO'!AB303*INDEX(Model!$C$2:$CA$2,Model!$A69),'Tablica IO'!AB303*1)</f>
        <v>1.3442704160836183E-2</v>
      </c>
      <c r="AC69" s="222" cm="1">
        <f t="array" aca="1" ref="AC69" ca="1">'Tablica IO'!AC225*INDEX(Model!$C$93:$CA$93,Model!$A69) + IF(wplyw_cen_import_wlaczony,'Tablica IO'!AC303*INDEX(Model!$C$2:$CA$2,Model!$A69),'Tablica IO'!AC303*1)</f>
        <v>5.3686112271233606E-3</v>
      </c>
      <c r="AD69" s="222" cm="1">
        <f t="array" aca="1" ref="AD69" ca="1">'Tablica IO'!AD225*INDEX(Model!$C$93:$CA$93,Model!$A69) + IF(wplyw_cen_import_wlaczony,'Tablica IO'!AD303*INDEX(Model!$C$2:$CA$2,Model!$A69),'Tablica IO'!AD303*1)</f>
        <v>3.9812831908476566E-3</v>
      </c>
      <c r="AE69" s="222" cm="1">
        <f t="array" aca="1" ref="AE69" ca="1">'Tablica IO'!AE225*INDEX(Model!$C$93:$CA$93,Model!$A69) + IF(wplyw_cen_import_wlaczony,'Tablica IO'!AE303*INDEX(Model!$C$2:$CA$2,Model!$A69),'Tablica IO'!AE303*1)</f>
        <v>5.1429547980178642E-4</v>
      </c>
      <c r="AF69" s="222" cm="1">
        <f t="array" aca="1" ref="AF69" ca="1">'Tablica IO'!AF225*INDEX(Model!$C$93:$CA$93,Model!$A69) + IF(wplyw_cen_import_wlaczony,'Tablica IO'!AF303*INDEX(Model!$C$2:$CA$2,Model!$A69),'Tablica IO'!AF303*1)</f>
        <v>2.0115680683896009E-3</v>
      </c>
      <c r="AG69" s="222" cm="1">
        <f t="array" aca="1" ref="AG69" ca="1">'Tablica IO'!AG225*INDEX(Model!$C$93:$CA$93,Model!$A69) + IF(wplyw_cen_import_wlaczony,'Tablica IO'!AG303*INDEX(Model!$C$2:$CA$2,Model!$A69),'Tablica IO'!AG303*1)</f>
        <v>2.7553025151068659E-3</v>
      </c>
      <c r="AH69" s="222" cm="1">
        <f t="array" aca="1" ref="AH69" ca="1">'Tablica IO'!AH225*INDEX(Model!$C$93:$CA$93,Model!$A69) + IF(wplyw_cen_import_wlaczony,'Tablica IO'!AH303*INDEX(Model!$C$2:$CA$2,Model!$A69),'Tablica IO'!AH303*1)</f>
        <v>5.505264303942544E-3</v>
      </c>
      <c r="AI69" s="222" cm="1">
        <f t="array" aca="1" ref="AI69" ca="1">'Tablica IO'!AI225*INDEX(Model!$C$93:$CA$93,Model!$A69) + IF(wplyw_cen_import_wlaczony,'Tablica IO'!AI303*INDEX(Model!$C$2:$CA$2,Model!$A69),'Tablica IO'!AI303*1)</f>
        <v>2.655725394336979E-4</v>
      </c>
      <c r="AJ69" s="222" cm="1">
        <f t="array" aca="1" ref="AJ69" ca="1">'Tablica IO'!AJ225*INDEX(Model!$C$93:$CA$93,Model!$A69) + IF(wplyw_cen_import_wlaczony,'Tablica IO'!AJ303*INDEX(Model!$C$2:$CA$2,Model!$A69),'Tablica IO'!AJ303*1)</f>
        <v>2.8348112619272885E-3</v>
      </c>
      <c r="AK69" s="222" cm="1">
        <f t="array" aca="1" ref="AK69" ca="1">'Tablica IO'!AK225*INDEX(Model!$C$93:$CA$93,Model!$A69) + IF(wplyw_cen_import_wlaczony,'Tablica IO'!AK303*INDEX(Model!$C$2:$CA$2,Model!$A69),'Tablica IO'!AK303*1)</f>
        <v>1.9804001271289062E-2</v>
      </c>
      <c r="AL69" s="222" cm="1">
        <f t="array" aca="1" ref="AL69" ca="1">'Tablica IO'!AL225*INDEX(Model!$C$93:$CA$93,Model!$A69) + IF(wplyw_cen_import_wlaczony,'Tablica IO'!AL303*INDEX(Model!$C$2:$CA$2,Model!$A69),'Tablica IO'!AL303*1)</f>
        <v>2.5999481783094445E-2</v>
      </c>
      <c r="AM69" s="222" cm="1">
        <f t="array" aca="1" ref="AM69" ca="1">'Tablica IO'!AM225*INDEX(Model!$C$93:$CA$93,Model!$A69) + IF(wplyw_cen_import_wlaczony,'Tablica IO'!AM303*INDEX(Model!$C$2:$CA$2,Model!$A69),'Tablica IO'!AM303*1)</f>
        <v>4.4092623928428673E-3</v>
      </c>
      <c r="AN69" s="222" cm="1">
        <f t="array" aca="1" ref="AN69" ca="1">'Tablica IO'!AN225*INDEX(Model!$C$93:$CA$93,Model!$A69) + IF(wplyw_cen_import_wlaczony,'Tablica IO'!AN303*INDEX(Model!$C$2:$CA$2,Model!$A69),'Tablica IO'!AN303*1)</f>
        <v>1.9285390427996908E-3</v>
      </c>
      <c r="AO69" s="222" cm="1">
        <f t="array" aca="1" ref="AO69" ca="1">'Tablica IO'!AO225*INDEX(Model!$C$93:$CA$93,Model!$A69) + IF(wplyw_cen_import_wlaczony,'Tablica IO'!AO303*INDEX(Model!$C$2:$CA$2,Model!$A69),'Tablica IO'!AO303*1)</f>
        <v>1.5994815188993922E-3</v>
      </c>
      <c r="AP69" s="222" cm="1">
        <f t="array" aca="1" ref="AP69" ca="1">'Tablica IO'!AP225*INDEX(Model!$C$93:$CA$93,Model!$A69) + IF(wplyw_cen_import_wlaczony,'Tablica IO'!AP303*INDEX(Model!$C$2:$CA$2,Model!$A69),'Tablica IO'!AP303*1)</f>
        <v>1.3331014829559553E-3</v>
      </c>
      <c r="AQ69" s="222" cm="1">
        <f t="array" aca="1" ref="AQ69" ca="1">'Tablica IO'!AQ225*INDEX(Model!$C$93:$CA$93,Model!$A69) + IF(wplyw_cen_import_wlaczony,'Tablica IO'!AQ303*INDEX(Model!$C$2:$CA$2,Model!$A69),'Tablica IO'!AQ303*1)</f>
        <v>1.0538880630307029E-2</v>
      </c>
      <c r="AR69" s="222" cm="1">
        <f t="array" aca="1" ref="AR69" ca="1">'Tablica IO'!AR225*INDEX(Model!$C$93:$CA$93,Model!$A69) + IF(wplyw_cen_import_wlaczony,'Tablica IO'!AR303*INDEX(Model!$C$2:$CA$2,Model!$A69),'Tablica IO'!AR303*1)</f>
        <v>7.7312739683237132E-3</v>
      </c>
      <c r="AS69" s="222" cm="1">
        <f t="array" aca="1" ref="AS69" ca="1">'Tablica IO'!AS225*INDEX(Model!$C$93:$CA$93,Model!$A69) + IF(wplyw_cen_import_wlaczony,'Tablica IO'!AS303*INDEX(Model!$C$2:$CA$2,Model!$A69),'Tablica IO'!AS303*1)</f>
        <v>1.5901231594856364E-2</v>
      </c>
      <c r="AT69" s="222" cm="1">
        <f t="array" aca="1" ref="AT69" ca="1">'Tablica IO'!AT225*INDEX(Model!$C$93:$CA$93,Model!$A69) + IF(wplyw_cen_import_wlaczony,'Tablica IO'!AT303*INDEX(Model!$C$2:$CA$2,Model!$A69),'Tablica IO'!AT303*1)</f>
        <v>8.4293221068334506E-2</v>
      </c>
      <c r="AU69" s="222" cm="1">
        <f t="array" aca="1" ref="AU69" ca="1">'Tablica IO'!AU225*INDEX(Model!$C$93:$CA$93,Model!$A69) + IF(wplyw_cen_import_wlaczony,'Tablica IO'!AU303*INDEX(Model!$C$2:$CA$2,Model!$A69),'Tablica IO'!AU303*1)</f>
        <v>2.9346940993509236E-3</v>
      </c>
      <c r="AV69" s="222" cm="1">
        <f t="array" aca="1" ref="AV69" ca="1">'Tablica IO'!AV225*INDEX(Model!$C$93:$CA$93,Model!$A69) + IF(wplyw_cen_import_wlaczony,'Tablica IO'!AV303*INDEX(Model!$C$2:$CA$2,Model!$A69),'Tablica IO'!AV303*1)</f>
        <v>5.2057529318023675E-2</v>
      </c>
      <c r="AW69" s="222" cm="1">
        <f t="array" aca="1" ref="AW69" ca="1">'Tablica IO'!AW225*INDEX(Model!$C$93:$CA$93,Model!$A69) + IF(wplyw_cen_import_wlaczony,'Tablica IO'!AW303*INDEX(Model!$C$2:$CA$2,Model!$A69),'Tablica IO'!AW303*1)</f>
        <v>1.7552092725074755E-2</v>
      </c>
      <c r="AX69" s="222" cm="1">
        <f t="array" aca="1" ref="AX69" ca="1">'Tablica IO'!AX225*INDEX(Model!$C$93:$CA$93,Model!$A69) + IF(wplyw_cen_import_wlaczony,'Tablica IO'!AX303*INDEX(Model!$C$2:$CA$2,Model!$A69),'Tablica IO'!AX303*1)</f>
        <v>2.0550409975962008E-2</v>
      </c>
      <c r="AY69" s="222" cm="1">
        <f t="array" aca="1" ref="AY69" ca="1">'Tablica IO'!AY225*INDEX(Model!$C$93:$CA$93,Model!$A69) + IF(wplyw_cen_import_wlaczony,'Tablica IO'!AY303*INDEX(Model!$C$2:$CA$2,Model!$A69),'Tablica IO'!AY303*1)</f>
        <v>5.5898610500704909E-3</v>
      </c>
      <c r="AZ69" s="222" cm="1">
        <f t="array" aca="1" ref="AZ69" ca="1">'Tablica IO'!AZ225*INDEX(Model!$C$93:$CA$93,Model!$A69) + IF(wplyw_cen_import_wlaczony,'Tablica IO'!AZ303*INDEX(Model!$C$2:$CA$2,Model!$A69),'Tablica IO'!AZ303*1)</f>
        <v>5.070172257816751E-3</v>
      </c>
      <c r="BA69" s="222" cm="1">
        <f t="array" aca="1" ref="BA69" ca="1">'Tablica IO'!BA225*INDEX(Model!$C$93:$CA$93,Model!$A69) + IF(wplyw_cen_import_wlaczony,'Tablica IO'!BA303*INDEX(Model!$C$2:$CA$2,Model!$A69),'Tablica IO'!BA303*1)</f>
        <v>1.8895864128081228E-2</v>
      </c>
      <c r="BB69" s="222" cm="1">
        <f t="array" aca="1" ref="BB69" ca="1">'Tablica IO'!BB225*INDEX(Model!$C$93:$CA$93,Model!$A69) + IF(wplyw_cen_import_wlaczony,'Tablica IO'!BB303*INDEX(Model!$C$2:$CA$2,Model!$A69),'Tablica IO'!BB303*1)</f>
        <v>2.1204235315984868E-3</v>
      </c>
      <c r="BC69" s="222" cm="1">
        <f t="array" aca="1" ref="BC69" ca="1">'Tablica IO'!BC225*INDEX(Model!$C$93:$CA$93,Model!$A69) + IF(wplyw_cen_import_wlaczony,'Tablica IO'!BC303*INDEX(Model!$C$2:$CA$2,Model!$A69),'Tablica IO'!BC303*1)</f>
        <v>6.6424000694815192E-3</v>
      </c>
      <c r="BD69" s="222" cm="1">
        <f t="array" aca="1" ref="BD69" ca="1">'Tablica IO'!BD225*INDEX(Model!$C$93:$CA$93,Model!$A69) + IF(wplyw_cen_import_wlaczony,'Tablica IO'!BD303*INDEX(Model!$C$2:$CA$2,Model!$A69),'Tablica IO'!BD303*1)</f>
        <v>2.5332629068645349E-2</v>
      </c>
      <c r="BE69" s="222" cm="1">
        <f t="array" aca="1" ref="BE69" ca="1">'Tablica IO'!BE225*INDEX(Model!$C$93:$CA$93,Model!$A69) + IF(wplyw_cen_import_wlaczony,'Tablica IO'!BE303*INDEX(Model!$C$2:$CA$2,Model!$A69),'Tablica IO'!BE303*1)</f>
        <v>7.1649161336563246E-4</v>
      </c>
      <c r="BF69" s="222" cm="1">
        <f t="array" aca="1" ref="BF69" ca="1">'Tablica IO'!BF225*INDEX(Model!$C$93:$CA$93,Model!$A69) + IF(wplyw_cen_import_wlaczony,'Tablica IO'!BF303*INDEX(Model!$C$2:$CA$2,Model!$A69),'Tablica IO'!BF303*1)</f>
        <v>2.3550262860912346E-3</v>
      </c>
      <c r="BG69" s="222" cm="1">
        <f t="array" aca="1" ref="BG69" ca="1">'Tablica IO'!BG225*INDEX(Model!$C$93:$CA$93,Model!$A69) + IF(wplyw_cen_import_wlaczony,'Tablica IO'!BG303*INDEX(Model!$C$2:$CA$2,Model!$A69),'Tablica IO'!BG303*1)</f>
        <v>0.43858413372548444</v>
      </c>
      <c r="BH69" s="222" cm="1">
        <f t="array" aca="1" ref="BH69" ca="1">'Tablica IO'!BH225*INDEX(Model!$C$93:$CA$93,Model!$A69) + IF(wplyw_cen_import_wlaczony,'Tablica IO'!BH303*INDEX(Model!$C$2:$CA$2,Model!$A69),'Tablica IO'!BH303*1)</f>
        <v>3.3825395372038922E-2</v>
      </c>
      <c r="BI69" s="222" cm="1">
        <f t="array" aca="1" ref="BI69" ca="1">'Tablica IO'!BI225*INDEX(Model!$C$93:$CA$93,Model!$A69) + IF(wplyw_cen_import_wlaczony,'Tablica IO'!BI303*INDEX(Model!$C$2:$CA$2,Model!$A69),'Tablica IO'!BI303*1)</f>
        <v>0</v>
      </c>
      <c r="BJ69" s="222" cm="1">
        <f t="array" aca="1" ref="BJ69" ca="1">'Tablica IO'!BJ225*INDEX(Model!$C$93:$CA$93,Model!$A69) + IF(wplyw_cen_import_wlaczony,'Tablica IO'!BJ303*INDEX(Model!$C$2:$CA$2,Model!$A69),'Tablica IO'!BJ303*1)</f>
        <v>1.0582261146333642E-2</v>
      </c>
      <c r="BK69" s="222" cm="1">
        <f t="array" aca="1" ref="BK69" ca="1">'Tablica IO'!BK225*INDEX(Model!$C$93:$CA$93,Model!$A69) + IF(wplyw_cen_import_wlaczony,'Tablica IO'!BK303*INDEX(Model!$C$2:$CA$2,Model!$A69),'Tablica IO'!BK303*1)</f>
        <v>4.1230979807427726E-3</v>
      </c>
      <c r="BL69" s="222" cm="1">
        <f t="array" aca="1" ref="BL69" ca="1">'Tablica IO'!BL225*INDEX(Model!$C$93:$CA$93,Model!$A69) + IF(wplyw_cen_import_wlaczony,'Tablica IO'!BL303*INDEX(Model!$C$2:$CA$2,Model!$A69),'Tablica IO'!BL303*1)</f>
        <v>1.2805391255954946E-2</v>
      </c>
      <c r="BM69" s="222" cm="1">
        <f t="array" aca="1" ref="BM69" ca="1">'Tablica IO'!BM225*INDEX(Model!$C$93:$CA$93,Model!$A69) + IF(wplyw_cen_import_wlaczony,'Tablica IO'!BM303*INDEX(Model!$C$2:$CA$2,Model!$A69),'Tablica IO'!BM303*1)</f>
        <v>3.8959799964019839E-3</v>
      </c>
      <c r="BN69" s="222" cm="1">
        <f t="array" aca="1" ref="BN69" ca="1">'Tablica IO'!BN225*INDEX(Model!$C$93:$CA$93,Model!$A69) + IF(wplyw_cen_import_wlaczony,'Tablica IO'!BN303*INDEX(Model!$C$2:$CA$2,Model!$A69),'Tablica IO'!BN303*1)</f>
        <v>2.0262149278663902E-3</v>
      </c>
      <c r="BO69" s="222" cm="1">
        <f t="array" aca="1" ref="BO69" ca="1">'Tablica IO'!BO225*INDEX(Model!$C$93:$CA$93,Model!$A69) + IF(wplyw_cen_import_wlaczony,'Tablica IO'!BO303*INDEX(Model!$C$2:$CA$2,Model!$A69),'Tablica IO'!BO303*1)</f>
        <v>3.7473861317668403E-2</v>
      </c>
      <c r="BP69" s="222" cm="1">
        <f t="array" aca="1" ref="BP69" ca="1">'Tablica IO'!BP225*INDEX(Model!$C$93:$CA$93,Model!$A69) + IF(wplyw_cen_import_wlaczony,'Tablica IO'!BP303*INDEX(Model!$C$2:$CA$2,Model!$A69),'Tablica IO'!BP303*1)</f>
        <v>1.7950508223563985E-3</v>
      </c>
      <c r="BQ69" s="222" cm="1">
        <f t="array" aca="1" ref="BQ69" ca="1">'Tablica IO'!BQ225*INDEX(Model!$C$93:$CA$93,Model!$A69) + IF(wplyw_cen_import_wlaczony,'Tablica IO'!BQ303*INDEX(Model!$C$2:$CA$2,Model!$A69),'Tablica IO'!BQ303*1)</f>
        <v>3.0285803588737279E-3</v>
      </c>
      <c r="BR69" s="222" cm="1">
        <f t="array" aca="1" ref="BR69" ca="1">'Tablica IO'!BR225*INDEX(Model!$C$93:$CA$93,Model!$A69) + IF(wplyw_cen_import_wlaczony,'Tablica IO'!BR303*INDEX(Model!$C$2:$CA$2,Model!$A69),'Tablica IO'!BR303*1)</f>
        <v>2.8118912030675484E-3</v>
      </c>
      <c r="BS69" s="222" cm="1">
        <f t="array" aca="1" ref="BS69" ca="1">'Tablica IO'!BS225*INDEX(Model!$C$93:$CA$93,Model!$A69) + IF(wplyw_cen_import_wlaczony,'Tablica IO'!BS303*INDEX(Model!$C$2:$CA$2,Model!$A69),'Tablica IO'!BS303*1)</f>
        <v>8.3674617492700011E-5</v>
      </c>
      <c r="BT69" s="222" cm="1">
        <f t="array" aca="1" ref="BT69" ca="1">'Tablica IO'!BT225*INDEX(Model!$C$93:$CA$93,Model!$A69) + IF(wplyw_cen_import_wlaczony,'Tablica IO'!BT303*INDEX(Model!$C$2:$CA$2,Model!$A69),'Tablica IO'!BT303*1)</f>
        <v>1.0860257825002677E-2</v>
      </c>
      <c r="BU69" s="222" cm="1">
        <f t="array" aca="1" ref="BU69" ca="1">'Tablica IO'!BU225*INDEX(Model!$C$93:$CA$93,Model!$A69) + IF(wplyw_cen_import_wlaczony,'Tablica IO'!BU303*INDEX(Model!$C$2:$CA$2,Model!$A69),'Tablica IO'!BU303*1)</f>
        <v>3.9939539295747364E-3</v>
      </c>
      <c r="BV69" s="222" cm="1">
        <f t="array" aca="1" ref="BV69" ca="1">'Tablica IO'!BV225*INDEX(Model!$C$93:$CA$93,Model!$A69) + IF(wplyw_cen_import_wlaczony,'Tablica IO'!BV303*INDEX(Model!$C$2:$CA$2,Model!$A69),'Tablica IO'!BV303*1)</f>
        <v>9.2327349571738777E-3</v>
      </c>
      <c r="BW69" s="222" cm="1">
        <f t="array" aca="1" ref="BW69" ca="1">'Tablica IO'!BW225*INDEX(Model!$C$93:$CA$93,Model!$A69) + IF(wplyw_cen_import_wlaczony,'Tablica IO'!BW303*INDEX(Model!$C$2:$CA$2,Model!$A69),'Tablica IO'!BW303*1)</f>
        <v>5.0660784994015226E-3</v>
      </c>
      <c r="BX69" s="222" cm="1">
        <f t="array" aca="1" ref="BX69" ca="1">'Tablica IO'!BX225*INDEX(Model!$C$93:$CA$93,Model!$A69) + IF(wplyw_cen_import_wlaczony,'Tablica IO'!BX303*INDEX(Model!$C$2:$CA$2,Model!$A69),'Tablica IO'!BX303*1)</f>
        <v>1.0635661144968351E-3</v>
      </c>
      <c r="BY69" s="222" cm="1">
        <f t="array" aca="1" ref="BY69" ca="1">'Tablica IO'!BY225*INDEX(Model!$C$93:$CA$93,Model!$A69) + IF(wplyw_cen_import_wlaczony,'Tablica IO'!BY303*INDEX(Model!$C$2:$CA$2,Model!$A69),'Tablica IO'!BY303*1)</f>
        <v>4.7922216979797821E-4</v>
      </c>
      <c r="BZ69" s="222" cm="1">
        <f t="array" aca="1" ref="BZ69" ca="1">'Tablica IO'!BZ225*INDEX(Model!$C$93:$CA$93,Model!$A69) + IF(wplyw_cen_import_wlaczony,'Tablica IO'!BZ303*INDEX(Model!$C$2:$CA$2,Model!$A69),'Tablica IO'!BZ303*1)</f>
        <v>6.0203341020644311E-3</v>
      </c>
      <c r="CA69" s="222" cm="1">
        <f t="array" aca="1" ref="CA69" ca="1">'Tablica IO'!CA225*INDEX(Model!$C$93:$CA$93,Model!$A69) + IF(wplyw_cen_import_wlaczony,'Tablica IO'!CA303*INDEX(Model!$C$2:$CA$2,Model!$A69),'Tablica IO'!CA303*1)</f>
        <v>0</v>
      </c>
      <c r="CB69" s="247">
        <f ca="1">'Tablica IO'!CD225*INDEX(Model!$C$93:$CA$93,Model!$A69)+'Tablica IO'!CD303*INDEX(Model!$C$2:$CA$2,Model!$A69)</f>
        <v>0</v>
      </c>
      <c r="CC69" s="188">
        <f ca="1">'Tablica IO'!CE225*INDEX(Model!$C$93:$CA$93,Model!$A69)+'Tablica IO'!CE303*INDEX(Model!$C$2:$CA$2,Model!$A69)</f>
        <v>0</v>
      </c>
      <c r="CD69" s="188">
        <f ca="1">'Tablica IO'!CF225*INDEX(Model!$C$93:$CA$93,Model!$A69)+'Tablica IO'!CF303*INDEX(Model!$C$2:$CA$2,Model!$A69)</f>
        <v>1.0029277051339034E-5</v>
      </c>
      <c r="CE69" s="189">
        <f ca="1">'Tablica IO'!CG225*INDEX(Model!$C$93:$CA$93,Model!$A69)+'Tablica IO'!CG303*INDEX(Model!$C$2:$CA$2,Model!$A69)</f>
        <v>8.4204579280587628E-3</v>
      </c>
    </row>
    <row r="70" spans="1:83" x14ac:dyDescent="0.25">
      <c r="A70" s="164">
        <v>58</v>
      </c>
      <c r="B70" s="172" t="s">
        <v>57</v>
      </c>
      <c r="C70" s="221" cm="1">
        <f t="array" aca="1" ref="C70" ca="1">'Tablica IO'!C226*INDEX(Model!$C$93:$CA$93,Model!$A70) + IF(wplyw_cen_import_wlaczony,'Tablica IO'!C304*INDEX(Model!$C$2:$CA$2,Model!$A70),'Tablica IO'!C304*1)</f>
        <v>4.4224933870257003E-4</v>
      </c>
      <c r="D70" s="222" cm="1">
        <f t="array" aca="1" ref="D70" ca="1">'Tablica IO'!D226*INDEX(Model!$C$93:$CA$93,Model!$A70) + IF(wplyw_cen_import_wlaczony,'Tablica IO'!D304*INDEX(Model!$C$2:$CA$2,Model!$A70),'Tablica IO'!D304*1)</f>
        <v>3.0010954635581446E-3</v>
      </c>
      <c r="E70" s="222" cm="1">
        <f t="array" aca="1" ref="E70" ca="1">'Tablica IO'!E226*INDEX(Model!$C$93:$CA$93,Model!$A70) + IF(wplyw_cen_import_wlaczony,'Tablica IO'!E304*INDEX(Model!$C$2:$CA$2,Model!$A70),'Tablica IO'!E304*1)</f>
        <v>1.7492479895214455E-3</v>
      </c>
      <c r="F70" s="222" cm="1">
        <f t="array" aca="1" ref="F70" ca="1">'Tablica IO'!F226*INDEX(Model!$C$93:$CA$93,Model!$A70) + IF(wplyw_cen_import_wlaczony,'Tablica IO'!F304*INDEX(Model!$C$2:$CA$2,Model!$A70),'Tablica IO'!F304*1)</f>
        <v>9.7147649818118216E-4</v>
      </c>
      <c r="G70" s="222" cm="1">
        <f t="array" aca="1" ref="G70" ca="1">'Tablica IO'!G226*INDEX(Model!$C$93:$CA$93,Model!$A70) + IF(wplyw_cen_import_wlaczony,'Tablica IO'!G304*INDEX(Model!$C$2:$CA$2,Model!$A70),'Tablica IO'!G304*1)</f>
        <v>5.6319655236658443E-3</v>
      </c>
      <c r="H70" s="222" cm="1">
        <f t="array" aca="1" ref="H70" ca="1">'Tablica IO'!H226*INDEX(Model!$C$93:$CA$93,Model!$A70) + IF(wplyw_cen_import_wlaczony,'Tablica IO'!H304*INDEX(Model!$C$2:$CA$2,Model!$A70),'Tablica IO'!H304*1)</f>
        <v>1.4303781022917132E-3</v>
      </c>
      <c r="I70" s="222" cm="1">
        <f t="array" aca="1" ref="I70" ca="1">'Tablica IO'!I226*INDEX(Model!$C$93:$CA$93,Model!$A70) + IF(wplyw_cen_import_wlaczony,'Tablica IO'!I304*INDEX(Model!$C$2:$CA$2,Model!$A70),'Tablica IO'!I304*1)</f>
        <v>4.679820041914801E-3</v>
      </c>
      <c r="J70" s="222" cm="1">
        <f t="array" aca="1" ref="J70" ca="1">'Tablica IO'!J226*INDEX(Model!$C$93:$CA$93,Model!$A70) + IF(wplyw_cen_import_wlaczony,'Tablica IO'!J304*INDEX(Model!$C$2:$CA$2,Model!$A70),'Tablica IO'!J304*1)</f>
        <v>2.8333361987584573E-3</v>
      </c>
      <c r="K70" s="222" cm="1">
        <f t="array" aca="1" ref="K70" ca="1">'Tablica IO'!K226*INDEX(Model!$C$93:$CA$93,Model!$A70) + IF(wplyw_cen_import_wlaczony,'Tablica IO'!K304*INDEX(Model!$C$2:$CA$2,Model!$A70),'Tablica IO'!K304*1)</f>
        <v>3.9360377676379557E-3</v>
      </c>
      <c r="L70" s="222" cm="1">
        <f t="array" aca="1" ref="L70" ca="1">'Tablica IO'!L226*INDEX(Model!$C$93:$CA$93,Model!$A70) + IF(wplyw_cen_import_wlaczony,'Tablica IO'!L304*INDEX(Model!$C$2:$CA$2,Model!$A70),'Tablica IO'!L304*1)</f>
        <v>8.4993026972097797E-3</v>
      </c>
      <c r="M70" s="222" cm="1">
        <f t="array" aca="1" ref="M70" ca="1">'Tablica IO'!M226*INDEX(Model!$C$93:$CA$93,Model!$A70) + IF(wplyw_cen_import_wlaczony,'Tablica IO'!M304*INDEX(Model!$C$2:$CA$2,Model!$A70),'Tablica IO'!M304*1)</f>
        <v>7.1383915744662656E-4</v>
      </c>
      <c r="N70" s="222" cm="1">
        <f t="array" aca="1" ref="N70" ca="1">'Tablica IO'!N226*INDEX(Model!$C$93:$CA$93,Model!$A70) + IF(wplyw_cen_import_wlaczony,'Tablica IO'!N304*INDEX(Model!$C$2:$CA$2,Model!$A70),'Tablica IO'!N304*1)</f>
        <v>2.4525680045191685E-3</v>
      </c>
      <c r="O70" s="222" cm="1">
        <f t="array" aca="1" ref="O70" ca="1">'Tablica IO'!O226*INDEX(Model!$C$93:$CA$93,Model!$A70) + IF(wplyw_cen_import_wlaczony,'Tablica IO'!O304*INDEX(Model!$C$2:$CA$2,Model!$A70),'Tablica IO'!O304*1)</f>
        <v>6.4549311158182128E-4</v>
      </c>
      <c r="P70" s="222" cm="1">
        <f t="array" aca="1" ref="P70" ca="1">'Tablica IO'!P226*INDEX(Model!$C$93:$CA$93,Model!$A70) + IF(wplyw_cen_import_wlaczony,'Tablica IO'!P304*INDEX(Model!$C$2:$CA$2,Model!$A70),'Tablica IO'!P304*1)</f>
        <v>7.0529079781690204E-3</v>
      </c>
      <c r="Q70" s="222" cm="1">
        <f t="array" aca="1" ref="Q70" ca="1">'Tablica IO'!Q226*INDEX(Model!$C$93:$CA$93,Model!$A70) + IF(wplyw_cen_import_wlaczony,'Tablica IO'!Q304*INDEX(Model!$C$2:$CA$2,Model!$A70),'Tablica IO'!Q304*1)</f>
        <v>1.7697800380951907E-3</v>
      </c>
      <c r="R70" s="222" cm="1">
        <f t="array" aca="1" ref="R70" ca="1">'Tablica IO'!R226*INDEX(Model!$C$93:$CA$93,Model!$A70) + IF(wplyw_cen_import_wlaczony,'Tablica IO'!R304*INDEX(Model!$C$2:$CA$2,Model!$A70),'Tablica IO'!R304*1)</f>
        <v>1.4750263816720353E-3</v>
      </c>
      <c r="S70" s="222" cm="1">
        <f t="array" aca="1" ref="S70" ca="1">'Tablica IO'!S226*INDEX(Model!$C$93:$CA$93,Model!$A70) + IF(wplyw_cen_import_wlaczony,'Tablica IO'!S304*INDEX(Model!$C$2:$CA$2,Model!$A70),'Tablica IO'!S304*1)</f>
        <v>5.6358395265544191E-3</v>
      </c>
      <c r="T70" s="222" cm="1">
        <f t="array" aca="1" ref="T70" ca="1">'Tablica IO'!T226*INDEX(Model!$C$93:$CA$93,Model!$A70) + IF(wplyw_cen_import_wlaczony,'Tablica IO'!T304*INDEX(Model!$C$2:$CA$2,Model!$A70),'Tablica IO'!T304*1)</f>
        <v>7.5833313491804367E-4</v>
      </c>
      <c r="U70" s="222" cm="1">
        <f t="array" aca="1" ref="U70" ca="1">'Tablica IO'!U226*INDEX(Model!$C$93:$CA$93,Model!$A70) + IF(wplyw_cen_import_wlaczony,'Tablica IO'!U304*INDEX(Model!$C$2:$CA$2,Model!$A70),'Tablica IO'!U304*1)</f>
        <v>5.1709888210000731E-4</v>
      </c>
      <c r="V70" s="222" cm="1">
        <f t="array" aca="1" ref="V70" ca="1">'Tablica IO'!V226*INDEX(Model!$C$93:$CA$93,Model!$A70) + IF(wplyw_cen_import_wlaczony,'Tablica IO'!V304*INDEX(Model!$C$2:$CA$2,Model!$A70),'Tablica IO'!V304*1)</f>
        <v>1.0557302631047649E-2</v>
      </c>
      <c r="W70" s="222" cm="1">
        <f t="array" aca="1" ref="W70" ca="1">'Tablica IO'!W226*INDEX(Model!$C$93:$CA$93,Model!$A70) + IF(wplyw_cen_import_wlaczony,'Tablica IO'!W304*INDEX(Model!$C$2:$CA$2,Model!$A70),'Tablica IO'!W304*1)</f>
        <v>1.2995360327120971E-3</v>
      </c>
      <c r="X70" s="222" cm="1">
        <f t="array" aca="1" ref="X70" ca="1">'Tablica IO'!X226*INDEX(Model!$C$93:$CA$93,Model!$A70) + IF(wplyw_cen_import_wlaczony,'Tablica IO'!X304*INDEX(Model!$C$2:$CA$2,Model!$A70),'Tablica IO'!X304*1)</f>
        <v>9.0051437217763533E-4</v>
      </c>
      <c r="Y70" s="222" cm="1">
        <f t="array" aca="1" ref="Y70" ca="1">'Tablica IO'!Y226*INDEX(Model!$C$93:$CA$93,Model!$A70) + IF(wplyw_cen_import_wlaczony,'Tablica IO'!Y304*INDEX(Model!$C$2:$CA$2,Model!$A70),'Tablica IO'!Y304*1)</f>
        <v>1.3968256124830152E-3</v>
      </c>
      <c r="Z70" s="222" cm="1">
        <f t="array" aca="1" ref="Z70" ca="1">'Tablica IO'!Z226*INDEX(Model!$C$93:$CA$93,Model!$A70) + IF(wplyw_cen_import_wlaczony,'Tablica IO'!Z304*INDEX(Model!$C$2:$CA$2,Model!$A70),'Tablica IO'!Z304*1)</f>
        <v>2.0203357667898324E-3</v>
      </c>
      <c r="AA70" s="222" cm="1">
        <f t="array" aca="1" ref="AA70" ca="1">'Tablica IO'!AA226*INDEX(Model!$C$93:$CA$93,Model!$A70) + IF(wplyw_cen_import_wlaczony,'Tablica IO'!AA304*INDEX(Model!$C$2:$CA$2,Model!$A70),'Tablica IO'!AA304*1)</f>
        <v>6.0608972676730777E-4</v>
      </c>
      <c r="AB70" s="222" cm="1">
        <f t="array" aca="1" ref="AB70" ca="1">'Tablica IO'!AB226*INDEX(Model!$C$93:$CA$93,Model!$A70) + IF(wplyw_cen_import_wlaczony,'Tablica IO'!AB304*INDEX(Model!$C$2:$CA$2,Model!$A70),'Tablica IO'!AB304*1)</f>
        <v>9.1927416595662185E-5</v>
      </c>
      <c r="AC70" s="222" cm="1">
        <f t="array" aca="1" ref="AC70" ca="1">'Tablica IO'!AC226*INDEX(Model!$C$93:$CA$93,Model!$A70) + IF(wplyw_cen_import_wlaczony,'Tablica IO'!AC304*INDEX(Model!$C$2:$CA$2,Model!$A70),'Tablica IO'!AC304*1)</f>
        <v>1.1762918515181608E-3</v>
      </c>
      <c r="AD70" s="222" cm="1">
        <f t="array" aca="1" ref="AD70" ca="1">'Tablica IO'!AD226*INDEX(Model!$C$93:$CA$93,Model!$A70) + IF(wplyw_cen_import_wlaczony,'Tablica IO'!AD304*INDEX(Model!$C$2:$CA$2,Model!$A70),'Tablica IO'!AD304*1)</f>
        <v>7.1055331287087618E-4</v>
      </c>
      <c r="AE70" s="222" cm="1">
        <f t="array" aca="1" ref="AE70" ca="1">'Tablica IO'!AE226*INDEX(Model!$C$93:$CA$93,Model!$A70) + IF(wplyw_cen_import_wlaczony,'Tablica IO'!AE304*INDEX(Model!$C$2:$CA$2,Model!$A70),'Tablica IO'!AE304*1)</f>
        <v>3.8969215617896441E-3</v>
      </c>
      <c r="AF70" s="222" cm="1">
        <f t="array" aca="1" ref="AF70" ca="1">'Tablica IO'!AF226*INDEX(Model!$C$93:$CA$93,Model!$A70) + IF(wplyw_cen_import_wlaczony,'Tablica IO'!AF304*INDEX(Model!$C$2:$CA$2,Model!$A70),'Tablica IO'!AF304*1)</f>
        <v>3.8870460670710036E-3</v>
      </c>
      <c r="AG70" s="222" cm="1">
        <f t="array" aca="1" ref="AG70" ca="1">'Tablica IO'!AG226*INDEX(Model!$C$93:$CA$93,Model!$A70) + IF(wplyw_cen_import_wlaczony,'Tablica IO'!AG304*INDEX(Model!$C$2:$CA$2,Model!$A70),'Tablica IO'!AG304*1)</f>
        <v>2.8677544805783203E-3</v>
      </c>
      <c r="AH70" s="222" cm="1">
        <f t="array" aca="1" ref="AH70" ca="1">'Tablica IO'!AH226*INDEX(Model!$C$93:$CA$93,Model!$A70) + IF(wplyw_cen_import_wlaczony,'Tablica IO'!AH304*INDEX(Model!$C$2:$CA$2,Model!$A70),'Tablica IO'!AH304*1)</f>
        <v>4.6535748750914417E-3</v>
      </c>
      <c r="AI70" s="222" cm="1">
        <f t="array" aca="1" ref="AI70" ca="1">'Tablica IO'!AI226*INDEX(Model!$C$93:$CA$93,Model!$A70) + IF(wplyw_cen_import_wlaczony,'Tablica IO'!AI304*INDEX(Model!$C$2:$CA$2,Model!$A70),'Tablica IO'!AI304*1)</f>
        <v>3.5444353724384573E-4</v>
      </c>
      <c r="AJ70" s="222" cm="1">
        <f t="array" aca="1" ref="AJ70" ca="1">'Tablica IO'!AJ226*INDEX(Model!$C$93:$CA$93,Model!$A70) + IF(wplyw_cen_import_wlaczony,'Tablica IO'!AJ304*INDEX(Model!$C$2:$CA$2,Model!$A70),'Tablica IO'!AJ304*1)</f>
        <v>4.19677992766254E-4</v>
      </c>
      <c r="AK70" s="222" cm="1">
        <f t="array" aca="1" ref="AK70" ca="1">'Tablica IO'!AK226*INDEX(Model!$C$93:$CA$93,Model!$A70) + IF(wplyw_cen_import_wlaczony,'Tablica IO'!AK304*INDEX(Model!$C$2:$CA$2,Model!$A70),'Tablica IO'!AK304*1)</f>
        <v>4.6297549285752981E-3</v>
      </c>
      <c r="AL70" s="222" cm="1">
        <f t="array" aca="1" ref="AL70" ca="1">'Tablica IO'!AL226*INDEX(Model!$C$93:$CA$93,Model!$A70) + IF(wplyw_cen_import_wlaczony,'Tablica IO'!AL304*INDEX(Model!$C$2:$CA$2,Model!$A70),'Tablica IO'!AL304*1)</f>
        <v>4.2762702924726247E-3</v>
      </c>
      <c r="AM70" s="222" cm="1">
        <f t="array" aca="1" ref="AM70" ca="1">'Tablica IO'!AM226*INDEX(Model!$C$93:$CA$93,Model!$A70) + IF(wplyw_cen_import_wlaczony,'Tablica IO'!AM304*INDEX(Model!$C$2:$CA$2,Model!$A70),'Tablica IO'!AM304*1)</f>
        <v>3.1009577921655511E-3</v>
      </c>
      <c r="AN70" s="222" cm="1">
        <f t="array" aca="1" ref="AN70" ca="1">'Tablica IO'!AN226*INDEX(Model!$C$93:$CA$93,Model!$A70) + IF(wplyw_cen_import_wlaczony,'Tablica IO'!AN304*INDEX(Model!$C$2:$CA$2,Model!$A70),'Tablica IO'!AN304*1)</f>
        <v>1.6990803263815717E-3</v>
      </c>
      <c r="AO70" s="222" cm="1">
        <f t="array" aca="1" ref="AO70" ca="1">'Tablica IO'!AO226*INDEX(Model!$C$93:$CA$93,Model!$A70) + IF(wplyw_cen_import_wlaczony,'Tablica IO'!AO304*INDEX(Model!$C$2:$CA$2,Model!$A70),'Tablica IO'!AO304*1)</f>
        <v>5.408572218964295E-3</v>
      </c>
      <c r="AP70" s="222" cm="1">
        <f t="array" aca="1" ref="AP70" ca="1">'Tablica IO'!AP226*INDEX(Model!$C$93:$CA$93,Model!$A70) + IF(wplyw_cen_import_wlaczony,'Tablica IO'!AP304*INDEX(Model!$C$2:$CA$2,Model!$A70),'Tablica IO'!AP304*1)</f>
        <v>1.226677227850315E-3</v>
      </c>
      <c r="AQ70" s="222" cm="1">
        <f t="array" aca="1" ref="AQ70" ca="1">'Tablica IO'!AQ226*INDEX(Model!$C$93:$CA$93,Model!$A70) + IF(wplyw_cen_import_wlaczony,'Tablica IO'!AQ304*INDEX(Model!$C$2:$CA$2,Model!$A70),'Tablica IO'!AQ304*1)</f>
        <v>1.3557558916454616E-3</v>
      </c>
      <c r="AR70" s="222" cm="1">
        <f t="array" aca="1" ref="AR70" ca="1">'Tablica IO'!AR226*INDEX(Model!$C$93:$CA$93,Model!$A70) + IF(wplyw_cen_import_wlaczony,'Tablica IO'!AR304*INDEX(Model!$C$2:$CA$2,Model!$A70),'Tablica IO'!AR304*1)</f>
        <v>2.6371420803280731E-4</v>
      </c>
      <c r="AS70" s="222" cm="1">
        <f t="array" aca="1" ref="AS70" ca="1">'Tablica IO'!AS226*INDEX(Model!$C$93:$CA$93,Model!$A70) + IF(wplyw_cen_import_wlaczony,'Tablica IO'!AS304*INDEX(Model!$C$2:$CA$2,Model!$A70),'Tablica IO'!AS304*1)</f>
        <v>3.5765359112314341E-3</v>
      </c>
      <c r="AT70" s="222" cm="1">
        <f t="array" aca="1" ref="AT70" ca="1">'Tablica IO'!AT226*INDEX(Model!$C$93:$CA$93,Model!$A70) + IF(wplyw_cen_import_wlaczony,'Tablica IO'!AT304*INDEX(Model!$C$2:$CA$2,Model!$A70),'Tablica IO'!AT304*1)</f>
        <v>3.4923429641783431E-4</v>
      </c>
      <c r="AU70" s="222" cm="1">
        <f t="array" aca="1" ref="AU70" ca="1">'Tablica IO'!AU226*INDEX(Model!$C$93:$CA$93,Model!$A70) + IF(wplyw_cen_import_wlaczony,'Tablica IO'!AU304*INDEX(Model!$C$2:$CA$2,Model!$A70),'Tablica IO'!AU304*1)</f>
        <v>6.3434733824570331E-4</v>
      </c>
      <c r="AV70" s="222" cm="1">
        <f t="array" aca="1" ref="AV70" ca="1">'Tablica IO'!AV226*INDEX(Model!$C$93:$CA$93,Model!$A70) + IF(wplyw_cen_import_wlaczony,'Tablica IO'!AV304*INDEX(Model!$C$2:$CA$2,Model!$A70),'Tablica IO'!AV304*1)</f>
        <v>5.6488376692620827E-3</v>
      </c>
      <c r="AW70" s="222" cm="1">
        <f t="array" aca="1" ref="AW70" ca="1">'Tablica IO'!AW226*INDEX(Model!$C$93:$CA$93,Model!$A70) + IF(wplyw_cen_import_wlaczony,'Tablica IO'!AW304*INDEX(Model!$C$2:$CA$2,Model!$A70),'Tablica IO'!AW304*1)</f>
        <v>1.2538994793346561E-3</v>
      </c>
      <c r="AX70" s="222" cm="1">
        <f t="array" aca="1" ref="AX70" ca="1">'Tablica IO'!AX226*INDEX(Model!$C$93:$CA$93,Model!$A70) + IF(wplyw_cen_import_wlaczony,'Tablica IO'!AX304*INDEX(Model!$C$2:$CA$2,Model!$A70),'Tablica IO'!AX304*1)</f>
        <v>1.8638501765305478E-3</v>
      </c>
      <c r="AY70" s="222" cm="1">
        <f t="array" aca="1" ref="AY70" ca="1">'Tablica IO'!AY226*INDEX(Model!$C$93:$CA$93,Model!$A70) + IF(wplyw_cen_import_wlaczony,'Tablica IO'!AY304*INDEX(Model!$C$2:$CA$2,Model!$A70),'Tablica IO'!AY304*1)</f>
        <v>1.1890805092765035E-3</v>
      </c>
      <c r="AZ70" s="222" cm="1">
        <f t="array" aca="1" ref="AZ70" ca="1">'Tablica IO'!AZ226*INDEX(Model!$C$93:$CA$93,Model!$A70) + IF(wplyw_cen_import_wlaczony,'Tablica IO'!AZ304*INDEX(Model!$C$2:$CA$2,Model!$A70),'Tablica IO'!AZ304*1)</f>
        <v>2.7222823809232672E-3</v>
      </c>
      <c r="BA70" s="222" cm="1">
        <f t="array" aca="1" ref="BA70" ca="1">'Tablica IO'!BA226*INDEX(Model!$C$93:$CA$93,Model!$A70) + IF(wplyw_cen_import_wlaczony,'Tablica IO'!BA304*INDEX(Model!$C$2:$CA$2,Model!$A70),'Tablica IO'!BA304*1)</f>
        <v>1.6426666069799537E-2</v>
      </c>
      <c r="BB70" s="222" cm="1">
        <f t="array" aca="1" ref="BB70" ca="1">'Tablica IO'!BB226*INDEX(Model!$C$93:$CA$93,Model!$A70) + IF(wplyw_cen_import_wlaczony,'Tablica IO'!BB304*INDEX(Model!$C$2:$CA$2,Model!$A70),'Tablica IO'!BB304*1)</f>
        <v>1.1169634449295925E-4</v>
      </c>
      <c r="BC70" s="222" cm="1">
        <f t="array" aca="1" ref="BC70" ca="1">'Tablica IO'!BC226*INDEX(Model!$C$93:$CA$93,Model!$A70) + IF(wplyw_cen_import_wlaczony,'Tablica IO'!BC304*INDEX(Model!$C$2:$CA$2,Model!$A70),'Tablica IO'!BC304*1)</f>
        <v>3.8411488126666588E-3</v>
      </c>
      <c r="BD70" s="222" cm="1">
        <f t="array" aca="1" ref="BD70" ca="1">'Tablica IO'!BD226*INDEX(Model!$C$93:$CA$93,Model!$A70) + IF(wplyw_cen_import_wlaczony,'Tablica IO'!BD304*INDEX(Model!$C$2:$CA$2,Model!$A70),'Tablica IO'!BD304*1)</f>
        <v>4.8957725890631876E-3</v>
      </c>
      <c r="BE70" s="222" cm="1">
        <f t="array" aca="1" ref="BE70" ca="1">'Tablica IO'!BE226*INDEX(Model!$C$93:$CA$93,Model!$A70) + IF(wplyw_cen_import_wlaczony,'Tablica IO'!BE304*INDEX(Model!$C$2:$CA$2,Model!$A70),'Tablica IO'!BE304*1)</f>
        <v>2.6613848442771687E-3</v>
      </c>
      <c r="BF70" s="222" cm="1">
        <f t="array" aca="1" ref="BF70" ca="1">'Tablica IO'!BF226*INDEX(Model!$C$93:$CA$93,Model!$A70) + IF(wplyw_cen_import_wlaczony,'Tablica IO'!BF304*INDEX(Model!$C$2:$CA$2,Model!$A70),'Tablica IO'!BF304*1)</f>
        <v>2.755052182927209E-3</v>
      </c>
      <c r="BG70" s="222" cm="1">
        <f t="array" aca="1" ref="BG70" ca="1">'Tablica IO'!BG226*INDEX(Model!$C$93:$CA$93,Model!$A70) + IF(wplyw_cen_import_wlaczony,'Tablica IO'!BG304*INDEX(Model!$C$2:$CA$2,Model!$A70),'Tablica IO'!BG304*1)</f>
        <v>1.715203082780403E-3</v>
      </c>
      <c r="BH70" s="222" cm="1">
        <f t="array" aca="1" ref="BH70" ca="1">'Tablica IO'!BH226*INDEX(Model!$C$93:$CA$93,Model!$A70) + IF(wplyw_cen_import_wlaczony,'Tablica IO'!BH304*INDEX(Model!$C$2:$CA$2,Model!$A70),'Tablica IO'!BH304*1)</f>
        <v>4.980388076475277E-2</v>
      </c>
      <c r="BI70" s="222" cm="1">
        <f t="array" aca="1" ref="BI70" ca="1">'Tablica IO'!BI226*INDEX(Model!$C$93:$CA$93,Model!$A70) + IF(wplyw_cen_import_wlaczony,'Tablica IO'!BI304*INDEX(Model!$C$2:$CA$2,Model!$A70),'Tablica IO'!BI304*1)</f>
        <v>0</v>
      </c>
      <c r="BJ70" s="222" cm="1">
        <f t="array" aca="1" ref="BJ70" ca="1">'Tablica IO'!BJ226*INDEX(Model!$C$93:$CA$93,Model!$A70) + IF(wplyw_cen_import_wlaczony,'Tablica IO'!BJ304*INDEX(Model!$C$2:$CA$2,Model!$A70),'Tablica IO'!BJ304*1)</f>
        <v>2.4343058357140404E-3</v>
      </c>
      <c r="BK70" s="222" cm="1">
        <f t="array" aca="1" ref="BK70" ca="1">'Tablica IO'!BK226*INDEX(Model!$C$93:$CA$93,Model!$A70) + IF(wplyw_cen_import_wlaczony,'Tablica IO'!BK304*INDEX(Model!$C$2:$CA$2,Model!$A70),'Tablica IO'!BK304*1)</f>
        <v>2.5405779970000112E-3</v>
      </c>
      <c r="BL70" s="222" cm="1">
        <f t="array" aca="1" ref="BL70" ca="1">'Tablica IO'!BL226*INDEX(Model!$C$93:$CA$93,Model!$A70) + IF(wplyw_cen_import_wlaczony,'Tablica IO'!BL304*INDEX(Model!$C$2:$CA$2,Model!$A70),'Tablica IO'!BL304*1)</f>
        <v>7.3009902084631337E-5</v>
      </c>
      <c r="BM70" s="222" cm="1">
        <f t="array" aca="1" ref="BM70" ca="1">'Tablica IO'!BM226*INDEX(Model!$C$93:$CA$93,Model!$A70) + IF(wplyw_cen_import_wlaczony,'Tablica IO'!BM304*INDEX(Model!$C$2:$CA$2,Model!$A70),'Tablica IO'!BM304*1)</f>
        <v>7.4718582076431397E-4</v>
      </c>
      <c r="BN70" s="222" cm="1">
        <f t="array" aca="1" ref="BN70" ca="1">'Tablica IO'!BN226*INDEX(Model!$C$93:$CA$93,Model!$A70) + IF(wplyw_cen_import_wlaczony,'Tablica IO'!BN304*INDEX(Model!$C$2:$CA$2,Model!$A70),'Tablica IO'!BN304*1)</f>
        <v>4.4522378937655883E-5</v>
      </c>
      <c r="BO70" s="222" cm="1">
        <f t="array" aca="1" ref="BO70" ca="1">'Tablica IO'!BO226*INDEX(Model!$C$93:$CA$93,Model!$A70) + IF(wplyw_cen_import_wlaczony,'Tablica IO'!BO304*INDEX(Model!$C$2:$CA$2,Model!$A70),'Tablica IO'!BO304*1)</f>
        <v>1.0835494435993286E-2</v>
      </c>
      <c r="BP70" s="222" cm="1">
        <f t="array" aca="1" ref="BP70" ca="1">'Tablica IO'!BP226*INDEX(Model!$C$93:$CA$93,Model!$A70) + IF(wplyw_cen_import_wlaczony,'Tablica IO'!BP304*INDEX(Model!$C$2:$CA$2,Model!$A70),'Tablica IO'!BP304*1)</f>
        <v>6.0554234959419796E-5</v>
      </c>
      <c r="BQ70" s="222" cm="1">
        <f t="array" aca="1" ref="BQ70" ca="1">'Tablica IO'!BQ226*INDEX(Model!$C$93:$CA$93,Model!$A70) + IF(wplyw_cen_import_wlaczony,'Tablica IO'!BQ304*INDEX(Model!$C$2:$CA$2,Model!$A70),'Tablica IO'!BQ304*1)</f>
        <v>2.2977576108693045E-3</v>
      </c>
      <c r="BR70" s="222" cm="1">
        <f t="array" aca="1" ref="BR70" ca="1">'Tablica IO'!BR226*INDEX(Model!$C$93:$CA$93,Model!$A70) + IF(wplyw_cen_import_wlaczony,'Tablica IO'!BR304*INDEX(Model!$C$2:$CA$2,Model!$A70),'Tablica IO'!BR304*1)</f>
        <v>2.5787643366904358E-3</v>
      </c>
      <c r="BS70" s="222" cm="1">
        <f t="array" aca="1" ref="BS70" ca="1">'Tablica IO'!BS226*INDEX(Model!$C$93:$CA$93,Model!$A70) + IF(wplyw_cen_import_wlaczony,'Tablica IO'!BS304*INDEX(Model!$C$2:$CA$2,Model!$A70),'Tablica IO'!BS304*1)</f>
        <v>5.6608280267124115E-5</v>
      </c>
      <c r="BT70" s="222" cm="1">
        <f t="array" aca="1" ref="BT70" ca="1">'Tablica IO'!BT226*INDEX(Model!$C$93:$CA$93,Model!$A70) + IF(wplyw_cen_import_wlaczony,'Tablica IO'!BT304*INDEX(Model!$C$2:$CA$2,Model!$A70),'Tablica IO'!BT304*1)</f>
        <v>1.5995032398336056E-3</v>
      </c>
      <c r="BU70" s="222" cm="1">
        <f t="array" aca="1" ref="BU70" ca="1">'Tablica IO'!BU226*INDEX(Model!$C$93:$CA$93,Model!$A70) + IF(wplyw_cen_import_wlaczony,'Tablica IO'!BU304*INDEX(Model!$C$2:$CA$2,Model!$A70),'Tablica IO'!BU304*1)</f>
        <v>1.9203075031356477E-3</v>
      </c>
      <c r="BV70" s="222" cm="1">
        <f t="array" aca="1" ref="BV70" ca="1">'Tablica IO'!BV226*INDEX(Model!$C$93:$CA$93,Model!$A70) + IF(wplyw_cen_import_wlaczony,'Tablica IO'!BV304*INDEX(Model!$C$2:$CA$2,Model!$A70),'Tablica IO'!BV304*1)</f>
        <v>2.4384323944052159E-3</v>
      </c>
      <c r="BW70" s="222" cm="1">
        <f t="array" aca="1" ref="BW70" ca="1">'Tablica IO'!BW226*INDEX(Model!$C$93:$CA$93,Model!$A70) + IF(wplyw_cen_import_wlaczony,'Tablica IO'!BW304*INDEX(Model!$C$2:$CA$2,Model!$A70),'Tablica IO'!BW304*1)</f>
        <v>3.1859612727996615E-3</v>
      </c>
      <c r="BX70" s="222" cm="1">
        <f t="array" aca="1" ref="BX70" ca="1">'Tablica IO'!BX226*INDEX(Model!$C$93:$CA$93,Model!$A70) + IF(wplyw_cen_import_wlaczony,'Tablica IO'!BX304*INDEX(Model!$C$2:$CA$2,Model!$A70),'Tablica IO'!BX304*1)</f>
        <v>1.760035562133091E-3</v>
      </c>
      <c r="BY70" s="222" cm="1">
        <f t="array" aca="1" ref="BY70" ca="1">'Tablica IO'!BY226*INDEX(Model!$C$93:$CA$93,Model!$A70) + IF(wplyw_cen_import_wlaczony,'Tablica IO'!BY304*INDEX(Model!$C$2:$CA$2,Model!$A70),'Tablica IO'!BY304*1)</f>
        <v>3.6994959028127161E-5</v>
      </c>
      <c r="BZ70" s="222" cm="1">
        <f t="array" aca="1" ref="BZ70" ca="1">'Tablica IO'!BZ226*INDEX(Model!$C$93:$CA$93,Model!$A70) + IF(wplyw_cen_import_wlaczony,'Tablica IO'!BZ304*INDEX(Model!$C$2:$CA$2,Model!$A70),'Tablica IO'!BZ304*1)</f>
        <v>3.2223484785920426E-3</v>
      </c>
      <c r="CA70" s="222" cm="1">
        <f t="array" aca="1" ref="CA70" ca="1">'Tablica IO'!CA226*INDEX(Model!$C$93:$CA$93,Model!$A70) + IF(wplyw_cen_import_wlaczony,'Tablica IO'!CA304*INDEX(Model!$C$2:$CA$2,Model!$A70),'Tablica IO'!CA304*1)</f>
        <v>0</v>
      </c>
      <c r="CB70" s="247">
        <f ca="1">'Tablica IO'!CD226*INDEX(Model!$C$93:$CA$93,Model!$A70)+'Tablica IO'!CD304*INDEX(Model!$C$2:$CA$2,Model!$A70)</f>
        <v>2.5379183553836679E-3</v>
      </c>
      <c r="CC70" s="188">
        <f ca="1">'Tablica IO'!CE226*INDEX(Model!$C$93:$CA$93,Model!$A70)+'Tablica IO'!CE304*INDEX(Model!$C$2:$CA$2,Model!$A70)</f>
        <v>1.7437521677899344E-6</v>
      </c>
      <c r="CD70" s="188">
        <f ca="1">'Tablica IO'!CF226*INDEX(Model!$C$93:$CA$93,Model!$A70)+'Tablica IO'!CF304*INDEX(Model!$C$2:$CA$2,Model!$A70)</f>
        <v>3.2932423764811994E-5</v>
      </c>
      <c r="CE70" s="189">
        <f ca="1">'Tablica IO'!CG226*INDEX(Model!$C$93:$CA$93,Model!$A70)+'Tablica IO'!CG304*INDEX(Model!$C$2:$CA$2,Model!$A70)</f>
        <v>4.6213110380424341E-3</v>
      </c>
    </row>
    <row r="71" spans="1:83" x14ac:dyDescent="0.25">
      <c r="A71" s="164">
        <v>59</v>
      </c>
      <c r="B71" s="172" t="s">
        <v>58</v>
      </c>
      <c r="C71" s="221" cm="1">
        <f t="array" aca="1" ref="C71" ca="1">'Tablica IO'!C227*INDEX(Model!$C$93:$CA$93,Model!$A71) + IF(wplyw_cen_import_wlaczony,'Tablica IO'!C305*INDEX(Model!$C$2:$CA$2,Model!$A71),'Tablica IO'!C305*1)</f>
        <v>8.8156506196722887E-3</v>
      </c>
      <c r="D71" s="222" cm="1">
        <f t="array" aca="1" ref="D71" ca="1">'Tablica IO'!D227*INDEX(Model!$C$93:$CA$93,Model!$A71) + IF(wplyw_cen_import_wlaczony,'Tablica IO'!D305*INDEX(Model!$C$2:$CA$2,Model!$A71),'Tablica IO'!D305*1)</f>
        <v>1.4236592729556669E-6</v>
      </c>
      <c r="E71" s="222" cm="1">
        <f t="array" aca="1" ref="E71" ca="1">'Tablica IO'!E227*INDEX(Model!$C$93:$CA$93,Model!$A71) + IF(wplyw_cen_import_wlaczony,'Tablica IO'!E305*INDEX(Model!$C$2:$CA$2,Model!$A71),'Tablica IO'!E305*1)</f>
        <v>5.0264463255260763E-4</v>
      </c>
      <c r="F71" s="222" cm="1">
        <f t="array" aca="1" ref="F71" ca="1">'Tablica IO'!F227*INDEX(Model!$C$93:$CA$93,Model!$A71) + IF(wplyw_cen_import_wlaczony,'Tablica IO'!F305*INDEX(Model!$C$2:$CA$2,Model!$A71),'Tablica IO'!F305*1)</f>
        <v>0</v>
      </c>
      <c r="G71" s="222" cm="1">
        <f t="array" aca="1" ref="G71" ca="1">'Tablica IO'!G227*INDEX(Model!$C$93:$CA$93,Model!$A71) + IF(wplyw_cen_import_wlaczony,'Tablica IO'!G305*INDEX(Model!$C$2:$CA$2,Model!$A71),'Tablica IO'!G305*1)</f>
        <v>0</v>
      </c>
      <c r="H71" s="222" cm="1">
        <f t="array" aca="1" ref="H71" ca="1">'Tablica IO'!H227*INDEX(Model!$C$93:$CA$93,Model!$A71) + IF(wplyw_cen_import_wlaczony,'Tablica IO'!H305*INDEX(Model!$C$2:$CA$2,Model!$A71),'Tablica IO'!H305*1)</f>
        <v>6.7582197302315636E-4</v>
      </c>
      <c r="I71" s="222" cm="1">
        <f t="array" aca="1" ref="I71" ca="1">'Tablica IO'!I227*INDEX(Model!$C$93:$CA$93,Model!$A71) + IF(wplyw_cen_import_wlaczony,'Tablica IO'!I305*INDEX(Model!$C$2:$CA$2,Model!$A71),'Tablica IO'!I305*1)</f>
        <v>1.9981652784369189E-6</v>
      </c>
      <c r="J71" s="222" cm="1">
        <f t="array" aca="1" ref="J71" ca="1">'Tablica IO'!J227*INDEX(Model!$C$93:$CA$93,Model!$A71) + IF(wplyw_cen_import_wlaczony,'Tablica IO'!J305*INDEX(Model!$C$2:$CA$2,Model!$A71),'Tablica IO'!J305*1)</f>
        <v>0</v>
      </c>
      <c r="K71" s="222" cm="1">
        <f t="array" aca="1" ref="K71" ca="1">'Tablica IO'!K227*INDEX(Model!$C$93:$CA$93,Model!$A71) + IF(wplyw_cen_import_wlaczony,'Tablica IO'!K305*INDEX(Model!$C$2:$CA$2,Model!$A71),'Tablica IO'!K305*1)</f>
        <v>0</v>
      </c>
      <c r="L71" s="222" cm="1">
        <f t="array" aca="1" ref="L71" ca="1">'Tablica IO'!L227*INDEX(Model!$C$93:$CA$93,Model!$A71) + IF(wplyw_cen_import_wlaczony,'Tablica IO'!L305*INDEX(Model!$C$2:$CA$2,Model!$A71),'Tablica IO'!L305*1)</f>
        <v>0</v>
      </c>
      <c r="M71" s="222" cm="1">
        <f t="array" aca="1" ref="M71" ca="1">'Tablica IO'!M227*INDEX(Model!$C$93:$CA$93,Model!$A71) + IF(wplyw_cen_import_wlaczony,'Tablica IO'!M305*INDEX(Model!$C$2:$CA$2,Model!$A71),'Tablica IO'!M305*1)</f>
        <v>0</v>
      </c>
      <c r="N71" s="222" cm="1">
        <f t="array" aca="1" ref="N71" ca="1">'Tablica IO'!N227*INDEX(Model!$C$93:$CA$93,Model!$A71) + IF(wplyw_cen_import_wlaczony,'Tablica IO'!N305*INDEX(Model!$C$2:$CA$2,Model!$A71),'Tablica IO'!N305*1)</f>
        <v>0</v>
      </c>
      <c r="O71" s="222" cm="1">
        <f t="array" aca="1" ref="O71" ca="1">'Tablica IO'!O227*INDEX(Model!$C$93:$CA$93,Model!$A71) + IF(wplyw_cen_import_wlaczony,'Tablica IO'!O305*INDEX(Model!$C$2:$CA$2,Model!$A71),'Tablica IO'!O305*1)</f>
        <v>0</v>
      </c>
      <c r="P71" s="222" cm="1">
        <f t="array" aca="1" ref="P71" ca="1">'Tablica IO'!P227*INDEX(Model!$C$93:$CA$93,Model!$A71) + IF(wplyw_cen_import_wlaczony,'Tablica IO'!P305*INDEX(Model!$C$2:$CA$2,Model!$A71),'Tablica IO'!P305*1)</f>
        <v>0</v>
      </c>
      <c r="Q71" s="222" cm="1">
        <f t="array" aca="1" ref="Q71" ca="1">'Tablica IO'!Q227*INDEX(Model!$C$93:$CA$93,Model!$A71) + IF(wplyw_cen_import_wlaczony,'Tablica IO'!Q305*INDEX(Model!$C$2:$CA$2,Model!$A71),'Tablica IO'!Q305*1)</f>
        <v>0</v>
      </c>
      <c r="R71" s="222" cm="1">
        <f t="array" aca="1" ref="R71" ca="1">'Tablica IO'!R227*INDEX(Model!$C$93:$CA$93,Model!$A71) + IF(wplyw_cen_import_wlaczony,'Tablica IO'!R305*INDEX(Model!$C$2:$CA$2,Model!$A71),'Tablica IO'!R305*1)</f>
        <v>0</v>
      </c>
      <c r="S71" s="222" cm="1">
        <f t="array" aca="1" ref="S71" ca="1">'Tablica IO'!S227*INDEX(Model!$C$93:$CA$93,Model!$A71) + IF(wplyw_cen_import_wlaczony,'Tablica IO'!S305*INDEX(Model!$C$2:$CA$2,Model!$A71),'Tablica IO'!S305*1)</f>
        <v>5.6381334713775131E-7</v>
      </c>
      <c r="T71" s="222" cm="1">
        <f t="array" aca="1" ref="T71" ca="1">'Tablica IO'!T227*INDEX(Model!$C$93:$CA$93,Model!$A71) + IF(wplyw_cen_import_wlaczony,'Tablica IO'!T305*INDEX(Model!$C$2:$CA$2,Model!$A71),'Tablica IO'!T305*1)</f>
        <v>0</v>
      </c>
      <c r="U71" s="222" cm="1">
        <f t="array" aca="1" ref="U71" ca="1">'Tablica IO'!U227*INDEX(Model!$C$93:$CA$93,Model!$A71) + IF(wplyw_cen_import_wlaczony,'Tablica IO'!U305*INDEX(Model!$C$2:$CA$2,Model!$A71),'Tablica IO'!U305*1)</f>
        <v>0</v>
      </c>
      <c r="V71" s="222" cm="1">
        <f t="array" aca="1" ref="V71" ca="1">'Tablica IO'!V227*INDEX(Model!$C$93:$CA$93,Model!$A71) + IF(wplyw_cen_import_wlaczony,'Tablica IO'!V305*INDEX(Model!$C$2:$CA$2,Model!$A71),'Tablica IO'!V305*1)</f>
        <v>0</v>
      </c>
      <c r="W71" s="222" cm="1">
        <f t="array" aca="1" ref="W71" ca="1">'Tablica IO'!W227*INDEX(Model!$C$93:$CA$93,Model!$A71) + IF(wplyw_cen_import_wlaczony,'Tablica IO'!W305*INDEX(Model!$C$2:$CA$2,Model!$A71),'Tablica IO'!W305*1)</f>
        <v>0</v>
      </c>
      <c r="X71" s="222" cm="1">
        <f t="array" aca="1" ref="X71" ca="1">'Tablica IO'!X227*INDEX(Model!$C$93:$CA$93,Model!$A71) + IF(wplyw_cen_import_wlaczony,'Tablica IO'!X305*INDEX(Model!$C$2:$CA$2,Model!$A71),'Tablica IO'!X305*1)</f>
        <v>0</v>
      </c>
      <c r="Y71" s="222" cm="1">
        <f t="array" aca="1" ref="Y71" ca="1">'Tablica IO'!Y227*INDEX(Model!$C$93:$CA$93,Model!$A71) + IF(wplyw_cen_import_wlaczony,'Tablica IO'!Y305*INDEX(Model!$C$2:$CA$2,Model!$A71),'Tablica IO'!Y305*1)</f>
        <v>0</v>
      </c>
      <c r="Z71" s="222" cm="1">
        <f t="array" aca="1" ref="Z71" ca="1">'Tablica IO'!Z227*INDEX(Model!$C$93:$CA$93,Model!$A71) + IF(wplyw_cen_import_wlaczony,'Tablica IO'!Z305*INDEX(Model!$C$2:$CA$2,Model!$A71),'Tablica IO'!Z305*1)</f>
        <v>0</v>
      </c>
      <c r="AA71" s="222" cm="1">
        <f t="array" aca="1" ref="AA71" ca="1">'Tablica IO'!AA227*INDEX(Model!$C$93:$CA$93,Model!$A71) + IF(wplyw_cen_import_wlaczony,'Tablica IO'!AA305*INDEX(Model!$C$2:$CA$2,Model!$A71),'Tablica IO'!AA305*1)</f>
        <v>0</v>
      </c>
      <c r="AB71" s="222" cm="1">
        <f t="array" aca="1" ref="AB71" ca="1">'Tablica IO'!AB227*INDEX(Model!$C$93:$CA$93,Model!$A71) + IF(wplyw_cen_import_wlaczony,'Tablica IO'!AB305*INDEX(Model!$C$2:$CA$2,Model!$A71),'Tablica IO'!AB305*1)</f>
        <v>0</v>
      </c>
      <c r="AC71" s="222" cm="1">
        <f t="array" aca="1" ref="AC71" ca="1">'Tablica IO'!AC227*INDEX(Model!$C$93:$CA$93,Model!$A71) + IF(wplyw_cen_import_wlaczony,'Tablica IO'!AC305*INDEX(Model!$C$2:$CA$2,Model!$A71),'Tablica IO'!AC305*1)</f>
        <v>0</v>
      </c>
      <c r="AD71" s="222" cm="1">
        <f t="array" aca="1" ref="AD71" ca="1">'Tablica IO'!AD227*INDEX(Model!$C$93:$CA$93,Model!$A71) + IF(wplyw_cen_import_wlaczony,'Tablica IO'!AD305*INDEX(Model!$C$2:$CA$2,Model!$A71),'Tablica IO'!AD305*1)</f>
        <v>0</v>
      </c>
      <c r="AE71" s="222" cm="1">
        <f t="array" aca="1" ref="AE71" ca="1">'Tablica IO'!AE227*INDEX(Model!$C$93:$CA$93,Model!$A71) + IF(wplyw_cen_import_wlaczony,'Tablica IO'!AE305*INDEX(Model!$C$2:$CA$2,Model!$A71),'Tablica IO'!AE305*1)</f>
        <v>0</v>
      </c>
      <c r="AF71" s="222" cm="1">
        <f t="array" aca="1" ref="AF71" ca="1">'Tablica IO'!AF227*INDEX(Model!$C$93:$CA$93,Model!$A71) + IF(wplyw_cen_import_wlaczony,'Tablica IO'!AF305*INDEX(Model!$C$2:$CA$2,Model!$A71),'Tablica IO'!AF305*1)</f>
        <v>0</v>
      </c>
      <c r="AG71" s="222" cm="1">
        <f t="array" aca="1" ref="AG71" ca="1">'Tablica IO'!AG227*INDEX(Model!$C$93:$CA$93,Model!$A71) + IF(wplyw_cen_import_wlaczony,'Tablica IO'!AG305*INDEX(Model!$C$2:$CA$2,Model!$A71),'Tablica IO'!AG305*1)</f>
        <v>0</v>
      </c>
      <c r="AH71" s="222" cm="1">
        <f t="array" aca="1" ref="AH71" ca="1">'Tablica IO'!AH227*INDEX(Model!$C$93:$CA$93,Model!$A71) + IF(wplyw_cen_import_wlaczony,'Tablica IO'!AH305*INDEX(Model!$C$2:$CA$2,Model!$A71),'Tablica IO'!AH305*1)</f>
        <v>0</v>
      </c>
      <c r="AI71" s="222" cm="1">
        <f t="array" aca="1" ref="AI71" ca="1">'Tablica IO'!AI227*INDEX(Model!$C$93:$CA$93,Model!$A71) + IF(wplyw_cen_import_wlaczony,'Tablica IO'!AI305*INDEX(Model!$C$2:$CA$2,Model!$A71),'Tablica IO'!AI305*1)</f>
        <v>0</v>
      </c>
      <c r="AJ71" s="222" cm="1">
        <f t="array" aca="1" ref="AJ71" ca="1">'Tablica IO'!AJ227*INDEX(Model!$C$93:$CA$93,Model!$A71) + IF(wplyw_cen_import_wlaczony,'Tablica IO'!AJ305*INDEX(Model!$C$2:$CA$2,Model!$A71),'Tablica IO'!AJ305*1)</f>
        <v>2.441137113888214E-5</v>
      </c>
      <c r="AK71" s="222" cm="1">
        <f t="array" aca="1" ref="AK71" ca="1">'Tablica IO'!AK227*INDEX(Model!$C$93:$CA$93,Model!$A71) + IF(wplyw_cen_import_wlaczony,'Tablica IO'!AK305*INDEX(Model!$C$2:$CA$2,Model!$A71),'Tablica IO'!AK305*1)</f>
        <v>0</v>
      </c>
      <c r="AL71" s="222" cm="1">
        <f t="array" aca="1" ref="AL71" ca="1">'Tablica IO'!AL227*INDEX(Model!$C$93:$CA$93,Model!$A71) + IF(wplyw_cen_import_wlaczony,'Tablica IO'!AL305*INDEX(Model!$C$2:$CA$2,Model!$A71),'Tablica IO'!AL305*1)</f>
        <v>1.6412944568689502E-4</v>
      </c>
      <c r="AM71" s="222" cm="1">
        <f t="array" aca="1" ref="AM71" ca="1">'Tablica IO'!AM227*INDEX(Model!$C$93:$CA$93,Model!$A71) + IF(wplyw_cen_import_wlaczony,'Tablica IO'!AM305*INDEX(Model!$C$2:$CA$2,Model!$A71),'Tablica IO'!AM305*1)</f>
        <v>3.7224934839083987E-5</v>
      </c>
      <c r="AN71" s="222" cm="1">
        <f t="array" aca="1" ref="AN71" ca="1">'Tablica IO'!AN227*INDEX(Model!$C$93:$CA$93,Model!$A71) + IF(wplyw_cen_import_wlaczony,'Tablica IO'!AN305*INDEX(Model!$C$2:$CA$2,Model!$A71),'Tablica IO'!AN305*1)</f>
        <v>4.5508679094664208E-5</v>
      </c>
      <c r="AO71" s="222" cm="1">
        <f t="array" aca="1" ref="AO71" ca="1">'Tablica IO'!AO227*INDEX(Model!$C$93:$CA$93,Model!$A71) + IF(wplyw_cen_import_wlaczony,'Tablica IO'!AO305*INDEX(Model!$C$2:$CA$2,Model!$A71),'Tablica IO'!AO305*1)</f>
        <v>0</v>
      </c>
      <c r="AP71" s="222" cm="1">
        <f t="array" aca="1" ref="AP71" ca="1">'Tablica IO'!AP227*INDEX(Model!$C$93:$CA$93,Model!$A71) + IF(wplyw_cen_import_wlaczony,'Tablica IO'!AP305*INDEX(Model!$C$2:$CA$2,Model!$A71),'Tablica IO'!AP305*1)</f>
        <v>0</v>
      </c>
      <c r="AQ71" s="222" cm="1">
        <f t="array" aca="1" ref="AQ71" ca="1">'Tablica IO'!AQ227*INDEX(Model!$C$93:$CA$93,Model!$A71) + IF(wplyw_cen_import_wlaczony,'Tablica IO'!AQ305*INDEX(Model!$C$2:$CA$2,Model!$A71),'Tablica IO'!AQ305*1)</f>
        <v>1.6980654246965191E-5</v>
      </c>
      <c r="AR71" s="222" cm="1">
        <f t="array" aca="1" ref="AR71" ca="1">'Tablica IO'!AR227*INDEX(Model!$C$93:$CA$93,Model!$A71) + IF(wplyw_cen_import_wlaczony,'Tablica IO'!AR305*INDEX(Model!$C$2:$CA$2,Model!$A71),'Tablica IO'!AR305*1)</f>
        <v>2.7794141727600822E-6</v>
      </c>
      <c r="AS71" s="222" cm="1">
        <f t="array" aca="1" ref="AS71" ca="1">'Tablica IO'!AS227*INDEX(Model!$C$93:$CA$93,Model!$A71) + IF(wplyw_cen_import_wlaczony,'Tablica IO'!AS305*INDEX(Model!$C$2:$CA$2,Model!$A71),'Tablica IO'!AS305*1)</f>
        <v>0</v>
      </c>
      <c r="AT71" s="222" cm="1">
        <f t="array" aca="1" ref="AT71" ca="1">'Tablica IO'!AT227*INDEX(Model!$C$93:$CA$93,Model!$A71) + IF(wplyw_cen_import_wlaczony,'Tablica IO'!AT305*INDEX(Model!$C$2:$CA$2,Model!$A71),'Tablica IO'!AT305*1)</f>
        <v>0</v>
      </c>
      <c r="AU71" s="222" cm="1">
        <f t="array" aca="1" ref="AU71" ca="1">'Tablica IO'!AU227*INDEX(Model!$C$93:$CA$93,Model!$A71) + IF(wplyw_cen_import_wlaczony,'Tablica IO'!AU305*INDEX(Model!$C$2:$CA$2,Model!$A71),'Tablica IO'!AU305*1)</f>
        <v>0</v>
      </c>
      <c r="AV71" s="222" cm="1">
        <f t="array" aca="1" ref="AV71" ca="1">'Tablica IO'!AV227*INDEX(Model!$C$93:$CA$93,Model!$A71) + IF(wplyw_cen_import_wlaczony,'Tablica IO'!AV305*INDEX(Model!$C$2:$CA$2,Model!$A71),'Tablica IO'!AV305*1)</f>
        <v>0</v>
      </c>
      <c r="AW71" s="222" cm="1">
        <f t="array" aca="1" ref="AW71" ca="1">'Tablica IO'!AW227*INDEX(Model!$C$93:$CA$93,Model!$A71) + IF(wplyw_cen_import_wlaczony,'Tablica IO'!AW305*INDEX(Model!$C$2:$CA$2,Model!$A71),'Tablica IO'!AW305*1)</f>
        <v>0</v>
      </c>
      <c r="AX71" s="222" cm="1">
        <f t="array" aca="1" ref="AX71" ca="1">'Tablica IO'!AX227*INDEX(Model!$C$93:$CA$93,Model!$A71) + IF(wplyw_cen_import_wlaczony,'Tablica IO'!AX305*INDEX(Model!$C$2:$CA$2,Model!$A71),'Tablica IO'!AX305*1)</f>
        <v>0</v>
      </c>
      <c r="AY71" s="222" cm="1">
        <f t="array" aca="1" ref="AY71" ca="1">'Tablica IO'!AY227*INDEX(Model!$C$93:$CA$93,Model!$A71) + IF(wplyw_cen_import_wlaczony,'Tablica IO'!AY305*INDEX(Model!$C$2:$CA$2,Model!$A71),'Tablica IO'!AY305*1)</f>
        <v>0</v>
      </c>
      <c r="AZ71" s="222" cm="1">
        <f t="array" aca="1" ref="AZ71" ca="1">'Tablica IO'!AZ227*INDEX(Model!$C$93:$CA$93,Model!$A71) + IF(wplyw_cen_import_wlaczony,'Tablica IO'!AZ305*INDEX(Model!$C$2:$CA$2,Model!$A71),'Tablica IO'!AZ305*1)</f>
        <v>0</v>
      </c>
      <c r="BA71" s="222" cm="1">
        <f t="array" aca="1" ref="BA71" ca="1">'Tablica IO'!BA227*INDEX(Model!$C$93:$CA$93,Model!$A71) + IF(wplyw_cen_import_wlaczony,'Tablica IO'!BA305*INDEX(Model!$C$2:$CA$2,Model!$A71),'Tablica IO'!BA305*1)</f>
        <v>0</v>
      </c>
      <c r="BB71" s="222" cm="1">
        <f t="array" aca="1" ref="BB71" ca="1">'Tablica IO'!BB227*INDEX(Model!$C$93:$CA$93,Model!$A71) + IF(wplyw_cen_import_wlaczony,'Tablica IO'!BB305*INDEX(Model!$C$2:$CA$2,Model!$A71),'Tablica IO'!BB305*1)</f>
        <v>0</v>
      </c>
      <c r="BC71" s="222" cm="1">
        <f t="array" aca="1" ref="BC71" ca="1">'Tablica IO'!BC227*INDEX(Model!$C$93:$CA$93,Model!$A71) + IF(wplyw_cen_import_wlaczony,'Tablica IO'!BC305*INDEX(Model!$C$2:$CA$2,Model!$A71),'Tablica IO'!BC305*1)</f>
        <v>0</v>
      </c>
      <c r="BD71" s="222" cm="1">
        <f t="array" aca="1" ref="BD71" ca="1">'Tablica IO'!BD227*INDEX(Model!$C$93:$CA$93,Model!$A71) + IF(wplyw_cen_import_wlaczony,'Tablica IO'!BD305*INDEX(Model!$C$2:$CA$2,Model!$A71),'Tablica IO'!BD305*1)</f>
        <v>0</v>
      </c>
      <c r="BE71" s="222" cm="1">
        <f t="array" aca="1" ref="BE71" ca="1">'Tablica IO'!BE227*INDEX(Model!$C$93:$CA$93,Model!$A71) + IF(wplyw_cen_import_wlaczony,'Tablica IO'!BE305*INDEX(Model!$C$2:$CA$2,Model!$A71),'Tablica IO'!BE305*1)</f>
        <v>0</v>
      </c>
      <c r="BF71" s="222" cm="1">
        <f t="array" aca="1" ref="BF71" ca="1">'Tablica IO'!BF227*INDEX(Model!$C$93:$CA$93,Model!$A71) + IF(wplyw_cen_import_wlaczony,'Tablica IO'!BF305*INDEX(Model!$C$2:$CA$2,Model!$A71),'Tablica IO'!BF305*1)</f>
        <v>2.0933859330315969E-4</v>
      </c>
      <c r="BG71" s="222" cm="1">
        <f t="array" aca="1" ref="BG71" ca="1">'Tablica IO'!BG227*INDEX(Model!$C$93:$CA$93,Model!$A71) + IF(wplyw_cen_import_wlaczony,'Tablica IO'!BG305*INDEX(Model!$C$2:$CA$2,Model!$A71),'Tablica IO'!BG305*1)</f>
        <v>0</v>
      </c>
      <c r="BH71" s="222" cm="1">
        <f t="array" aca="1" ref="BH71" ca="1">'Tablica IO'!BH227*INDEX(Model!$C$93:$CA$93,Model!$A71) + IF(wplyw_cen_import_wlaczony,'Tablica IO'!BH305*INDEX(Model!$C$2:$CA$2,Model!$A71),'Tablica IO'!BH305*1)</f>
        <v>0</v>
      </c>
      <c r="BI71" s="222" cm="1">
        <f t="array" aca="1" ref="BI71" ca="1">'Tablica IO'!BI227*INDEX(Model!$C$93:$CA$93,Model!$A71) + IF(wplyw_cen_import_wlaczony,'Tablica IO'!BI305*INDEX(Model!$C$2:$CA$2,Model!$A71),'Tablica IO'!BI305*1)</f>
        <v>2.8615942283424728E-3</v>
      </c>
      <c r="BJ71" s="222" cm="1">
        <f t="array" aca="1" ref="BJ71" ca="1">'Tablica IO'!BJ227*INDEX(Model!$C$93:$CA$93,Model!$A71) + IF(wplyw_cen_import_wlaczony,'Tablica IO'!BJ305*INDEX(Model!$C$2:$CA$2,Model!$A71),'Tablica IO'!BJ305*1)</f>
        <v>0</v>
      </c>
      <c r="BK71" s="222" cm="1">
        <f t="array" aca="1" ref="BK71" ca="1">'Tablica IO'!BK227*INDEX(Model!$C$93:$CA$93,Model!$A71) + IF(wplyw_cen_import_wlaczony,'Tablica IO'!BK305*INDEX(Model!$C$2:$CA$2,Model!$A71),'Tablica IO'!BK305*1)</f>
        <v>0</v>
      </c>
      <c r="BL71" s="222" cm="1">
        <f t="array" aca="1" ref="BL71" ca="1">'Tablica IO'!BL227*INDEX(Model!$C$93:$CA$93,Model!$A71) + IF(wplyw_cen_import_wlaczony,'Tablica IO'!BL305*INDEX(Model!$C$2:$CA$2,Model!$A71),'Tablica IO'!BL305*1)</f>
        <v>1.1679580581003339E-5</v>
      </c>
      <c r="BM71" s="222" cm="1">
        <f t="array" aca="1" ref="BM71" ca="1">'Tablica IO'!BM227*INDEX(Model!$C$93:$CA$93,Model!$A71) + IF(wplyw_cen_import_wlaczony,'Tablica IO'!BM305*INDEX(Model!$C$2:$CA$2,Model!$A71),'Tablica IO'!BM305*1)</f>
        <v>0</v>
      </c>
      <c r="BN71" s="222" cm="1">
        <f t="array" aca="1" ref="BN71" ca="1">'Tablica IO'!BN227*INDEX(Model!$C$93:$CA$93,Model!$A71) + IF(wplyw_cen_import_wlaczony,'Tablica IO'!BN305*INDEX(Model!$C$2:$CA$2,Model!$A71),'Tablica IO'!BN305*1)</f>
        <v>0</v>
      </c>
      <c r="BO71" s="222" cm="1">
        <f t="array" aca="1" ref="BO71" ca="1">'Tablica IO'!BO227*INDEX(Model!$C$93:$CA$93,Model!$A71) + IF(wplyw_cen_import_wlaczony,'Tablica IO'!BO305*INDEX(Model!$C$2:$CA$2,Model!$A71),'Tablica IO'!BO305*1)</f>
        <v>0</v>
      </c>
      <c r="BP71" s="222" cm="1">
        <f t="array" aca="1" ref="BP71" ca="1">'Tablica IO'!BP227*INDEX(Model!$C$93:$CA$93,Model!$A71) + IF(wplyw_cen_import_wlaczony,'Tablica IO'!BP305*INDEX(Model!$C$2:$CA$2,Model!$A71),'Tablica IO'!BP305*1)</f>
        <v>0</v>
      </c>
      <c r="BQ71" s="222" cm="1">
        <f t="array" aca="1" ref="BQ71" ca="1">'Tablica IO'!BQ227*INDEX(Model!$C$93:$CA$93,Model!$A71) + IF(wplyw_cen_import_wlaczony,'Tablica IO'!BQ305*INDEX(Model!$C$2:$CA$2,Model!$A71),'Tablica IO'!BQ305*1)</f>
        <v>1.2395584685369299E-5</v>
      </c>
      <c r="BR71" s="222" cm="1">
        <f t="array" aca="1" ref="BR71" ca="1">'Tablica IO'!BR227*INDEX(Model!$C$93:$CA$93,Model!$A71) + IF(wplyw_cen_import_wlaczony,'Tablica IO'!BR305*INDEX(Model!$C$2:$CA$2,Model!$A71),'Tablica IO'!BR305*1)</f>
        <v>0</v>
      </c>
      <c r="BS71" s="222" cm="1">
        <f t="array" aca="1" ref="BS71" ca="1">'Tablica IO'!BS227*INDEX(Model!$C$93:$CA$93,Model!$A71) + IF(wplyw_cen_import_wlaczony,'Tablica IO'!BS305*INDEX(Model!$C$2:$CA$2,Model!$A71),'Tablica IO'!BS305*1)</f>
        <v>0</v>
      </c>
      <c r="BT71" s="222" cm="1">
        <f t="array" aca="1" ref="BT71" ca="1">'Tablica IO'!BT227*INDEX(Model!$C$93:$CA$93,Model!$A71) + IF(wplyw_cen_import_wlaczony,'Tablica IO'!BT305*INDEX(Model!$C$2:$CA$2,Model!$A71),'Tablica IO'!BT305*1)</f>
        <v>0</v>
      </c>
      <c r="BU71" s="222" cm="1">
        <f t="array" aca="1" ref="BU71" ca="1">'Tablica IO'!BU227*INDEX(Model!$C$93:$CA$93,Model!$A71) + IF(wplyw_cen_import_wlaczony,'Tablica IO'!BU305*INDEX(Model!$C$2:$CA$2,Model!$A71),'Tablica IO'!BU305*1)</f>
        <v>0</v>
      </c>
      <c r="BV71" s="222" cm="1">
        <f t="array" aca="1" ref="BV71" ca="1">'Tablica IO'!BV227*INDEX(Model!$C$93:$CA$93,Model!$A71) + IF(wplyw_cen_import_wlaczony,'Tablica IO'!BV305*INDEX(Model!$C$2:$CA$2,Model!$A71),'Tablica IO'!BV305*1)</f>
        <v>0</v>
      </c>
      <c r="BW71" s="222" cm="1">
        <f t="array" aca="1" ref="BW71" ca="1">'Tablica IO'!BW227*INDEX(Model!$C$93:$CA$93,Model!$A71) + IF(wplyw_cen_import_wlaczony,'Tablica IO'!BW305*INDEX(Model!$C$2:$CA$2,Model!$A71),'Tablica IO'!BW305*1)</f>
        <v>9.5112406018013569E-5</v>
      </c>
      <c r="BX71" s="222" cm="1">
        <f t="array" aca="1" ref="BX71" ca="1">'Tablica IO'!BX227*INDEX(Model!$C$93:$CA$93,Model!$A71) + IF(wplyw_cen_import_wlaczony,'Tablica IO'!BX305*INDEX(Model!$C$2:$CA$2,Model!$A71),'Tablica IO'!BX305*1)</f>
        <v>0</v>
      </c>
      <c r="BY71" s="222" cm="1">
        <f t="array" aca="1" ref="BY71" ca="1">'Tablica IO'!BY227*INDEX(Model!$C$93:$CA$93,Model!$A71) + IF(wplyw_cen_import_wlaczony,'Tablica IO'!BY305*INDEX(Model!$C$2:$CA$2,Model!$A71),'Tablica IO'!BY305*1)</f>
        <v>0</v>
      </c>
      <c r="BZ71" s="222" cm="1">
        <f t="array" aca="1" ref="BZ71" ca="1">'Tablica IO'!BZ227*INDEX(Model!$C$93:$CA$93,Model!$A71) + IF(wplyw_cen_import_wlaczony,'Tablica IO'!BZ305*INDEX(Model!$C$2:$CA$2,Model!$A71),'Tablica IO'!BZ305*1)</f>
        <v>1.9657484360488769E-4</v>
      </c>
      <c r="CA71" s="222" cm="1">
        <f t="array" aca="1" ref="CA71" ca="1">'Tablica IO'!CA227*INDEX(Model!$C$93:$CA$93,Model!$A71) + IF(wplyw_cen_import_wlaczony,'Tablica IO'!CA305*INDEX(Model!$C$2:$CA$2,Model!$A71),'Tablica IO'!CA305*1)</f>
        <v>0</v>
      </c>
      <c r="CB71" s="247">
        <f ca="1">'Tablica IO'!CD227*INDEX(Model!$C$93:$CA$93,Model!$A71)+'Tablica IO'!CD305*INDEX(Model!$C$2:$CA$2,Model!$A71)</f>
        <v>8.8174120715961283E-4</v>
      </c>
      <c r="CC71" s="188">
        <f ca="1">'Tablica IO'!CE227*INDEX(Model!$C$93:$CA$93,Model!$A71)+'Tablica IO'!CE305*INDEX(Model!$C$2:$CA$2,Model!$A71)</f>
        <v>3.5699421767256875E-3</v>
      </c>
      <c r="CD71" s="188">
        <f ca="1">'Tablica IO'!CF227*INDEX(Model!$C$93:$CA$93,Model!$A71)+'Tablica IO'!CF305*INDEX(Model!$C$2:$CA$2,Model!$A71)</f>
        <v>1.6044785130269059E-6</v>
      </c>
      <c r="CE71" s="189">
        <f ca="1">'Tablica IO'!CG227*INDEX(Model!$C$93:$CA$93,Model!$A71)+'Tablica IO'!CG305*INDEX(Model!$C$2:$CA$2,Model!$A71)</f>
        <v>0</v>
      </c>
    </row>
    <row r="72" spans="1:83" x14ac:dyDescent="0.25">
      <c r="A72" s="164">
        <v>60</v>
      </c>
      <c r="B72" s="172" t="s">
        <v>59</v>
      </c>
      <c r="C72" s="221" cm="1">
        <f t="array" aca="1" ref="C72" ca="1">'Tablica IO'!C228*INDEX(Model!$C$93:$CA$93,Model!$A72) + IF(wplyw_cen_import_wlaczony,'Tablica IO'!C306*INDEX(Model!$C$2:$CA$2,Model!$A72),'Tablica IO'!C306*1)</f>
        <v>1.1582149050897419E-3</v>
      </c>
      <c r="D72" s="222" cm="1">
        <f t="array" aca="1" ref="D72" ca="1">'Tablica IO'!D228*INDEX(Model!$C$93:$CA$93,Model!$A72) + IF(wplyw_cen_import_wlaczony,'Tablica IO'!D306*INDEX(Model!$C$2:$CA$2,Model!$A72),'Tablica IO'!D306*1)</f>
        <v>5.1846153075767046E-3</v>
      </c>
      <c r="E72" s="222" cm="1">
        <f t="array" aca="1" ref="E72" ca="1">'Tablica IO'!E228*INDEX(Model!$C$93:$CA$93,Model!$A72) + IF(wplyw_cen_import_wlaczony,'Tablica IO'!E306*INDEX(Model!$C$2:$CA$2,Model!$A72),'Tablica IO'!E306*1)</f>
        <v>3.4709216393318063E-3</v>
      </c>
      <c r="F72" s="222" cm="1">
        <f t="array" aca="1" ref="F72" ca="1">'Tablica IO'!F228*INDEX(Model!$C$93:$CA$93,Model!$A72) + IF(wplyw_cen_import_wlaczony,'Tablica IO'!F306*INDEX(Model!$C$2:$CA$2,Model!$A72),'Tablica IO'!F306*1)</f>
        <v>1.2385905627535181E-2</v>
      </c>
      <c r="G72" s="222" cm="1">
        <f t="array" aca="1" ref="G72" ca="1">'Tablica IO'!G228*INDEX(Model!$C$93:$CA$93,Model!$A72) + IF(wplyw_cen_import_wlaczony,'Tablica IO'!G306*INDEX(Model!$C$2:$CA$2,Model!$A72),'Tablica IO'!G306*1)</f>
        <v>8.7721131906340413E-3</v>
      </c>
      <c r="H72" s="222" cm="1">
        <f t="array" aca="1" ref="H72" ca="1">'Tablica IO'!H228*INDEX(Model!$C$93:$CA$93,Model!$A72) + IF(wplyw_cen_import_wlaczony,'Tablica IO'!H306*INDEX(Model!$C$2:$CA$2,Model!$A72),'Tablica IO'!H306*1)</f>
        <v>3.8727419551679611E-3</v>
      </c>
      <c r="I72" s="222" cm="1">
        <f t="array" aca="1" ref="I72" ca="1">'Tablica IO'!I228*INDEX(Model!$C$93:$CA$93,Model!$A72) + IF(wplyw_cen_import_wlaczony,'Tablica IO'!I306*INDEX(Model!$C$2:$CA$2,Model!$A72),'Tablica IO'!I306*1)</f>
        <v>7.9746049178540824E-3</v>
      </c>
      <c r="J72" s="222" cm="1">
        <f t="array" aca="1" ref="J72" ca="1">'Tablica IO'!J228*INDEX(Model!$C$93:$CA$93,Model!$A72) + IF(wplyw_cen_import_wlaczony,'Tablica IO'!J306*INDEX(Model!$C$2:$CA$2,Model!$A72),'Tablica IO'!J306*1)</f>
        <v>2.3218832218849868E-3</v>
      </c>
      <c r="K72" s="222" cm="1">
        <f t="array" aca="1" ref="K72" ca="1">'Tablica IO'!K228*INDEX(Model!$C$93:$CA$93,Model!$A72) + IF(wplyw_cen_import_wlaczony,'Tablica IO'!K306*INDEX(Model!$C$2:$CA$2,Model!$A72),'Tablica IO'!K306*1)</f>
        <v>5.3407993572469406E-3</v>
      </c>
      <c r="L72" s="222" cm="1">
        <f t="array" aca="1" ref="L72" ca="1">'Tablica IO'!L228*INDEX(Model!$C$93:$CA$93,Model!$A72) + IF(wplyw_cen_import_wlaczony,'Tablica IO'!L306*INDEX(Model!$C$2:$CA$2,Model!$A72),'Tablica IO'!L306*1)</f>
        <v>4.9299121298553607E-3</v>
      </c>
      <c r="M72" s="222" cm="1">
        <f t="array" aca="1" ref="M72" ca="1">'Tablica IO'!M228*INDEX(Model!$C$93:$CA$93,Model!$A72) + IF(wplyw_cen_import_wlaczony,'Tablica IO'!M306*INDEX(Model!$C$2:$CA$2,Model!$A72),'Tablica IO'!M306*1)</f>
        <v>9.900074633427831E-3</v>
      </c>
      <c r="N72" s="222" cm="1">
        <f t="array" aca="1" ref="N72" ca="1">'Tablica IO'!N228*INDEX(Model!$C$93:$CA$93,Model!$A72) + IF(wplyw_cen_import_wlaczony,'Tablica IO'!N306*INDEX(Model!$C$2:$CA$2,Model!$A72),'Tablica IO'!N306*1)</f>
        <v>9.103468724393788E-3</v>
      </c>
      <c r="O72" s="222" cm="1">
        <f t="array" aca="1" ref="O72" ca="1">'Tablica IO'!O228*INDEX(Model!$C$93:$CA$93,Model!$A72) + IF(wplyw_cen_import_wlaczony,'Tablica IO'!O306*INDEX(Model!$C$2:$CA$2,Model!$A72),'Tablica IO'!O306*1)</f>
        <v>8.8413252061322143E-3</v>
      </c>
      <c r="P72" s="222" cm="1">
        <f t="array" aca="1" ref="P72" ca="1">'Tablica IO'!P228*INDEX(Model!$C$93:$CA$93,Model!$A72) + IF(wplyw_cen_import_wlaczony,'Tablica IO'!P306*INDEX(Model!$C$2:$CA$2,Model!$A72),'Tablica IO'!P306*1)</f>
        <v>1.308197618407703E-2</v>
      </c>
      <c r="Q72" s="222" cm="1">
        <f t="array" aca="1" ref="Q72" ca="1">'Tablica IO'!Q228*INDEX(Model!$C$93:$CA$93,Model!$A72) + IF(wplyw_cen_import_wlaczony,'Tablica IO'!Q306*INDEX(Model!$C$2:$CA$2,Model!$A72),'Tablica IO'!Q306*1)</f>
        <v>2.1049350002793452E-3</v>
      </c>
      <c r="R72" s="222" cm="1">
        <f t="array" aca="1" ref="R72" ca="1">'Tablica IO'!R228*INDEX(Model!$C$93:$CA$93,Model!$A72) + IF(wplyw_cen_import_wlaczony,'Tablica IO'!R306*INDEX(Model!$C$2:$CA$2,Model!$A72),'Tablica IO'!R306*1)</f>
        <v>5.2528400149138002E-3</v>
      </c>
      <c r="S72" s="222" cm="1">
        <f t="array" aca="1" ref="S72" ca="1">'Tablica IO'!S228*INDEX(Model!$C$93:$CA$93,Model!$A72) + IF(wplyw_cen_import_wlaczony,'Tablica IO'!S306*INDEX(Model!$C$2:$CA$2,Model!$A72),'Tablica IO'!S306*1)</f>
        <v>7.6456496354801277E-3</v>
      </c>
      <c r="T72" s="222" cm="1">
        <f t="array" aca="1" ref="T72" ca="1">'Tablica IO'!T228*INDEX(Model!$C$93:$CA$93,Model!$A72) + IF(wplyw_cen_import_wlaczony,'Tablica IO'!T306*INDEX(Model!$C$2:$CA$2,Model!$A72),'Tablica IO'!T306*1)</f>
        <v>4.9438039367246337E-3</v>
      </c>
      <c r="U72" s="222" cm="1">
        <f t="array" aca="1" ref="U72" ca="1">'Tablica IO'!U228*INDEX(Model!$C$93:$CA$93,Model!$A72) + IF(wplyw_cen_import_wlaczony,'Tablica IO'!U306*INDEX(Model!$C$2:$CA$2,Model!$A72),'Tablica IO'!U306*1)</f>
        <v>9.5954043057609462E-3</v>
      </c>
      <c r="V72" s="222" cm="1">
        <f t="array" aca="1" ref="V72" ca="1">'Tablica IO'!V228*INDEX(Model!$C$93:$CA$93,Model!$A72) + IF(wplyw_cen_import_wlaczony,'Tablica IO'!V306*INDEX(Model!$C$2:$CA$2,Model!$A72),'Tablica IO'!V306*1)</f>
        <v>3.2248588143078687E-3</v>
      </c>
      <c r="W72" s="222" cm="1">
        <f t="array" aca="1" ref="W72" ca="1">'Tablica IO'!W228*INDEX(Model!$C$93:$CA$93,Model!$A72) + IF(wplyw_cen_import_wlaczony,'Tablica IO'!W306*INDEX(Model!$C$2:$CA$2,Model!$A72),'Tablica IO'!W306*1)</f>
        <v>4.2281646033554502E-3</v>
      </c>
      <c r="X72" s="222" cm="1">
        <f t="array" aca="1" ref="X72" ca="1">'Tablica IO'!X228*INDEX(Model!$C$93:$CA$93,Model!$A72) + IF(wplyw_cen_import_wlaczony,'Tablica IO'!X306*INDEX(Model!$C$2:$CA$2,Model!$A72),'Tablica IO'!X306*1)</f>
        <v>3.409401515425339E-3</v>
      </c>
      <c r="Y72" s="222" cm="1">
        <f t="array" aca="1" ref="Y72" ca="1">'Tablica IO'!Y228*INDEX(Model!$C$93:$CA$93,Model!$A72) + IF(wplyw_cen_import_wlaczony,'Tablica IO'!Y306*INDEX(Model!$C$2:$CA$2,Model!$A72),'Tablica IO'!Y306*1)</f>
        <v>4.3971005313691329E-3</v>
      </c>
      <c r="Z72" s="222" cm="1">
        <f t="array" aca="1" ref="Z72" ca="1">'Tablica IO'!Z228*INDEX(Model!$C$93:$CA$93,Model!$A72) + IF(wplyw_cen_import_wlaczony,'Tablica IO'!Z306*INDEX(Model!$C$2:$CA$2,Model!$A72),'Tablica IO'!Z306*1)</f>
        <v>6.5125462676232197E-3</v>
      </c>
      <c r="AA72" s="222" cm="1">
        <f t="array" aca="1" ref="AA72" ca="1">'Tablica IO'!AA228*INDEX(Model!$C$93:$CA$93,Model!$A72) + IF(wplyw_cen_import_wlaczony,'Tablica IO'!AA306*INDEX(Model!$C$2:$CA$2,Model!$A72),'Tablica IO'!AA306*1)</f>
        <v>2.9388945192518798E-3</v>
      </c>
      <c r="AB72" s="222" cm="1">
        <f t="array" aca="1" ref="AB72" ca="1">'Tablica IO'!AB228*INDEX(Model!$C$93:$CA$93,Model!$A72) + IF(wplyw_cen_import_wlaczony,'Tablica IO'!AB306*INDEX(Model!$C$2:$CA$2,Model!$A72),'Tablica IO'!AB306*1)</f>
        <v>5.1418789689090614E-3</v>
      </c>
      <c r="AC72" s="222" cm="1">
        <f t="array" aca="1" ref="AC72" ca="1">'Tablica IO'!AC228*INDEX(Model!$C$93:$CA$93,Model!$A72) + IF(wplyw_cen_import_wlaczony,'Tablica IO'!AC306*INDEX(Model!$C$2:$CA$2,Model!$A72),'Tablica IO'!AC306*1)</f>
        <v>6.3183925006060357E-3</v>
      </c>
      <c r="AD72" s="222" cm="1">
        <f t="array" aca="1" ref="AD72" ca="1">'Tablica IO'!AD228*INDEX(Model!$C$93:$CA$93,Model!$A72) + IF(wplyw_cen_import_wlaczony,'Tablica IO'!AD306*INDEX(Model!$C$2:$CA$2,Model!$A72),'Tablica IO'!AD306*1)</f>
        <v>3.8665505570675651E-3</v>
      </c>
      <c r="AE72" s="222" cm="1">
        <f t="array" aca="1" ref="AE72" ca="1">'Tablica IO'!AE228*INDEX(Model!$C$93:$CA$93,Model!$A72) + IF(wplyw_cen_import_wlaczony,'Tablica IO'!AE306*INDEX(Model!$C$2:$CA$2,Model!$A72),'Tablica IO'!AE306*1)</f>
        <v>4.493018851969649E-3</v>
      </c>
      <c r="AF72" s="222" cm="1">
        <f t="array" aca="1" ref="AF72" ca="1">'Tablica IO'!AF228*INDEX(Model!$C$93:$CA$93,Model!$A72) + IF(wplyw_cen_import_wlaczony,'Tablica IO'!AF306*INDEX(Model!$C$2:$CA$2,Model!$A72),'Tablica IO'!AF306*1)</f>
        <v>5.1640467555390535E-3</v>
      </c>
      <c r="AG72" s="222" cm="1">
        <f t="array" aca="1" ref="AG72" ca="1">'Tablica IO'!AG228*INDEX(Model!$C$93:$CA$93,Model!$A72) + IF(wplyw_cen_import_wlaczony,'Tablica IO'!AG306*INDEX(Model!$C$2:$CA$2,Model!$A72),'Tablica IO'!AG306*1)</f>
        <v>6.6994423899971577E-3</v>
      </c>
      <c r="AH72" s="222" cm="1">
        <f t="array" aca="1" ref="AH72" ca="1">'Tablica IO'!AH228*INDEX(Model!$C$93:$CA$93,Model!$A72) + IF(wplyw_cen_import_wlaczony,'Tablica IO'!AH306*INDEX(Model!$C$2:$CA$2,Model!$A72),'Tablica IO'!AH306*1)</f>
        <v>1.2352753948198979E-2</v>
      </c>
      <c r="AI72" s="222" cm="1">
        <f t="array" aca="1" ref="AI72" ca="1">'Tablica IO'!AI228*INDEX(Model!$C$93:$CA$93,Model!$A72) + IF(wplyw_cen_import_wlaczony,'Tablica IO'!AI306*INDEX(Model!$C$2:$CA$2,Model!$A72),'Tablica IO'!AI306*1)</f>
        <v>1.1331249063030978E-2</v>
      </c>
      <c r="AJ72" s="222" cm="1">
        <f t="array" aca="1" ref="AJ72" ca="1">'Tablica IO'!AJ228*INDEX(Model!$C$93:$CA$93,Model!$A72) + IF(wplyw_cen_import_wlaczony,'Tablica IO'!AJ306*INDEX(Model!$C$2:$CA$2,Model!$A72),'Tablica IO'!AJ306*1)</f>
        <v>6.0663910724353945E-3</v>
      </c>
      <c r="AK72" s="222" cm="1">
        <f t="array" aca="1" ref="AK72" ca="1">'Tablica IO'!AK228*INDEX(Model!$C$93:$CA$93,Model!$A72) + IF(wplyw_cen_import_wlaczony,'Tablica IO'!AK306*INDEX(Model!$C$2:$CA$2,Model!$A72),'Tablica IO'!AK306*1)</f>
        <v>8.599774951213229E-3</v>
      </c>
      <c r="AL72" s="222" cm="1">
        <f t="array" aca="1" ref="AL72" ca="1">'Tablica IO'!AL228*INDEX(Model!$C$93:$CA$93,Model!$A72) + IF(wplyw_cen_import_wlaczony,'Tablica IO'!AL306*INDEX(Model!$C$2:$CA$2,Model!$A72),'Tablica IO'!AL306*1)</f>
        <v>8.7618023354315011E-3</v>
      </c>
      <c r="AM72" s="222" cm="1">
        <f t="array" aca="1" ref="AM72" ca="1">'Tablica IO'!AM228*INDEX(Model!$C$93:$CA$93,Model!$A72) + IF(wplyw_cen_import_wlaczony,'Tablica IO'!AM306*INDEX(Model!$C$2:$CA$2,Model!$A72),'Tablica IO'!AM306*1)</f>
        <v>4.5005201796891811E-3</v>
      </c>
      <c r="AN72" s="222" cm="1">
        <f t="array" aca="1" ref="AN72" ca="1">'Tablica IO'!AN228*INDEX(Model!$C$93:$CA$93,Model!$A72) + IF(wplyw_cen_import_wlaczony,'Tablica IO'!AN306*INDEX(Model!$C$2:$CA$2,Model!$A72),'Tablica IO'!AN306*1)</f>
        <v>2.4444908347576441E-2</v>
      </c>
      <c r="AO72" s="222" cm="1">
        <f t="array" aca="1" ref="AO72" ca="1">'Tablica IO'!AO228*INDEX(Model!$C$93:$CA$93,Model!$A72) + IF(wplyw_cen_import_wlaczony,'Tablica IO'!AO306*INDEX(Model!$C$2:$CA$2,Model!$A72),'Tablica IO'!AO306*1)</f>
        <v>5.9113742470070813E-2</v>
      </c>
      <c r="AP72" s="222" cm="1">
        <f t="array" aca="1" ref="AP72" ca="1">'Tablica IO'!AP228*INDEX(Model!$C$93:$CA$93,Model!$A72) + IF(wplyw_cen_import_wlaczony,'Tablica IO'!AP306*INDEX(Model!$C$2:$CA$2,Model!$A72),'Tablica IO'!AP306*1)</f>
        <v>8.2436911722027079E-3</v>
      </c>
      <c r="AQ72" s="222" cm="1">
        <f t="array" aca="1" ref="AQ72" ca="1">'Tablica IO'!AQ228*INDEX(Model!$C$93:$CA$93,Model!$A72) + IF(wplyw_cen_import_wlaczony,'Tablica IO'!AQ306*INDEX(Model!$C$2:$CA$2,Model!$A72),'Tablica IO'!AQ306*1)</f>
        <v>1.857389940550953E-2</v>
      </c>
      <c r="AR72" s="222" cm="1">
        <f t="array" aca="1" ref="AR72" ca="1">'Tablica IO'!AR228*INDEX(Model!$C$93:$CA$93,Model!$A72) + IF(wplyw_cen_import_wlaczony,'Tablica IO'!AR306*INDEX(Model!$C$2:$CA$2,Model!$A72),'Tablica IO'!AR306*1)</f>
        <v>6.7097401383659269E-3</v>
      </c>
      <c r="AS72" s="222" cm="1">
        <f t="array" aca="1" ref="AS72" ca="1">'Tablica IO'!AS228*INDEX(Model!$C$93:$CA$93,Model!$A72) + IF(wplyw_cen_import_wlaczony,'Tablica IO'!AS306*INDEX(Model!$C$2:$CA$2,Model!$A72),'Tablica IO'!AS306*1)</f>
        <v>9.0579537817224148E-3</v>
      </c>
      <c r="AT72" s="222" cm="1">
        <f t="array" aca="1" ref="AT72" ca="1">'Tablica IO'!AT228*INDEX(Model!$C$93:$CA$93,Model!$A72) + IF(wplyw_cen_import_wlaczony,'Tablica IO'!AT306*INDEX(Model!$C$2:$CA$2,Model!$A72),'Tablica IO'!AT306*1)</f>
        <v>1.0192661061516478E-2</v>
      </c>
      <c r="AU72" s="222" cm="1">
        <f t="array" aca="1" ref="AU72" ca="1">'Tablica IO'!AU228*INDEX(Model!$C$93:$CA$93,Model!$A72) + IF(wplyw_cen_import_wlaczony,'Tablica IO'!AU306*INDEX(Model!$C$2:$CA$2,Model!$A72),'Tablica IO'!AU306*1)</f>
        <v>1.157627399245306E-2</v>
      </c>
      <c r="AV72" s="222" cm="1">
        <f t="array" aca="1" ref="AV72" ca="1">'Tablica IO'!AV228*INDEX(Model!$C$93:$CA$93,Model!$A72) + IF(wplyw_cen_import_wlaczony,'Tablica IO'!AV306*INDEX(Model!$C$2:$CA$2,Model!$A72),'Tablica IO'!AV306*1)</f>
        <v>2.717264860871885E-2</v>
      </c>
      <c r="AW72" s="222" cm="1">
        <f t="array" aca="1" ref="AW72" ca="1">'Tablica IO'!AW228*INDEX(Model!$C$93:$CA$93,Model!$A72) + IF(wplyw_cen_import_wlaczony,'Tablica IO'!AW306*INDEX(Model!$C$2:$CA$2,Model!$A72),'Tablica IO'!AW306*1)</f>
        <v>1.056931125560393E-2</v>
      </c>
      <c r="AX72" s="222" cm="1">
        <f t="array" aca="1" ref="AX72" ca="1">'Tablica IO'!AX228*INDEX(Model!$C$93:$CA$93,Model!$A72) + IF(wplyw_cen_import_wlaczony,'Tablica IO'!AX306*INDEX(Model!$C$2:$CA$2,Model!$A72),'Tablica IO'!AX306*1)</f>
        <v>1.4738655424628018E-2</v>
      </c>
      <c r="AY72" s="222" cm="1">
        <f t="array" aca="1" ref="AY72" ca="1">'Tablica IO'!AY228*INDEX(Model!$C$93:$CA$93,Model!$A72) + IF(wplyw_cen_import_wlaczony,'Tablica IO'!AY306*INDEX(Model!$C$2:$CA$2,Model!$A72),'Tablica IO'!AY306*1)</f>
        <v>1.516983023165793E-3</v>
      </c>
      <c r="AZ72" s="222" cm="1">
        <f t="array" aca="1" ref="AZ72" ca="1">'Tablica IO'!AZ228*INDEX(Model!$C$93:$CA$93,Model!$A72) + IF(wplyw_cen_import_wlaczony,'Tablica IO'!AZ306*INDEX(Model!$C$2:$CA$2,Model!$A72),'Tablica IO'!AZ306*1)</f>
        <v>4.6001066850512187E-4</v>
      </c>
      <c r="BA72" s="222" cm="1">
        <f t="array" aca="1" ref="BA72" ca="1">'Tablica IO'!BA228*INDEX(Model!$C$93:$CA$93,Model!$A72) + IF(wplyw_cen_import_wlaczony,'Tablica IO'!BA306*INDEX(Model!$C$2:$CA$2,Model!$A72),'Tablica IO'!BA306*1)</f>
        <v>8.4317764490538672E-3</v>
      </c>
      <c r="BB72" s="222" cm="1">
        <f t="array" aca="1" ref="BB72" ca="1">'Tablica IO'!BB228*INDEX(Model!$C$93:$CA$93,Model!$A72) + IF(wplyw_cen_import_wlaczony,'Tablica IO'!BB306*INDEX(Model!$C$2:$CA$2,Model!$A72),'Tablica IO'!BB306*1)</f>
        <v>1.1788511530806027E-3</v>
      </c>
      <c r="BC72" s="222" cm="1">
        <f t="array" aca="1" ref="BC72" ca="1">'Tablica IO'!BC228*INDEX(Model!$C$93:$CA$93,Model!$A72) + IF(wplyw_cen_import_wlaczony,'Tablica IO'!BC306*INDEX(Model!$C$2:$CA$2,Model!$A72),'Tablica IO'!BC306*1)</f>
        <v>1.3258340789210061E-2</v>
      </c>
      <c r="BD72" s="222" cm="1">
        <f t="array" aca="1" ref="BD72" ca="1">'Tablica IO'!BD228*INDEX(Model!$C$93:$CA$93,Model!$A72) + IF(wplyw_cen_import_wlaczony,'Tablica IO'!BD306*INDEX(Model!$C$2:$CA$2,Model!$A72),'Tablica IO'!BD306*1)</f>
        <v>9.1787910574361638E-3</v>
      </c>
      <c r="BE72" s="222" cm="1">
        <f t="array" aca="1" ref="BE72" ca="1">'Tablica IO'!BE228*INDEX(Model!$C$93:$CA$93,Model!$A72) + IF(wplyw_cen_import_wlaczony,'Tablica IO'!BE306*INDEX(Model!$C$2:$CA$2,Model!$A72),'Tablica IO'!BE306*1)</f>
        <v>6.8945578420747432E-3</v>
      </c>
      <c r="BF72" s="222" cm="1">
        <f t="array" aca="1" ref="BF72" ca="1">'Tablica IO'!BF228*INDEX(Model!$C$93:$CA$93,Model!$A72) + IF(wplyw_cen_import_wlaczony,'Tablica IO'!BF306*INDEX(Model!$C$2:$CA$2,Model!$A72),'Tablica IO'!BF306*1)</f>
        <v>5.7314524190273395E-3</v>
      </c>
      <c r="BG72" s="222" cm="1">
        <f t="array" aca="1" ref="BG72" ca="1">'Tablica IO'!BG228*INDEX(Model!$C$93:$CA$93,Model!$A72) + IF(wplyw_cen_import_wlaczony,'Tablica IO'!BG306*INDEX(Model!$C$2:$CA$2,Model!$A72),'Tablica IO'!BG306*1)</f>
        <v>7.0649372580836875E-3</v>
      </c>
      <c r="BH72" s="222" cm="1">
        <f t="array" aca="1" ref="BH72" ca="1">'Tablica IO'!BH228*INDEX(Model!$C$93:$CA$93,Model!$A72) + IF(wplyw_cen_import_wlaczony,'Tablica IO'!BH306*INDEX(Model!$C$2:$CA$2,Model!$A72),'Tablica IO'!BH306*1)</f>
        <v>1.3511651017400216E-2</v>
      </c>
      <c r="BI72" s="222" cm="1">
        <f t="array" aca="1" ref="BI72" ca="1">'Tablica IO'!BI228*INDEX(Model!$C$93:$CA$93,Model!$A72) + IF(wplyw_cen_import_wlaczony,'Tablica IO'!BI306*INDEX(Model!$C$2:$CA$2,Model!$A72),'Tablica IO'!BI306*1)</f>
        <v>1.949440013177288E-3</v>
      </c>
      <c r="BJ72" s="222" cm="1">
        <f t="array" aca="1" ref="BJ72" ca="1">'Tablica IO'!BJ228*INDEX(Model!$C$93:$CA$93,Model!$A72) + IF(wplyw_cen_import_wlaczony,'Tablica IO'!BJ306*INDEX(Model!$C$2:$CA$2,Model!$A72),'Tablica IO'!BJ306*1)</f>
        <v>2.8209060298892041E-2</v>
      </c>
      <c r="BK72" s="222" cm="1">
        <f t="array" aca="1" ref="BK72" ca="1">'Tablica IO'!BK228*INDEX(Model!$C$93:$CA$93,Model!$A72) + IF(wplyw_cen_import_wlaczony,'Tablica IO'!BK306*INDEX(Model!$C$2:$CA$2,Model!$A72),'Tablica IO'!BK306*1)</f>
        <v>9.5563121007489361E-3</v>
      </c>
      <c r="BL72" s="222" cm="1">
        <f t="array" aca="1" ref="BL72" ca="1">'Tablica IO'!BL228*INDEX(Model!$C$93:$CA$93,Model!$A72) + IF(wplyw_cen_import_wlaczony,'Tablica IO'!BL306*INDEX(Model!$C$2:$CA$2,Model!$A72),'Tablica IO'!BL306*1)</f>
        <v>9.2862932429439559E-3</v>
      </c>
      <c r="BM72" s="222" cm="1">
        <f t="array" aca="1" ref="BM72" ca="1">'Tablica IO'!BM228*INDEX(Model!$C$93:$CA$93,Model!$A72) + IF(wplyw_cen_import_wlaczony,'Tablica IO'!BM306*INDEX(Model!$C$2:$CA$2,Model!$A72),'Tablica IO'!BM306*1)</f>
        <v>2.2293762727176442E-2</v>
      </c>
      <c r="BN72" s="222" cm="1">
        <f t="array" aca="1" ref="BN72" ca="1">'Tablica IO'!BN228*INDEX(Model!$C$93:$CA$93,Model!$A72) + IF(wplyw_cen_import_wlaczony,'Tablica IO'!BN306*INDEX(Model!$C$2:$CA$2,Model!$A72),'Tablica IO'!BN306*1)</f>
        <v>2.227001919078438E-2</v>
      </c>
      <c r="BO72" s="222" cm="1">
        <f t="array" aca="1" ref="BO72" ca="1">'Tablica IO'!BO228*INDEX(Model!$C$93:$CA$93,Model!$A72) + IF(wplyw_cen_import_wlaczony,'Tablica IO'!BO306*INDEX(Model!$C$2:$CA$2,Model!$A72),'Tablica IO'!BO306*1)</f>
        <v>1.9436742719594554E-2</v>
      </c>
      <c r="BP72" s="222" cm="1">
        <f t="array" aca="1" ref="BP72" ca="1">'Tablica IO'!BP228*INDEX(Model!$C$93:$CA$93,Model!$A72) + IF(wplyw_cen_import_wlaczony,'Tablica IO'!BP306*INDEX(Model!$C$2:$CA$2,Model!$A72),'Tablica IO'!BP306*1)</f>
        <v>1.6109410042880923E-3</v>
      </c>
      <c r="BQ72" s="222" cm="1">
        <f t="array" aca="1" ref="BQ72" ca="1">'Tablica IO'!BQ228*INDEX(Model!$C$93:$CA$93,Model!$A72) + IF(wplyw_cen_import_wlaczony,'Tablica IO'!BQ306*INDEX(Model!$C$2:$CA$2,Model!$A72),'Tablica IO'!BQ306*1)</f>
        <v>3.0086721491792557E-3</v>
      </c>
      <c r="BR72" s="222" cm="1">
        <f t="array" aca="1" ref="BR72" ca="1">'Tablica IO'!BR228*INDEX(Model!$C$93:$CA$93,Model!$A72) + IF(wplyw_cen_import_wlaczony,'Tablica IO'!BR306*INDEX(Model!$C$2:$CA$2,Model!$A72),'Tablica IO'!BR306*1)</f>
        <v>3.972129767818613E-3</v>
      </c>
      <c r="BS72" s="222" cm="1">
        <f t="array" aca="1" ref="BS72" ca="1">'Tablica IO'!BS228*INDEX(Model!$C$93:$CA$93,Model!$A72) + IF(wplyw_cen_import_wlaczony,'Tablica IO'!BS306*INDEX(Model!$C$2:$CA$2,Model!$A72),'Tablica IO'!BS306*1)</f>
        <v>5.3291936814637937E-3</v>
      </c>
      <c r="BT72" s="222" cm="1">
        <f t="array" aca="1" ref="BT72" ca="1">'Tablica IO'!BT228*INDEX(Model!$C$93:$CA$93,Model!$A72) + IF(wplyw_cen_import_wlaczony,'Tablica IO'!BT306*INDEX(Model!$C$2:$CA$2,Model!$A72),'Tablica IO'!BT306*1)</f>
        <v>1.6865897425017234E-2</v>
      </c>
      <c r="BU72" s="222" cm="1">
        <f t="array" aca="1" ref="BU72" ca="1">'Tablica IO'!BU228*INDEX(Model!$C$93:$CA$93,Model!$A72) + IF(wplyw_cen_import_wlaczony,'Tablica IO'!BU306*INDEX(Model!$C$2:$CA$2,Model!$A72),'Tablica IO'!BU306*1)</f>
        <v>9.6592020808635264E-3</v>
      </c>
      <c r="BV72" s="222" cm="1">
        <f t="array" aca="1" ref="BV72" ca="1">'Tablica IO'!BV228*INDEX(Model!$C$93:$CA$93,Model!$A72) + IF(wplyw_cen_import_wlaczony,'Tablica IO'!BV306*INDEX(Model!$C$2:$CA$2,Model!$A72),'Tablica IO'!BV306*1)</f>
        <v>1.0643863658492713E-2</v>
      </c>
      <c r="BW72" s="222" cm="1">
        <f t="array" aca="1" ref="BW72" ca="1">'Tablica IO'!BW228*INDEX(Model!$C$93:$CA$93,Model!$A72) + IF(wplyw_cen_import_wlaczony,'Tablica IO'!BW306*INDEX(Model!$C$2:$CA$2,Model!$A72),'Tablica IO'!BW306*1)</f>
        <v>2.7564844931187014E-2</v>
      </c>
      <c r="BX72" s="222" cm="1">
        <f t="array" aca="1" ref="BX72" ca="1">'Tablica IO'!BX228*INDEX(Model!$C$93:$CA$93,Model!$A72) + IF(wplyw_cen_import_wlaczony,'Tablica IO'!BX306*INDEX(Model!$C$2:$CA$2,Model!$A72),'Tablica IO'!BX306*1)</f>
        <v>6.5959301564695466E-5</v>
      </c>
      <c r="BY72" s="222" cm="1">
        <f t="array" aca="1" ref="BY72" ca="1">'Tablica IO'!BY228*INDEX(Model!$C$93:$CA$93,Model!$A72) + IF(wplyw_cen_import_wlaczony,'Tablica IO'!BY306*INDEX(Model!$C$2:$CA$2,Model!$A72),'Tablica IO'!BY306*1)</f>
        <v>7.4174743832716352E-3</v>
      </c>
      <c r="BZ72" s="222" cm="1">
        <f t="array" aca="1" ref="BZ72" ca="1">'Tablica IO'!BZ228*INDEX(Model!$C$93:$CA$93,Model!$A72) + IF(wplyw_cen_import_wlaczony,'Tablica IO'!BZ306*INDEX(Model!$C$2:$CA$2,Model!$A72),'Tablica IO'!BZ306*1)</f>
        <v>1.1290477004064079E-2</v>
      </c>
      <c r="CA72" s="222" cm="1">
        <f t="array" aca="1" ref="CA72" ca="1">'Tablica IO'!CA228*INDEX(Model!$C$93:$CA$93,Model!$A72) + IF(wplyw_cen_import_wlaczony,'Tablica IO'!CA306*INDEX(Model!$C$2:$CA$2,Model!$A72),'Tablica IO'!CA306*1)</f>
        <v>0</v>
      </c>
      <c r="CB72" s="247">
        <f ca="1">'Tablica IO'!CD228*INDEX(Model!$C$93:$CA$93,Model!$A72)+'Tablica IO'!CD306*INDEX(Model!$C$2:$CA$2,Model!$A72)</f>
        <v>6.9382118033958998E-3</v>
      </c>
      <c r="CC72" s="188">
        <f ca="1">'Tablica IO'!CE228*INDEX(Model!$C$93:$CA$93,Model!$A72)+'Tablica IO'!CE306*INDEX(Model!$C$2:$CA$2,Model!$A72)</f>
        <v>0</v>
      </c>
      <c r="CD72" s="188">
        <f ca="1">'Tablica IO'!CF228*INDEX(Model!$C$93:$CA$93,Model!$A72)+'Tablica IO'!CF306*INDEX(Model!$C$2:$CA$2,Model!$A72)</f>
        <v>1.3206675929572614E-4</v>
      </c>
      <c r="CE72" s="189">
        <f ca="1">'Tablica IO'!CG228*INDEX(Model!$C$93:$CA$93,Model!$A72)+'Tablica IO'!CG306*INDEX(Model!$C$2:$CA$2,Model!$A72)</f>
        <v>7.660891112106021E-4</v>
      </c>
    </row>
    <row r="73" spans="1:83" x14ac:dyDescent="0.25">
      <c r="A73" s="164">
        <v>61</v>
      </c>
      <c r="B73" s="172" t="s">
        <v>60</v>
      </c>
      <c r="C73" s="221" cm="1">
        <f t="array" aca="1" ref="C73" ca="1">'Tablica IO'!C229*INDEX(Model!$C$93:$CA$93,Model!$A73) + IF(wplyw_cen_import_wlaczony,'Tablica IO'!C307*INDEX(Model!$C$2:$CA$2,Model!$A73),'Tablica IO'!C307*1)</f>
        <v>1.2260094021334755E-4</v>
      </c>
      <c r="D73" s="222" cm="1">
        <f t="array" aca="1" ref="D73" ca="1">'Tablica IO'!D229*INDEX(Model!$C$93:$CA$93,Model!$A73) + IF(wplyw_cen_import_wlaczony,'Tablica IO'!D307*INDEX(Model!$C$2:$CA$2,Model!$A73),'Tablica IO'!D307*1)</f>
        <v>2.4699262815799788E-5</v>
      </c>
      <c r="E73" s="222" cm="1">
        <f t="array" aca="1" ref="E73" ca="1">'Tablica IO'!E229*INDEX(Model!$C$93:$CA$93,Model!$A73) + IF(wplyw_cen_import_wlaczony,'Tablica IO'!E307*INDEX(Model!$C$2:$CA$2,Model!$A73),'Tablica IO'!E307*1)</f>
        <v>7.1216764674255956E-4</v>
      </c>
      <c r="F73" s="222" cm="1">
        <f t="array" aca="1" ref="F73" ca="1">'Tablica IO'!F229*INDEX(Model!$C$93:$CA$93,Model!$A73) + IF(wplyw_cen_import_wlaczony,'Tablica IO'!F307*INDEX(Model!$C$2:$CA$2,Model!$A73),'Tablica IO'!F307*1)</f>
        <v>6.8916209881265798E-5</v>
      </c>
      <c r="G73" s="222" cm="1">
        <f t="array" aca="1" ref="G73" ca="1">'Tablica IO'!G229*INDEX(Model!$C$93:$CA$93,Model!$A73) + IF(wplyw_cen_import_wlaczony,'Tablica IO'!G307*INDEX(Model!$C$2:$CA$2,Model!$A73),'Tablica IO'!G307*1)</f>
        <v>3.7817307083842669E-4</v>
      </c>
      <c r="H73" s="222" cm="1">
        <f t="array" aca="1" ref="H73" ca="1">'Tablica IO'!H229*INDEX(Model!$C$93:$CA$93,Model!$A73) + IF(wplyw_cen_import_wlaczony,'Tablica IO'!H307*INDEX(Model!$C$2:$CA$2,Model!$A73),'Tablica IO'!H307*1)</f>
        <v>3.2044680565712917E-3</v>
      </c>
      <c r="I73" s="222" cm="1">
        <f t="array" aca="1" ref="I73" ca="1">'Tablica IO'!I229*INDEX(Model!$C$93:$CA$93,Model!$A73) + IF(wplyw_cen_import_wlaczony,'Tablica IO'!I307*INDEX(Model!$C$2:$CA$2,Model!$A73),'Tablica IO'!I307*1)</f>
        <v>6.826871556757097E-3</v>
      </c>
      <c r="J73" s="222" cm="1">
        <f t="array" aca="1" ref="J73" ca="1">'Tablica IO'!J229*INDEX(Model!$C$93:$CA$93,Model!$A73) + IF(wplyw_cen_import_wlaczony,'Tablica IO'!J307*INDEX(Model!$C$2:$CA$2,Model!$A73),'Tablica IO'!J307*1)</f>
        <v>1.1550380771696097E-2</v>
      </c>
      <c r="K73" s="222" cm="1">
        <f t="array" aca="1" ref="K73" ca="1">'Tablica IO'!K229*INDEX(Model!$C$93:$CA$93,Model!$A73) + IF(wplyw_cen_import_wlaczony,'Tablica IO'!K307*INDEX(Model!$C$2:$CA$2,Model!$A73),'Tablica IO'!K307*1)</f>
        <v>1.3119697542934145E-3</v>
      </c>
      <c r="L73" s="222" cm="1">
        <f t="array" aca="1" ref="L73" ca="1">'Tablica IO'!L229*INDEX(Model!$C$93:$CA$93,Model!$A73) + IF(wplyw_cen_import_wlaczony,'Tablica IO'!L307*INDEX(Model!$C$2:$CA$2,Model!$A73),'Tablica IO'!L307*1)</f>
        <v>1.3381132707573774E-3</v>
      </c>
      <c r="M73" s="222" cm="1">
        <f t="array" aca="1" ref="M73" ca="1">'Tablica IO'!M229*INDEX(Model!$C$93:$CA$93,Model!$A73) + IF(wplyw_cen_import_wlaczony,'Tablica IO'!M307*INDEX(Model!$C$2:$CA$2,Model!$A73),'Tablica IO'!M307*1)</f>
        <v>4.0920325407190308E-4</v>
      </c>
      <c r="N73" s="222" cm="1">
        <f t="array" aca="1" ref="N73" ca="1">'Tablica IO'!N229*INDEX(Model!$C$93:$CA$93,Model!$A73) + IF(wplyw_cen_import_wlaczony,'Tablica IO'!N307*INDEX(Model!$C$2:$CA$2,Model!$A73),'Tablica IO'!N307*1)</f>
        <v>3.1087633109763329E-3</v>
      </c>
      <c r="O73" s="222" cm="1">
        <f t="array" aca="1" ref="O73" ca="1">'Tablica IO'!O229*INDEX(Model!$C$93:$CA$93,Model!$A73) + IF(wplyw_cen_import_wlaczony,'Tablica IO'!O307*INDEX(Model!$C$2:$CA$2,Model!$A73),'Tablica IO'!O307*1)</f>
        <v>4.5073413956289261E-3</v>
      </c>
      <c r="P73" s="222" cm="1">
        <f t="array" aca="1" ref="P73" ca="1">'Tablica IO'!P229*INDEX(Model!$C$93:$CA$93,Model!$A73) + IF(wplyw_cen_import_wlaczony,'Tablica IO'!P307*INDEX(Model!$C$2:$CA$2,Model!$A73),'Tablica IO'!P307*1)</f>
        <v>3.1867840618517301E-3</v>
      </c>
      <c r="Q73" s="222" cm="1">
        <f t="array" aca="1" ref="Q73" ca="1">'Tablica IO'!Q229*INDEX(Model!$C$93:$CA$93,Model!$A73) + IF(wplyw_cen_import_wlaczony,'Tablica IO'!Q307*INDEX(Model!$C$2:$CA$2,Model!$A73),'Tablica IO'!Q307*1)</f>
        <v>5.0950662176773787E-5</v>
      </c>
      <c r="R73" s="222" cm="1">
        <f t="array" aca="1" ref="R73" ca="1">'Tablica IO'!R229*INDEX(Model!$C$93:$CA$93,Model!$A73) + IF(wplyw_cen_import_wlaczony,'Tablica IO'!R307*INDEX(Model!$C$2:$CA$2,Model!$A73),'Tablica IO'!R307*1)</f>
        <v>3.449441466877669E-3</v>
      </c>
      <c r="S73" s="222" cm="1">
        <f t="array" aca="1" ref="S73" ca="1">'Tablica IO'!S229*INDEX(Model!$C$93:$CA$93,Model!$A73) + IF(wplyw_cen_import_wlaczony,'Tablica IO'!S307*INDEX(Model!$C$2:$CA$2,Model!$A73),'Tablica IO'!S307*1)</f>
        <v>1.9413521980856042E-2</v>
      </c>
      <c r="T73" s="222" cm="1">
        <f t="array" aca="1" ref="T73" ca="1">'Tablica IO'!T229*INDEX(Model!$C$93:$CA$93,Model!$A73) + IF(wplyw_cen_import_wlaczony,'Tablica IO'!T307*INDEX(Model!$C$2:$CA$2,Model!$A73),'Tablica IO'!T307*1)</f>
        <v>6.1359276502942787E-3</v>
      </c>
      <c r="U73" s="222" cm="1">
        <f t="array" aca="1" ref="U73" ca="1">'Tablica IO'!U229*INDEX(Model!$C$93:$CA$93,Model!$A73) + IF(wplyw_cen_import_wlaczony,'Tablica IO'!U307*INDEX(Model!$C$2:$CA$2,Model!$A73),'Tablica IO'!U307*1)</f>
        <v>7.0081994032829735E-3</v>
      </c>
      <c r="V73" s="222" cm="1">
        <f t="array" aca="1" ref="V73" ca="1">'Tablica IO'!V229*INDEX(Model!$C$93:$CA$93,Model!$A73) + IF(wplyw_cen_import_wlaczony,'Tablica IO'!V307*INDEX(Model!$C$2:$CA$2,Model!$A73),'Tablica IO'!V307*1)</f>
        <v>4.904756874710617E-3</v>
      </c>
      <c r="W73" s="222" cm="1">
        <f t="array" aca="1" ref="W73" ca="1">'Tablica IO'!W229*INDEX(Model!$C$93:$CA$93,Model!$A73) + IF(wplyw_cen_import_wlaczony,'Tablica IO'!W307*INDEX(Model!$C$2:$CA$2,Model!$A73),'Tablica IO'!W307*1)</f>
        <v>2.7172987393554574E-3</v>
      </c>
      <c r="X73" s="222" cm="1">
        <f t="array" aca="1" ref="X73" ca="1">'Tablica IO'!X229*INDEX(Model!$C$93:$CA$93,Model!$A73) + IF(wplyw_cen_import_wlaczony,'Tablica IO'!X307*INDEX(Model!$C$2:$CA$2,Model!$A73),'Tablica IO'!X307*1)</f>
        <v>8.2624761468834771E-3</v>
      </c>
      <c r="Y73" s="222" cm="1">
        <f t="array" aca="1" ref="Y73" ca="1">'Tablica IO'!Y229*INDEX(Model!$C$93:$CA$93,Model!$A73) + IF(wplyw_cen_import_wlaczony,'Tablica IO'!Y307*INDEX(Model!$C$2:$CA$2,Model!$A73),'Tablica IO'!Y307*1)</f>
        <v>3.5082636537888835E-3</v>
      </c>
      <c r="Z73" s="222" cm="1">
        <f t="array" aca="1" ref="Z73" ca="1">'Tablica IO'!Z229*INDEX(Model!$C$93:$CA$93,Model!$A73) + IF(wplyw_cen_import_wlaczony,'Tablica IO'!Z307*INDEX(Model!$C$2:$CA$2,Model!$A73),'Tablica IO'!Z307*1)</f>
        <v>1.6123296985932688E-3</v>
      </c>
      <c r="AA73" s="222" cm="1">
        <f t="array" aca="1" ref="AA73" ca="1">'Tablica IO'!AA229*INDEX(Model!$C$93:$CA$93,Model!$A73) + IF(wplyw_cen_import_wlaczony,'Tablica IO'!AA307*INDEX(Model!$C$2:$CA$2,Model!$A73),'Tablica IO'!AA307*1)</f>
        <v>3.9530531868953202E-3</v>
      </c>
      <c r="AB73" s="222" cm="1">
        <f t="array" aca="1" ref="AB73" ca="1">'Tablica IO'!AB229*INDEX(Model!$C$93:$CA$93,Model!$A73) + IF(wplyw_cen_import_wlaczony,'Tablica IO'!AB307*INDEX(Model!$C$2:$CA$2,Model!$A73),'Tablica IO'!AB307*1)</f>
        <v>5.5853871234232859E-4</v>
      </c>
      <c r="AC73" s="222" cm="1">
        <f t="array" aca="1" ref="AC73" ca="1">'Tablica IO'!AC229*INDEX(Model!$C$93:$CA$93,Model!$A73) + IF(wplyw_cen_import_wlaczony,'Tablica IO'!AC307*INDEX(Model!$C$2:$CA$2,Model!$A73),'Tablica IO'!AC307*1)</f>
        <v>3.4583298027473516E-4</v>
      </c>
      <c r="AD73" s="222" cm="1">
        <f t="array" aca="1" ref="AD73" ca="1">'Tablica IO'!AD229*INDEX(Model!$C$93:$CA$93,Model!$A73) + IF(wplyw_cen_import_wlaczony,'Tablica IO'!AD307*INDEX(Model!$C$2:$CA$2,Model!$A73),'Tablica IO'!AD307*1)</f>
        <v>1.7374720908142768E-3</v>
      </c>
      <c r="AE73" s="222" cm="1">
        <f t="array" aca="1" ref="AE73" ca="1">'Tablica IO'!AE229*INDEX(Model!$C$93:$CA$93,Model!$A73) + IF(wplyw_cen_import_wlaczony,'Tablica IO'!AE307*INDEX(Model!$C$2:$CA$2,Model!$A73),'Tablica IO'!AE307*1)</f>
        <v>8.2900345069092368E-3</v>
      </c>
      <c r="AF73" s="222" cm="1">
        <f t="array" aca="1" ref="AF73" ca="1">'Tablica IO'!AF229*INDEX(Model!$C$93:$CA$93,Model!$A73) + IF(wplyw_cen_import_wlaczony,'Tablica IO'!AF307*INDEX(Model!$C$2:$CA$2,Model!$A73),'Tablica IO'!AF307*1)</f>
        <v>2.4895477952866505E-4</v>
      </c>
      <c r="AG73" s="222" cm="1">
        <f t="array" aca="1" ref="AG73" ca="1">'Tablica IO'!AG229*INDEX(Model!$C$93:$CA$93,Model!$A73) + IF(wplyw_cen_import_wlaczony,'Tablica IO'!AG307*INDEX(Model!$C$2:$CA$2,Model!$A73),'Tablica IO'!AG307*1)</f>
        <v>7.0006214567590888E-5</v>
      </c>
      <c r="AH73" s="222" cm="1">
        <f t="array" aca="1" ref="AH73" ca="1">'Tablica IO'!AH229*INDEX(Model!$C$93:$CA$93,Model!$A73) + IF(wplyw_cen_import_wlaczony,'Tablica IO'!AH307*INDEX(Model!$C$2:$CA$2,Model!$A73),'Tablica IO'!AH307*1)</f>
        <v>1.6770852707869704E-3</v>
      </c>
      <c r="AI73" s="222" cm="1">
        <f t="array" aca="1" ref="AI73" ca="1">'Tablica IO'!AI229*INDEX(Model!$C$93:$CA$93,Model!$A73) + IF(wplyw_cen_import_wlaczony,'Tablica IO'!AI307*INDEX(Model!$C$2:$CA$2,Model!$A73),'Tablica IO'!AI307*1)</f>
        <v>1.9063957003241414E-5</v>
      </c>
      <c r="AJ73" s="222" cm="1">
        <f t="array" aca="1" ref="AJ73" ca="1">'Tablica IO'!AJ229*INDEX(Model!$C$93:$CA$93,Model!$A73) + IF(wplyw_cen_import_wlaczony,'Tablica IO'!AJ307*INDEX(Model!$C$2:$CA$2,Model!$A73),'Tablica IO'!AJ307*1)</f>
        <v>3.2318357866814545E-3</v>
      </c>
      <c r="AK73" s="222" cm="1">
        <f t="array" aca="1" ref="AK73" ca="1">'Tablica IO'!AK229*INDEX(Model!$C$93:$CA$93,Model!$A73) + IF(wplyw_cen_import_wlaczony,'Tablica IO'!AK307*INDEX(Model!$C$2:$CA$2,Model!$A73),'Tablica IO'!AK307*1)</f>
        <v>7.3017653493929286E-3</v>
      </c>
      <c r="AL73" s="222" cm="1">
        <f t="array" aca="1" ref="AL73" ca="1">'Tablica IO'!AL229*INDEX(Model!$C$93:$CA$93,Model!$A73) + IF(wplyw_cen_import_wlaczony,'Tablica IO'!AL307*INDEX(Model!$C$2:$CA$2,Model!$A73),'Tablica IO'!AL307*1)</f>
        <v>4.3598138482730782E-3</v>
      </c>
      <c r="AM73" s="222" cm="1">
        <f t="array" aca="1" ref="AM73" ca="1">'Tablica IO'!AM229*INDEX(Model!$C$93:$CA$93,Model!$A73) + IF(wplyw_cen_import_wlaczony,'Tablica IO'!AM307*INDEX(Model!$C$2:$CA$2,Model!$A73),'Tablica IO'!AM307*1)</f>
        <v>7.7652405188542196E-3</v>
      </c>
      <c r="AN73" s="222" cm="1">
        <f t="array" aca="1" ref="AN73" ca="1">'Tablica IO'!AN229*INDEX(Model!$C$93:$CA$93,Model!$A73) + IF(wplyw_cen_import_wlaczony,'Tablica IO'!AN307*INDEX(Model!$C$2:$CA$2,Model!$A73),'Tablica IO'!AN307*1)</f>
        <v>3.0677978164281275E-3</v>
      </c>
      <c r="AO73" s="222" cm="1">
        <f t="array" aca="1" ref="AO73" ca="1">'Tablica IO'!AO229*INDEX(Model!$C$93:$CA$93,Model!$A73) + IF(wplyw_cen_import_wlaczony,'Tablica IO'!AO307*INDEX(Model!$C$2:$CA$2,Model!$A73),'Tablica IO'!AO307*1)</f>
        <v>1.0136810930371188E-3</v>
      </c>
      <c r="AP73" s="222" cm="1">
        <f t="array" aca="1" ref="AP73" ca="1">'Tablica IO'!AP229*INDEX(Model!$C$93:$CA$93,Model!$A73) + IF(wplyw_cen_import_wlaczony,'Tablica IO'!AP307*INDEX(Model!$C$2:$CA$2,Model!$A73),'Tablica IO'!AP307*1)</f>
        <v>6.4917477785450791E-3</v>
      </c>
      <c r="AQ73" s="222" cm="1">
        <f t="array" aca="1" ref="AQ73" ca="1">'Tablica IO'!AQ229*INDEX(Model!$C$93:$CA$93,Model!$A73) + IF(wplyw_cen_import_wlaczony,'Tablica IO'!AQ307*INDEX(Model!$C$2:$CA$2,Model!$A73),'Tablica IO'!AQ307*1)</f>
        <v>3.0997503359793464E-4</v>
      </c>
      <c r="AR73" s="222" cm="1">
        <f t="array" aca="1" ref="AR73" ca="1">'Tablica IO'!AR229*INDEX(Model!$C$93:$CA$93,Model!$A73) + IF(wplyw_cen_import_wlaczony,'Tablica IO'!AR307*INDEX(Model!$C$2:$CA$2,Model!$A73),'Tablica IO'!AR307*1)</f>
        <v>4.794932425569307E-4</v>
      </c>
      <c r="AS73" s="222" cm="1">
        <f t="array" aca="1" ref="AS73" ca="1">'Tablica IO'!AS229*INDEX(Model!$C$93:$CA$93,Model!$A73) + IF(wplyw_cen_import_wlaczony,'Tablica IO'!AS307*INDEX(Model!$C$2:$CA$2,Model!$A73),'Tablica IO'!AS307*1)</f>
        <v>2.8735995794694776E-2</v>
      </c>
      <c r="AT73" s="222" cm="1">
        <f t="array" aca="1" ref="AT73" ca="1">'Tablica IO'!AT229*INDEX(Model!$C$93:$CA$93,Model!$A73) + IF(wplyw_cen_import_wlaczony,'Tablica IO'!AT307*INDEX(Model!$C$2:$CA$2,Model!$A73),'Tablica IO'!AT307*1)</f>
        <v>2.4081457164298046E-4</v>
      </c>
      <c r="AU73" s="222" cm="1">
        <f t="array" aca="1" ref="AU73" ca="1">'Tablica IO'!AU229*INDEX(Model!$C$93:$CA$93,Model!$A73) + IF(wplyw_cen_import_wlaczony,'Tablica IO'!AU307*INDEX(Model!$C$2:$CA$2,Model!$A73),'Tablica IO'!AU307*1)</f>
        <v>1.0133381927089617E-5</v>
      </c>
      <c r="AV73" s="222" cm="1">
        <f t="array" aca="1" ref="AV73" ca="1">'Tablica IO'!AV229*INDEX(Model!$C$93:$CA$93,Model!$A73) + IF(wplyw_cen_import_wlaczony,'Tablica IO'!AV307*INDEX(Model!$C$2:$CA$2,Model!$A73),'Tablica IO'!AV307*1)</f>
        <v>5.2299800023266167E-3</v>
      </c>
      <c r="AW73" s="222" cm="1">
        <f t="array" aca="1" ref="AW73" ca="1">'Tablica IO'!AW229*INDEX(Model!$C$93:$CA$93,Model!$A73) + IF(wplyw_cen_import_wlaczony,'Tablica IO'!AW307*INDEX(Model!$C$2:$CA$2,Model!$A73),'Tablica IO'!AW307*1)</f>
        <v>8.3979675509244442E-3</v>
      </c>
      <c r="AX73" s="222" cm="1">
        <f t="array" aca="1" ref="AX73" ca="1">'Tablica IO'!AX229*INDEX(Model!$C$93:$CA$93,Model!$A73) + IF(wplyw_cen_import_wlaczony,'Tablica IO'!AX307*INDEX(Model!$C$2:$CA$2,Model!$A73),'Tablica IO'!AX307*1)</f>
        <v>1.1315222276733549E-2</v>
      </c>
      <c r="AY73" s="222" cm="1">
        <f t="array" aca="1" ref="AY73" ca="1">'Tablica IO'!AY229*INDEX(Model!$C$93:$CA$93,Model!$A73) + IF(wplyw_cen_import_wlaczony,'Tablica IO'!AY307*INDEX(Model!$C$2:$CA$2,Model!$A73),'Tablica IO'!AY307*1)</f>
        <v>4.1875704913741567E-4</v>
      </c>
      <c r="AZ73" s="222" cm="1">
        <f t="array" aca="1" ref="AZ73" ca="1">'Tablica IO'!AZ229*INDEX(Model!$C$93:$CA$93,Model!$A73) + IF(wplyw_cen_import_wlaczony,'Tablica IO'!AZ307*INDEX(Model!$C$2:$CA$2,Model!$A73),'Tablica IO'!AZ307*1)</f>
        <v>9.7866833560525585E-4</v>
      </c>
      <c r="BA73" s="222" cm="1">
        <f t="array" aca="1" ref="BA73" ca="1">'Tablica IO'!BA229*INDEX(Model!$C$93:$CA$93,Model!$A73) + IF(wplyw_cen_import_wlaczony,'Tablica IO'!BA307*INDEX(Model!$C$2:$CA$2,Model!$A73),'Tablica IO'!BA307*1)</f>
        <v>1.1323402063557371E-3</v>
      </c>
      <c r="BB73" s="222" cm="1">
        <f t="array" aca="1" ref="BB73" ca="1">'Tablica IO'!BB229*INDEX(Model!$C$93:$CA$93,Model!$A73) + IF(wplyw_cen_import_wlaczony,'Tablica IO'!BB307*INDEX(Model!$C$2:$CA$2,Model!$A73),'Tablica IO'!BB307*1)</f>
        <v>8.3916459661960029E-4</v>
      </c>
      <c r="BC73" s="222" cm="1">
        <f t="array" aca="1" ref="BC73" ca="1">'Tablica IO'!BC229*INDEX(Model!$C$93:$CA$93,Model!$A73) + IF(wplyw_cen_import_wlaczony,'Tablica IO'!BC307*INDEX(Model!$C$2:$CA$2,Model!$A73),'Tablica IO'!BC307*1)</f>
        <v>1.1698497821197111E-2</v>
      </c>
      <c r="BD73" s="222" cm="1">
        <f t="array" aca="1" ref="BD73" ca="1">'Tablica IO'!BD229*INDEX(Model!$C$93:$CA$93,Model!$A73) + IF(wplyw_cen_import_wlaczony,'Tablica IO'!BD307*INDEX(Model!$C$2:$CA$2,Model!$A73),'Tablica IO'!BD307*1)</f>
        <v>1.3205547167014622E-2</v>
      </c>
      <c r="BE73" s="222" cm="1">
        <f t="array" aca="1" ref="BE73" ca="1">'Tablica IO'!BE229*INDEX(Model!$C$93:$CA$93,Model!$A73) + IF(wplyw_cen_import_wlaczony,'Tablica IO'!BE307*INDEX(Model!$C$2:$CA$2,Model!$A73),'Tablica IO'!BE307*1)</f>
        <v>8.3949728592942578E-3</v>
      </c>
      <c r="BF73" s="222" cm="1">
        <f t="array" aca="1" ref="BF73" ca="1">'Tablica IO'!BF229*INDEX(Model!$C$93:$CA$93,Model!$A73) + IF(wplyw_cen_import_wlaczony,'Tablica IO'!BF307*INDEX(Model!$C$2:$CA$2,Model!$A73),'Tablica IO'!BF307*1)</f>
        <v>1.9843448291726829E-4</v>
      </c>
      <c r="BG73" s="222" cm="1">
        <f t="array" aca="1" ref="BG73" ca="1">'Tablica IO'!BG229*INDEX(Model!$C$93:$CA$93,Model!$A73) + IF(wplyw_cen_import_wlaczony,'Tablica IO'!BG307*INDEX(Model!$C$2:$CA$2,Model!$A73),'Tablica IO'!BG307*1)</f>
        <v>4.1417794534966855E-3</v>
      </c>
      <c r="BH73" s="222" cm="1">
        <f t="array" aca="1" ref="BH73" ca="1">'Tablica IO'!BH229*INDEX(Model!$C$93:$CA$93,Model!$A73) + IF(wplyw_cen_import_wlaczony,'Tablica IO'!BH307*INDEX(Model!$C$2:$CA$2,Model!$A73),'Tablica IO'!BH307*1)</f>
        <v>3.3551241802695425E-4</v>
      </c>
      <c r="BI73" s="222" cm="1">
        <f t="array" aca="1" ref="BI73" ca="1">'Tablica IO'!BI229*INDEX(Model!$C$93:$CA$93,Model!$A73) + IF(wplyw_cen_import_wlaczony,'Tablica IO'!BI307*INDEX(Model!$C$2:$CA$2,Model!$A73),'Tablica IO'!BI307*1)</f>
        <v>0</v>
      </c>
      <c r="BJ73" s="222" cm="1">
        <f t="array" aca="1" ref="BJ73" ca="1">'Tablica IO'!BJ229*INDEX(Model!$C$93:$CA$93,Model!$A73) + IF(wplyw_cen_import_wlaczony,'Tablica IO'!BJ307*INDEX(Model!$C$2:$CA$2,Model!$A73),'Tablica IO'!BJ307*1)</f>
        <v>3.0910383578074316E-3</v>
      </c>
      <c r="BK73" s="222" cm="1">
        <f t="array" aca="1" ref="BK73" ca="1">'Tablica IO'!BK229*INDEX(Model!$C$93:$CA$93,Model!$A73) + IF(wplyw_cen_import_wlaczony,'Tablica IO'!BK307*INDEX(Model!$C$2:$CA$2,Model!$A73),'Tablica IO'!BK307*1)</f>
        <v>0.10800698209935804</v>
      </c>
      <c r="BL73" s="222" cm="1">
        <f t="array" aca="1" ref="BL73" ca="1">'Tablica IO'!BL229*INDEX(Model!$C$93:$CA$93,Model!$A73) + IF(wplyw_cen_import_wlaczony,'Tablica IO'!BL307*INDEX(Model!$C$2:$CA$2,Model!$A73),'Tablica IO'!BL307*1)</f>
        <v>6.148120527066708E-4</v>
      </c>
      <c r="BM73" s="222" cm="1">
        <f t="array" aca="1" ref="BM73" ca="1">'Tablica IO'!BM229*INDEX(Model!$C$93:$CA$93,Model!$A73) + IF(wplyw_cen_import_wlaczony,'Tablica IO'!BM307*INDEX(Model!$C$2:$CA$2,Model!$A73),'Tablica IO'!BM307*1)</f>
        <v>3.0255754099640726E-3</v>
      </c>
      <c r="BN73" s="222" cm="1">
        <f t="array" aca="1" ref="BN73" ca="1">'Tablica IO'!BN229*INDEX(Model!$C$93:$CA$93,Model!$A73) + IF(wplyw_cen_import_wlaczony,'Tablica IO'!BN307*INDEX(Model!$C$2:$CA$2,Model!$A73),'Tablica IO'!BN307*1)</f>
        <v>2.1977848328943488E-2</v>
      </c>
      <c r="BO73" s="222" cm="1">
        <f t="array" aca="1" ref="BO73" ca="1">'Tablica IO'!BO229*INDEX(Model!$C$93:$CA$93,Model!$A73) + IF(wplyw_cen_import_wlaczony,'Tablica IO'!BO307*INDEX(Model!$C$2:$CA$2,Model!$A73),'Tablica IO'!BO307*1)</f>
        <v>5.1028452071823485E-3</v>
      </c>
      <c r="BP73" s="222" cm="1">
        <f t="array" aca="1" ref="BP73" ca="1">'Tablica IO'!BP229*INDEX(Model!$C$93:$CA$93,Model!$A73) + IF(wplyw_cen_import_wlaczony,'Tablica IO'!BP307*INDEX(Model!$C$2:$CA$2,Model!$A73),'Tablica IO'!BP307*1)</f>
        <v>1.7781431801664542E-4</v>
      </c>
      <c r="BQ73" s="222" cm="1">
        <f t="array" aca="1" ref="BQ73" ca="1">'Tablica IO'!BQ229*INDEX(Model!$C$93:$CA$93,Model!$A73) + IF(wplyw_cen_import_wlaczony,'Tablica IO'!BQ307*INDEX(Model!$C$2:$CA$2,Model!$A73),'Tablica IO'!BQ307*1)</f>
        <v>8.8754327873300681E-4</v>
      </c>
      <c r="BR73" s="222" cm="1">
        <f t="array" aca="1" ref="BR73" ca="1">'Tablica IO'!BR229*INDEX(Model!$C$93:$CA$93,Model!$A73) + IF(wplyw_cen_import_wlaczony,'Tablica IO'!BR307*INDEX(Model!$C$2:$CA$2,Model!$A73),'Tablica IO'!BR307*1)</f>
        <v>2.8443898258460562E-3</v>
      </c>
      <c r="BS73" s="222" cm="1">
        <f t="array" aca="1" ref="BS73" ca="1">'Tablica IO'!BS229*INDEX(Model!$C$93:$CA$93,Model!$A73) + IF(wplyw_cen_import_wlaczony,'Tablica IO'!BS307*INDEX(Model!$C$2:$CA$2,Model!$A73),'Tablica IO'!BS307*1)</f>
        <v>1.0083472672329854E-4</v>
      </c>
      <c r="BT73" s="222" cm="1">
        <f t="array" aca="1" ref="BT73" ca="1">'Tablica IO'!BT229*INDEX(Model!$C$93:$CA$93,Model!$A73) + IF(wplyw_cen_import_wlaczony,'Tablica IO'!BT307*INDEX(Model!$C$2:$CA$2,Model!$A73),'Tablica IO'!BT307*1)</f>
        <v>1.1733864003975634E-3</v>
      </c>
      <c r="BU73" s="222" cm="1">
        <f t="array" aca="1" ref="BU73" ca="1">'Tablica IO'!BU229*INDEX(Model!$C$93:$CA$93,Model!$A73) + IF(wplyw_cen_import_wlaczony,'Tablica IO'!BU307*INDEX(Model!$C$2:$CA$2,Model!$A73),'Tablica IO'!BU307*1)</f>
        <v>7.4603985471020278E-4</v>
      </c>
      <c r="BV73" s="222" cm="1">
        <f t="array" aca="1" ref="BV73" ca="1">'Tablica IO'!BV229*INDEX(Model!$C$93:$CA$93,Model!$A73) + IF(wplyw_cen_import_wlaczony,'Tablica IO'!BV307*INDEX(Model!$C$2:$CA$2,Model!$A73),'Tablica IO'!BV307*1)</f>
        <v>5.8884525417599021E-4</v>
      </c>
      <c r="BW73" s="222" cm="1">
        <f t="array" aca="1" ref="BW73" ca="1">'Tablica IO'!BW229*INDEX(Model!$C$93:$CA$93,Model!$A73) + IF(wplyw_cen_import_wlaczony,'Tablica IO'!BW307*INDEX(Model!$C$2:$CA$2,Model!$A73),'Tablica IO'!BW307*1)</f>
        <v>1.4634295435938677E-3</v>
      </c>
      <c r="BX73" s="222" cm="1">
        <f t="array" aca="1" ref="BX73" ca="1">'Tablica IO'!BX229*INDEX(Model!$C$93:$CA$93,Model!$A73) + IF(wplyw_cen_import_wlaczony,'Tablica IO'!BX307*INDEX(Model!$C$2:$CA$2,Model!$A73),'Tablica IO'!BX307*1)</f>
        <v>3.3705406075303778E-5</v>
      </c>
      <c r="BY73" s="222" cm="1">
        <f t="array" aca="1" ref="BY73" ca="1">'Tablica IO'!BY229*INDEX(Model!$C$93:$CA$93,Model!$A73) + IF(wplyw_cen_import_wlaczony,'Tablica IO'!BY307*INDEX(Model!$C$2:$CA$2,Model!$A73),'Tablica IO'!BY307*1)</f>
        <v>4.6398210232827475E-4</v>
      </c>
      <c r="BZ73" s="222" cm="1">
        <f t="array" aca="1" ref="BZ73" ca="1">'Tablica IO'!BZ229*INDEX(Model!$C$93:$CA$93,Model!$A73) + IF(wplyw_cen_import_wlaczony,'Tablica IO'!BZ307*INDEX(Model!$C$2:$CA$2,Model!$A73),'Tablica IO'!BZ307*1)</f>
        <v>7.2964612056030038E-4</v>
      </c>
      <c r="CA73" s="222" cm="1">
        <f t="array" aca="1" ref="CA73" ca="1">'Tablica IO'!CA229*INDEX(Model!$C$93:$CA$93,Model!$A73) + IF(wplyw_cen_import_wlaczony,'Tablica IO'!CA307*INDEX(Model!$C$2:$CA$2,Model!$A73),'Tablica IO'!CA307*1)</f>
        <v>0</v>
      </c>
      <c r="CB73" s="247">
        <f ca="1">'Tablica IO'!CD229*INDEX(Model!$C$93:$CA$93,Model!$A73)+'Tablica IO'!CD307*INDEX(Model!$C$2:$CA$2,Model!$A73)</f>
        <v>1.0459454641791853E-4</v>
      </c>
      <c r="CC73" s="188">
        <f ca="1">'Tablica IO'!CE229*INDEX(Model!$C$93:$CA$93,Model!$A73)+'Tablica IO'!CE307*INDEX(Model!$C$2:$CA$2,Model!$A73)</f>
        <v>0</v>
      </c>
      <c r="CD73" s="188">
        <f ca="1">'Tablica IO'!CF229*INDEX(Model!$C$93:$CA$93,Model!$A73)+'Tablica IO'!CF307*INDEX(Model!$C$2:$CA$2,Model!$A73)</f>
        <v>1.269828030499206E-5</v>
      </c>
      <c r="CE73" s="189">
        <f ca="1">'Tablica IO'!CG229*INDEX(Model!$C$93:$CA$93,Model!$A73)+'Tablica IO'!CG307*INDEX(Model!$C$2:$CA$2,Model!$A73)</f>
        <v>0</v>
      </c>
    </row>
    <row r="74" spans="1:83" x14ac:dyDescent="0.25">
      <c r="A74" s="164">
        <v>62</v>
      </c>
      <c r="B74" s="172" t="s">
        <v>61</v>
      </c>
      <c r="C74" s="221" cm="1">
        <f t="array" aca="1" ref="C74" ca="1">'Tablica IO'!C230*INDEX(Model!$C$93:$CA$93,Model!$A74) + IF(wplyw_cen_import_wlaczony,'Tablica IO'!C308*INDEX(Model!$C$2:$CA$2,Model!$A74),'Tablica IO'!C308*1)</f>
        <v>1.4092417038980647E-6</v>
      </c>
      <c r="D74" s="222" cm="1">
        <f t="array" aca="1" ref="D74" ca="1">'Tablica IO'!D230*INDEX(Model!$C$93:$CA$93,Model!$A74) + IF(wplyw_cen_import_wlaczony,'Tablica IO'!D308*INDEX(Model!$C$2:$CA$2,Model!$A74),'Tablica IO'!D308*1)</f>
        <v>2.1835310017286787E-4</v>
      </c>
      <c r="E74" s="222" cm="1">
        <f t="array" aca="1" ref="E74" ca="1">'Tablica IO'!E230*INDEX(Model!$C$93:$CA$93,Model!$A74) + IF(wplyw_cen_import_wlaczony,'Tablica IO'!E308*INDEX(Model!$C$2:$CA$2,Model!$A74),'Tablica IO'!E308*1)</f>
        <v>1.9218320378366221E-6</v>
      </c>
      <c r="F74" s="222" cm="1">
        <f t="array" aca="1" ref="F74" ca="1">'Tablica IO'!F230*INDEX(Model!$C$93:$CA$93,Model!$A74) + IF(wplyw_cen_import_wlaczony,'Tablica IO'!F308*INDEX(Model!$C$2:$CA$2,Model!$A74),'Tablica IO'!F308*1)</f>
        <v>2.172062479616289E-7</v>
      </c>
      <c r="G74" s="222" cm="1">
        <f t="array" aca="1" ref="G74" ca="1">'Tablica IO'!G230*INDEX(Model!$C$93:$CA$93,Model!$A74) + IF(wplyw_cen_import_wlaczony,'Tablica IO'!G308*INDEX(Model!$C$2:$CA$2,Model!$A74),'Tablica IO'!G308*1)</f>
        <v>5.2073593553845076E-6</v>
      </c>
      <c r="H74" s="222" cm="1">
        <f t="array" aca="1" ref="H74" ca="1">'Tablica IO'!H230*INDEX(Model!$C$93:$CA$93,Model!$A74) + IF(wplyw_cen_import_wlaczony,'Tablica IO'!H308*INDEX(Model!$C$2:$CA$2,Model!$A74),'Tablica IO'!H308*1)</f>
        <v>1.4823899263088587E-5</v>
      </c>
      <c r="I74" s="222" cm="1">
        <f t="array" aca="1" ref="I74" ca="1">'Tablica IO'!I230*INDEX(Model!$C$93:$CA$93,Model!$A74) + IF(wplyw_cen_import_wlaczony,'Tablica IO'!I308*INDEX(Model!$C$2:$CA$2,Model!$A74),'Tablica IO'!I308*1)</f>
        <v>4.2303437666163759E-5</v>
      </c>
      <c r="J74" s="222" cm="1">
        <f t="array" aca="1" ref="J74" ca="1">'Tablica IO'!J230*INDEX(Model!$C$93:$CA$93,Model!$A74) + IF(wplyw_cen_import_wlaczony,'Tablica IO'!J308*INDEX(Model!$C$2:$CA$2,Model!$A74),'Tablica IO'!J308*1)</f>
        <v>6.6764320125239755E-4</v>
      </c>
      <c r="K74" s="222" cm="1">
        <f t="array" aca="1" ref="K74" ca="1">'Tablica IO'!K230*INDEX(Model!$C$93:$CA$93,Model!$A74) + IF(wplyw_cen_import_wlaczony,'Tablica IO'!K308*INDEX(Model!$C$2:$CA$2,Model!$A74),'Tablica IO'!K308*1)</f>
        <v>7.6354055524311072E-6</v>
      </c>
      <c r="L74" s="222" cm="1">
        <f t="array" aca="1" ref="L74" ca="1">'Tablica IO'!L230*INDEX(Model!$C$93:$CA$93,Model!$A74) + IF(wplyw_cen_import_wlaczony,'Tablica IO'!L308*INDEX(Model!$C$2:$CA$2,Model!$A74),'Tablica IO'!L308*1)</f>
        <v>1.5239291180376879E-5</v>
      </c>
      <c r="M74" s="222" cm="1">
        <f t="array" aca="1" ref="M74" ca="1">'Tablica IO'!M230*INDEX(Model!$C$93:$CA$93,Model!$A74) + IF(wplyw_cen_import_wlaczony,'Tablica IO'!M308*INDEX(Model!$C$2:$CA$2,Model!$A74),'Tablica IO'!M308*1)</f>
        <v>1.3513598527036349E-4</v>
      </c>
      <c r="N74" s="222" cm="1">
        <f t="array" aca="1" ref="N74" ca="1">'Tablica IO'!N230*INDEX(Model!$C$93:$CA$93,Model!$A74) + IF(wplyw_cen_import_wlaczony,'Tablica IO'!N308*INDEX(Model!$C$2:$CA$2,Model!$A74),'Tablica IO'!N308*1)</f>
        <v>8.5834177745103705E-6</v>
      </c>
      <c r="O74" s="222" cm="1">
        <f t="array" aca="1" ref="O74" ca="1">'Tablica IO'!O230*INDEX(Model!$C$93:$CA$93,Model!$A74) + IF(wplyw_cen_import_wlaczony,'Tablica IO'!O308*INDEX(Model!$C$2:$CA$2,Model!$A74),'Tablica IO'!O308*1)</f>
        <v>3.7712410729385332E-5</v>
      </c>
      <c r="P74" s="222" cm="1">
        <f t="array" aca="1" ref="P74" ca="1">'Tablica IO'!P230*INDEX(Model!$C$93:$CA$93,Model!$A74) + IF(wplyw_cen_import_wlaczony,'Tablica IO'!P308*INDEX(Model!$C$2:$CA$2,Model!$A74),'Tablica IO'!P308*1)</f>
        <v>5.9598358710018457E-5</v>
      </c>
      <c r="Q74" s="222" cm="1">
        <f t="array" aca="1" ref="Q74" ca="1">'Tablica IO'!Q230*INDEX(Model!$C$93:$CA$93,Model!$A74) + IF(wplyw_cen_import_wlaczony,'Tablica IO'!Q308*INDEX(Model!$C$2:$CA$2,Model!$A74),'Tablica IO'!Q308*1)</f>
        <v>1.1580354782119758E-6</v>
      </c>
      <c r="R74" s="222" cm="1">
        <f t="array" aca="1" ref="R74" ca="1">'Tablica IO'!R230*INDEX(Model!$C$93:$CA$93,Model!$A74) + IF(wplyw_cen_import_wlaczony,'Tablica IO'!R308*INDEX(Model!$C$2:$CA$2,Model!$A74),'Tablica IO'!R308*1)</f>
        <v>1.1071421116494244E-4</v>
      </c>
      <c r="S74" s="222" cm="1">
        <f t="array" aca="1" ref="S74" ca="1">'Tablica IO'!S230*INDEX(Model!$C$93:$CA$93,Model!$A74) + IF(wplyw_cen_import_wlaczony,'Tablica IO'!S308*INDEX(Model!$C$2:$CA$2,Model!$A74),'Tablica IO'!S308*1)</f>
        <v>1.2502664853696669E-3</v>
      </c>
      <c r="T74" s="222" cm="1">
        <f t="array" aca="1" ref="T74" ca="1">'Tablica IO'!T230*INDEX(Model!$C$93:$CA$93,Model!$A74) + IF(wplyw_cen_import_wlaczony,'Tablica IO'!T308*INDEX(Model!$C$2:$CA$2,Model!$A74),'Tablica IO'!T308*1)</f>
        <v>7.6153015994972166E-5</v>
      </c>
      <c r="U74" s="222" cm="1">
        <f t="array" aca="1" ref="U74" ca="1">'Tablica IO'!U230*INDEX(Model!$C$93:$CA$93,Model!$A74) + IF(wplyw_cen_import_wlaczony,'Tablica IO'!U308*INDEX(Model!$C$2:$CA$2,Model!$A74),'Tablica IO'!U308*1)</f>
        <v>2.4743168104177663E-5</v>
      </c>
      <c r="V74" s="222" cm="1">
        <f t="array" aca="1" ref="V74" ca="1">'Tablica IO'!V230*INDEX(Model!$C$93:$CA$93,Model!$A74) + IF(wplyw_cen_import_wlaczony,'Tablica IO'!V308*INDEX(Model!$C$2:$CA$2,Model!$A74),'Tablica IO'!V308*1)</f>
        <v>1.8661397755474041E-7</v>
      </c>
      <c r="W74" s="222" cm="1">
        <f t="array" aca="1" ref="W74" ca="1">'Tablica IO'!W230*INDEX(Model!$C$93:$CA$93,Model!$A74) + IF(wplyw_cen_import_wlaczony,'Tablica IO'!W308*INDEX(Model!$C$2:$CA$2,Model!$A74),'Tablica IO'!W308*1)</f>
        <v>7.4646492842054802E-6</v>
      </c>
      <c r="X74" s="222" cm="1">
        <f t="array" aca="1" ref="X74" ca="1">'Tablica IO'!X230*INDEX(Model!$C$93:$CA$93,Model!$A74) + IF(wplyw_cen_import_wlaczony,'Tablica IO'!X308*INDEX(Model!$C$2:$CA$2,Model!$A74),'Tablica IO'!X308*1)</f>
        <v>3.7490117380713678E-5</v>
      </c>
      <c r="Y74" s="222" cm="1">
        <f t="array" aca="1" ref="Y74" ca="1">'Tablica IO'!Y230*INDEX(Model!$C$93:$CA$93,Model!$A74) + IF(wplyw_cen_import_wlaczony,'Tablica IO'!Y308*INDEX(Model!$C$2:$CA$2,Model!$A74),'Tablica IO'!Y308*1)</f>
        <v>9.0804267136390082E-5</v>
      </c>
      <c r="Z74" s="222" cm="1">
        <f t="array" aca="1" ref="Z74" ca="1">'Tablica IO'!Z230*INDEX(Model!$C$93:$CA$93,Model!$A74) + IF(wplyw_cen_import_wlaczony,'Tablica IO'!Z308*INDEX(Model!$C$2:$CA$2,Model!$A74),'Tablica IO'!Z308*1)</f>
        <v>2.3246633390228098E-5</v>
      </c>
      <c r="AA74" s="222" cm="1">
        <f t="array" aca="1" ref="AA74" ca="1">'Tablica IO'!AA230*INDEX(Model!$C$93:$CA$93,Model!$A74) + IF(wplyw_cen_import_wlaczony,'Tablica IO'!AA308*INDEX(Model!$C$2:$CA$2,Model!$A74),'Tablica IO'!AA308*1)</f>
        <v>4.0759698029779825E-6</v>
      </c>
      <c r="AB74" s="222" cm="1">
        <f t="array" aca="1" ref="AB74" ca="1">'Tablica IO'!AB230*INDEX(Model!$C$93:$CA$93,Model!$A74) + IF(wplyw_cen_import_wlaczony,'Tablica IO'!AB308*INDEX(Model!$C$2:$CA$2,Model!$A74),'Tablica IO'!AB308*1)</f>
        <v>1.125335375329734E-4</v>
      </c>
      <c r="AC74" s="222" cm="1">
        <f t="array" aca="1" ref="AC74" ca="1">'Tablica IO'!AC230*INDEX(Model!$C$93:$CA$93,Model!$A74) + IF(wplyw_cen_import_wlaczony,'Tablica IO'!AC308*INDEX(Model!$C$2:$CA$2,Model!$A74),'Tablica IO'!AC308*1)</f>
        <v>1.5381352995132698E-5</v>
      </c>
      <c r="AD74" s="222" cm="1">
        <f t="array" aca="1" ref="AD74" ca="1">'Tablica IO'!AD230*INDEX(Model!$C$93:$CA$93,Model!$A74) + IF(wplyw_cen_import_wlaczony,'Tablica IO'!AD308*INDEX(Model!$C$2:$CA$2,Model!$A74),'Tablica IO'!AD308*1)</f>
        <v>5.5590811408694171E-6</v>
      </c>
      <c r="AE74" s="222" cm="1">
        <f t="array" aca="1" ref="AE74" ca="1">'Tablica IO'!AE230*INDEX(Model!$C$93:$CA$93,Model!$A74) + IF(wplyw_cen_import_wlaczony,'Tablica IO'!AE308*INDEX(Model!$C$2:$CA$2,Model!$A74),'Tablica IO'!AE308*1)</f>
        <v>1.4788007881090165E-4</v>
      </c>
      <c r="AF74" s="222" cm="1">
        <f t="array" aca="1" ref="AF74" ca="1">'Tablica IO'!AF230*INDEX(Model!$C$93:$CA$93,Model!$A74) + IF(wplyw_cen_import_wlaczony,'Tablica IO'!AF308*INDEX(Model!$C$2:$CA$2,Model!$A74),'Tablica IO'!AF308*1)</f>
        <v>1.6594157953540398E-5</v>
      </c>
      <c r="AG74" s="222" cm="1">
        <f t="array" aca="1" ref="AG74" ca="1">'Tablica IO'!AG230*INDEX(Model!$C$93:$CA$93,Model!$A74) + IF(wplyw_cen_import_wlaczony,'Tablica IO'!AG308*INDEX(Model!$C$2:$CA$2,Model!$A74),'Tablica IO'!AG308*1)</f>
        <v>3.1134674850420714E-5</v>
      </c>
      <c r="AH74" s="222" cm="1">
        <f t="array" aca="1" ref="AH74" ca="1">'Tablica IO'!AH230*INDEX(Model!$C$93:$CA$93,Model!$A74) + IF(wplyw_cen_import_wlaczony,'Tablica IO'!AH308*INDEX(Model!$C$2:$CA$2,Model!$A74),'Tablica IO'!AH308*1)</f>
        <v>3.8189819148123487E-5</v>
      </c>
      <c r="AI74" s="222" cm="1">
        <f t="array" aca="1" ref="AI74" ca="1">'Tablica IO'!AI230*INDEX(Model!$C$93:$CA$93,Model!$A74) + IF(wplyw_cen_import_wlaczony,'Tablica IO'!AI308*INDEX(Model!$C$2:$CA$2,Model!$A74),'Tablica IO'!AI308*1)</f>
        <v>1.3397921503143081E-6</v>
      </c>
      <c r="AJ74" s="222" cm="1">
        <f t="array" aca="1" ref="AJ74" ca="1">'Tablica IO'!AJ230*INDEX(Model!$C$93:$CA$93,Model!$A74) + IF(wplyw_cen_import_wlaczony,'Tablica IO'!AJ308*INDEX(Model!$C$2:$CA$2,Model!$A74),'Tablica IO'!AJ308*1)</f>
        <v>3.06274679949805E-5</v>
      </c>
      <c r="AK74" s="222" cm="1">
        <f t="array" aca="1" ref="AK74" ca="1">'Tablica IO'!AK230*INDEX(Model!$C$93:$CA$93,Model!$A74) + IF(wplyw_cen_import_wlaczony,'Tablica IO'!AK308*INDEX(Model!$C$2:$CA$2,Model!$A74),'Tablica IO'!AK308*1)</f>
        <v>5.0139888543835848E-5</v>
      </c>
      <c r="AL74" s="222" cm="1">
        <f t="array" aca="1" ref="AL74" ca="1">'Tablica IO'!AL230*INDEX(Model!$C$93:$CA$93,Model!$A74) + IF(wplyw_cen_import_wlaczony,'Tablica IO'!AL308*INDEX(Model!$C$2:$CA$2,Model!$A74),'Tablica IO'!AL308*1)</f>
        <v>1.0472549439458762E-4</v>
      </c>
      <c r="AM74" s="222" cm="1">
        <f t="array" aca="1" ref="AM74" ca="1">'Tablica IO'!AM230*INDEX(Model!$C$93:$CA$93,Model!$A74) + IF(wplyw_cen_import_wlaczony,'Tablica IO'!AM308*INDEX(Model!$C$2:$CA$2,Model!$A74),'Tablica IO'!AM308*1)</f>
        <v>4.1314328009316172E-5</v>
      </c>
      <c r="AN74" s="222" cm="1">
        <f t="array" aca="1" ref="AN74" ca="1">'Tablica IO'!AN230*INDEX(Model!$C$93:$CA$93,Model!$A74) + IF(wplyw_cen_import_wlaczony,'Tablica IO'!AN308*INDEX(Model!$C$2:$CA$2,Model!$A74),'Tablica IO'!AN308*1)</f>
        <v>1.9765168203383774E-4</v>
      </c>
      <c r="AO74" s="222" cm="1">
        <f t="array" aca="1" ref="AO74" ca="1">'Tablica IO'!AO230*INDEX(Model!$C$93:$CA$93,Model!$A74) + IF(wplyw_cen_import_wlaczony,'Tablica IO'!AO308*INDEX(Model!$C$2:$CA$2,Model!$A74),'Tablica IO'!AO308*1)</f>
        <v>5.3637727260911474E-3</v>
      </c>
      <c r="AP74" s="222" cm="1">
        <f t="array" aca="1" ref="AP74" ca="1">'Tablica IO'!AP230*INDEX(Model!$C$93:$CA$93,Model!$A74) + IF(wplyw_cen_import_wlaczony,'Tablica IO'!AP308*INDEX(Model!$C$2:$CA$2,Model!$A74),'Tablica IO'!AP308*1)</f>
        <v>4.4399576325040416E-4</v>
      </c>
      <c r="AQ74" s="222" cm="1">
        <f t="array" aca="1" ref="AQ74" ca="1">'Tablica IO'!AQ230*INDEX(Model!$C$93:$CA$93,Model!$A74) + IF(wplyw_cen_import_wlaczony,'Tablica IO'!AQ308*INDEX(Model!$C$2:$CA$2,Model!$A74),'Tablica IO'!AQ308*1)</f>
        <v>6.319505228880703E-3</v>
      </c>
      <c r="AR74" s="222" cm="1">
        <f t="array" aca="1" ref="AR74" ca="1">'Tablica IO'!AR230*INDEX(Model!$C$93:$CA$93,Model!$A74) + IF(wplyw_cen_import_wlaczony,'Tablica IO'!AR308*INDEX(Model!$C$2:$CA$2,Model!$A74),'Tablica IO'!AR308*1)</f>
        <v>2.0187884219968473E-4</v>
      </c>
      <c r="AS74" s="222" cm="1">
        <f t="array" aca="1" ref="AS74" ca="1">'Tablica IO'!AS230*INDEX(Model!$C$93:$CA$93,Model!$A74) + IF(wplyw_cen_import_wlaczony,'Tablica IO'!AS308*INDEX(Model!$C$2:$CA$2,Model!$A74),'Tablica IO'!AS308*1)</f>
        <v>4.0403529533428234E-5</v>
      </c>
      <c r="AT74" s="222" cm="1">
        <f t="array" aca="1" ref="AT74" ca="1">'Tablica IO'!AT230*INDEX(Model!$C$93:$CA$93,Model!$A74) + IF(wplyw_cen_import_wlaczony,'Tablica IO'!AT308*INDEX(Model!$C$2:$CA$2,Model!$A74),'Tablica IO'!AT308*1)</f>
        <v>3.1713619772990096E-7</v>
      </c>
      <c r="AU74" s="222" cm="1">
        <f t="array" aca="1" ref="AU74" ca="1">'Tablica IO'!AU230*INDEX(Model!$C$93:$CA$93,Model!$A74) + IF(wplyw_cen_import_wlaczony,'Tablica IO'!AU308*INDEX(Model!$C$2:$CA$2,Model!$A74),'Tablica IO'!AU308*1)</f>
        <v>1.9933077251028085E-5</v>
      </c>
      <c r="AV74" s="222" cm="1">
        <f t="array" aca="1" ref="AV74" ca="1">'Tablica IO'!AV230*INDEX(Model!$C$93:$CA$93,Model!$A74) + IF(wplyw_cen_import_wlaczony,'Tablica IO'!AV308*INDEX(Model!$C$2:$CA$2,Model!$A74),'Tablica IO'!AV308*1)</f>
        <v>5.0941708538257707E-5</v>
      </c>
      <c r="AW74" s="222" cm="1">
        <f t="array" aca="1" ref="AW74" ca="1">'Tablica IO'!AW230*INDEX(Model!$C$93:$CA$93,Model!$A74) + IF(wplyw_cen_import_wlaczony,'Tablica IO'!AW308*INDEX(Model!$C$2:$CA$2,Model!$A74),'Tablica IO'!AW308*1)</f>
        <v>1.7423689116812804E-4</v>
      </c>
      <c r="AX74" s="222" cm="1">
        <f t="array" aca="1" ref="AX74" ca="1">'Tablica IO'!AX230*INDEX(Model!$C$93:$CA$93,Model!$A74) + IF(wplyw_cen_import_wlaczony,'Tablica IO'!AX308*INDEX(Model!$C$2:$CA$2,Model!$A74),'Tablica IO'!AX308*1)</f>
        <v>1.1340830387041073E-3</v>
      </c>
      <c r="AY74" s="222" cm="1">
        <f t="array" aca="1" ref="AY74" ca="1">'Tablica IO'!AY230*INDEX(Model!$C$93:$CA$93,Model!$A74) + IF(wplyw_cen_import_wlaczony,'Tablica IO'!AY308*INDEX(Model!$C$2:$CA$2,Model!$A74),'Tablica IO'!AY308*1)</f>
        <v>1.6639979401156997E-4</v>
      </c>
      <c r="AZ74" s="222" cm="1">
        <f t="array" aca="1" ref="AZ74" ca="1">'Tablica IO'!AZ230*INDEX(Model!$C$93:$CA$93,Model!$A74) + IF(wplyw_cen_import_wlaczony,'Tablica IO'!AZ308*INDEX(Model!$C$2:$CA$2,Model!$A74),'Tablica IO'!AZ308*1)</f>
        <v>0</v>
      </c>
      <c r="BA74" s="222" cm="1">
        <f t="array" aca="1" ref="BA74" ca="1">'Tablica IO'!BA230*INDEX(Model!$C$93:$CA$93,Model!$A74) + IF(wplyw_cen_import_wlaczony,'Tablica IO'!BA308*INDEX(Model!$C$2:$CA$2,Model!$A74),'Tablica IO'!BA308*1)</f>
        <v>7.3745322176374371E-5</v>
      </c>
      <c r="BB74" s="222" cm="1">
        <f t="array" aca="1" ref="BB74" ca="1">'Tablica IO'!BB230*INDEX(Model!$C$93:$CA$93,Model!$A74) + IF(wplyw_cen_import_wlaczony,'Tablica IO'!BB308*INDEX(Model!$C$2:$CA$2,Model!$A74),'Tablica IO'!BB308*1)</f>
        <v>1.0972210204433246E-4</v>
      </c>
      <c r="BC74" s="222" cm="1">
        <f t="array" aca="1" ref="BC74" ca="1">'Tablica IO'!BC230*INDEX(Model!$C$93:$CA$93,Model!$A74) + IF(wplyw_cen_import_wlaczony,'Tablica IO'!BC308*INDEX(Model!$C$2:$CA$2,Model!$A74),'Tablica IO'!BC308*1)</f>
        <v>3.1469281169599952E-4</v>
      </c>
      <c r="BD74" s="222" cm="1">
        <f t="array" aca="1" ref="BD74" ca="1">'Tablica IO'!BD230*INDEX(Model!$C$93:$CA$93,Model!$A74) + IF(wplyw_cen_import_wlaczony,'Tablica IO'!BD308*INDEX(Model!$C$2:$CA$2,Model!$A74),'Tablica IO'!BD308*1)</f>
        <v>3.0843684039722825E-4</v>
      </c>
      <c r="BE74" s="222" cm="1">
        <f t="array" aca="1" ref="BE74" ca="1">'Tablica IO'!BE230*INDEX(Model!$C$93:$CA$93,Model!$A74) + IF(wplyw_cen_import_wlaczony,'Tablica IO'!BE308*INDEX(Model!$C$2:$CA$2,Model!$A74),'Tablica IO'!BE308*1)</f>
        <v>2.1287920184525253E-4</v>
      </c>
      <c r="BF74" s="222" cm="1">
        <f t="array" aca="1" ref="BF74" ca="1">'Tablica IO'!BF230*INDEX(Model!$C$93:$CA$93,Model!$A74) + IF(wplyw_cen_import_wlaczony,'Tablica IO'!BF308*INDEX(Model!$C$2:$CA$2,Model!$A74),'Tablica IO'!BF308*1)</f>
        <v>1.0952672678693038E-4</v>
      </c>
      <c r="BG74" s="222" cm="1">
        <f t="array" aca="1" ref="BG74" ca="1">'Tablica IO'!BG230*INDEX(Model!$C$93:$CA$93,Model!$A74) + IF(wplyw_cen_import_wlaczony,'Tablica IO'!BG308*INDEX(Model!$C$2:$CA$2,Model!$A74),'Tablica IO'!BG308*1)</f>
        <v>4.4059007334617975E-4</v>
      </c>
      <c r="BH74" s="222" cm="1">
        <f t="array" aca="1" ref="BH74" ca="1">'Tablica IO'!BH230*INDEX(Model!$C$93:$CA$93,Model!$A74) + IF(wplyw_cen_import_wlaczony,'Tablica IO'!BH308*INDEX(Model!$C$2:$CA$2,Model!$A74),'Tablica IO'!BH308*1)</f>
        <v>1.76268356946321E-5</v>
      </c>
      <c r="BI74" s="222" cm="1">
        <f t="array" aca="1" ref="BI74" ca="1">'Tablica IO'!BI230*INDEX(Model!$C$93:$CA$93,Model!$A74) + IF(wplyw_cen_import_wlaczony,'Tablica IO'!BI308*INDEX(Model!$C$2:$CA$2,Model!$A74),'Tablica IO'!BI308*1)</f>
        <v>0</v>
      </c>
      <c r="BJ74" s="222" cm="1">
        <f t="array" aca="1" ref="BJ74" ca="1">'Tablica IO'!BJ230*INDEX(Model!$C$93:$CA$93,Model!$A74) + IF(wplyw_cen_import_wlaczony,'Tablica IO'!BJ308*INDEX(Model!$C$2:$CA$2,Model!$A74),'Tablica IO'!BJ308*1)</f>
        <v>1.0787978110343838E-3</v>
      </c>
      <c r="BK74" s="222" cm="1">
        <f t="array" aca="1" ref="BK74" ca="1">'Tablica IO'!BK230*INDEX(Model!$C$93:$CA$93,Model!$A74) + IF(wplyw_cen_import_wlaczony,'Tablica IO'!BK308*INDEX(Model!$C$2:$CA$2,Model!$A74),'Tablica IO'!BK308*1)</f>
        <v>2.7298023196966827E-5</v>
      </c>
      <c r="BL74" s="222" cm="1">
        <f t="array" aca="1" ref="BL74" ca="1">'Tablica IO'!BL230*INDEX(Model!$C$93:$CA$93,Model!$A74) + IF(wplyw_cen_import_wlaczony,'Tablica IO'!BL308*INDEX(Model!$C$2:$CA$2,Model!$A74),'Tablica IO'!BL308*1)</f>
        <v>4.7476450929726334E-2</v>
      </c>
      <c r="BM74" s="222" cm="1">
        <f t="array" aca="1" ref="BM74" ca="1">'Tablica IO'!BM230*INDEX(Model!$C$93:$CA$93,Model!$A74) + IF(wplyw_cen_import_wlaczony,'Tablica IO'!BM308*INDEX(Model!$C$2:$CA$2,Model!$A74),'Tablica IO'!BM308*1)</f>
        <v>1.030528278432113E-4</v>
      </c>
      <c r="BN74" s="222" cm="1">
        <f t="array" aca="1" ref="BN74" ca="1">'Tablica IO'!BN230*INDEX(Model!$C$93:$CA$93,Model!$A74) + IF(wplyw_cen_import_wlaczony,'Tablica IO'!BN308*INDEX(Model!$C$2:$CA$2,Model!$A74),'Tablica IO'!BN308*1)</f>
        <v>1.0661330172232435E-5</v>
      </c>
      <c r="BO74" s="222" cm="1">
        <f t="array" aca="1" ref="BO74" ca="1">'Tablica IO'!BO230*INDEX(Model!$C$93:$CA$93,Model!$A74) + IF(wplyw_cen_import_wlaczony,'Tablica IO'!BO308*INDEX(Model!$C$2:$CA$2,Model!$A74),'Tablica IO'!BO308*1)</f>
        <v>1.0666658414100227E-3</v>
      </c>
      <c r="BP74" s="222" cm="1">
        <f t="array" aca="1" ref="BP74" ca="1">'Tablica IO'!BP230*INDEX(Model!$C$93:$CA$93,Model!$A74) + IF(wplyw_cen_import_wlaczony,'Tablica IO'!BP308*INDEX(Model!$C$2:$CA$2,Model!$A74),'Tablica IO'!BP308*1)</f>
        <v>8.0075978702972962E-5</v>
      </c>
      <c r="BQ74" s="222" cm="1">
        <f t="array" aca="1" ref="BQ74" ca="1">'Tablica IO'!BQ230*INDEX(Model!$C$93:$CA$93,Model!$A74) + IF(wplyw_cen_import_wlaczony,'Tablica IO'!BQ308*INDEX(Model!$C$2:$CA$2,Model!$A74),'Tablica IO'!BQ308*1)</f>
        <v>1.9669907919292115E-4</v>
      </c>
      <c r="BR74" s="222" cm="1">
        <f t="array" aca="1" ref="BR74" ca="1">'Tablica IO'!BR230*INDEX(Model!$C$93:$CA$93,Model!$A74) + IF(wplyw_cen_import_wlaczony,'Tablica IO'!BR308*INDEX(Model!$C$2:$CA$2,Model!$A74),'Tablica IO'!BR308*1)</f>
        <v>6.5209265477225901E-5</v>
      </c>
      <c r="BS74" s="222" cm="1">
        <f t="array" aca="1" ref="BS74" ca="1">'Tablica IO'!BS230*INDEX(Model!$C$93:$CA$93,Model!$A74) + IF(wplyw_cen_import_wlaczony,'Tablica IO'!BS308*INDEX(Model!$C$2:$CA$2,Model!$A74),'Tablica IO'!BS308*1)</f>
        <v>0</v>
      </c>
      <c r="BT74" s="222" cm="1">
        <f t="array" aca="1" ref="BT74" ca="1">'Tablica IO'!BT230*INDEX(Model!$C$93:$CA$93,Model!$A74) + IF(wplyw_cen_import_wlaczony,'Tablica IO'!BT308*INDEX(Model!$C$2:$CA$2,Model!$A74),'Tablica IO'!BT308*1)</f>
        <v>1.595882886061893E-3</v>
      </c>
      <c r="BU74" s="222" cm="1">
        <f t="array" aca="1" ref="BU74" ca="1">'Tablica IO'!BU230*INDEX(Model!$C$93:$CA$93,Model!$A74) + IF(wplyw_cen_import_wlaczony,'Tablica IO'!BU308*INDEX(Model!$C$2:$CA$2,Model!$A74),'Tablica IO'!BU308*1)</f>
        <v>2.3642465025949501E-2</v>
      </c>
      <c r="BV74" s="222" cm="1">
        <f t="array" aca="1" ref="BV74" ca="1">'Tablica IO'!BV230*INDEX(Model!$C$93:$CA$93,Model!$A74) + IF(wplyw_cen_import_wlaczony,'Tablica IO'!BV308*INDEX(Model!$C$2:$CA$2,Model!$A74),'Tablica IO'!BV308*1)</f>
        <v>3.0700160411593006E-5</v>
      </c>
      <c r="BW74" s="222" cm="1">
        <f t="array" aca="1" ref="BW74" ca="1">'Tablica IO'!BW230*INDEX(Model!$C$93:$CA$93,Model!$A74) + IF(wplyw_cen_import_wlaczony,'Tablica IO'!BW308*INDEX(Model!$C$2:$CA$2,Model!$A74),'Tablica IO'!BW308*1)</f>
        <v>6.3906388306932986E-3</v>
      </c>
      <c r="BX74" s="222" cm="1">
        <f t="array" aca="1" ref="BX74" ca="1">'Tablica IO'!BX230*INDEX(Model!$C$93:$CA$93,Model!$A74) + IF(wplyw_cen_import_wlaczony,'Tablica IO'!BX308*INDEX(Model!$C$2:$CA$2,Model!$A74),'Tablica IO'!BX308*1)</f>
        <v>1.3381258797936016E-4</v>
      </c>
      <c r="BY74" s="222" cm="1">
        <f t="array" aca="1" ref="BY74" ca="1">'Tablica IO'!BY230*INDEX(Model!$C$93:$CA$93,Model!$A74) + IF(wplyw_cen_import_wlaczony,'Tablica IO'!BY308*INDEX(Model!$C$2:$CA$2,Model!$A74),'Tablica IO'!BY308*1)</f>
        <v>0</v>
      </c>
      <c r="BZ74" s="222" cm="1">
        <f t="array" aca="1" ref="BZ74" ca="1">'Tablica IO'!BZ230*INDEX(Model!$C$93:$CA$93,Model!$A74) + IF(wplyw_cen_import_wlaczony,'Tablica IO'!BZ308*INDEX(Model!$C$2:$CA$2,Model!$A74),'Tablica IO'!BZ308*1)</f>
        <v>6.6090332897340484E-5</v>
      </c>
      <c r="CA74" s="222" cm="1">
        <f t="array" aca="1" ref="CA74" ca="1">'Tablica IO'!CA230*INDEX(Model!$C$93:$CA$93,Model!$A74) + IF(wplyw_cen_import_wlaczony,'Tablica IO'!CA308*INDEX(Model!$C$2:$CA$2,Model!$A74),'Tablica IO'!CA308*1)</f>
        <v>0</v>
      </c>
      <c r="CB74" s="247">
        <f ca="1">'Tablica IO'!CD230*INDEX(Model!$C$93:$CA$93,Model!$A74)+'Tablica IO'!CD308*INDEX(Model!$C$2:$CA$2,Model!$A74)</f>
        <v>1.200281373989948E-2</v>
      </c>
      <c r="CC74" s="188">
        <f ca="1">'Tablica IO'!CE230*INDEX(Model!$C$93:$CA$93,Model!$A74)+'Tablica IO'!CE308*INDEX(Model!$C$2:$CA$2,Model!$A74)</f>
        <v>3.6449050273214007E-4</v>
      </c>
      <c r="CD74" s="188">
        <f ca="1">'Tablica IO'!CF230*INDEX(Model!$C$93:$CA$93,Model!$A74)+'Tablica IO'!CF308*INDEX(Model!$C$2:$CA$2,Model!$A74)</f>
        <v>1.103097288100609E-7</v>
      </c>
      <c r="CE74" s="189">
        <f ca="1">'Tablica IO'!CG230*INDEX(Model!$C$93:$CA$93,Model!$A74)+'Tablica IO'!CG308*INDEX(Model!$C$2:$CA$2,Model!$A74)</f>
        <v>2.9862159744748309E-4</v>
      </c>
    </row>
    <row r="75" spans="1:83" x14ac:dyDescent="0.25">
      <c r="A75" s="164">
        <v>63</v>
      </c>
      <c r="B75" s="172" t="s">
        <v>62</v>
      </c>
      <c r="C75" s="221" cm="1">
        <f t="array" aca="1" ref="C75" ca="1">'Tablica IO'!C231*INDEX(Model!$C$93:$CA$93,Model!$A75) + IF(wplyw_cen_import_wlaczony,'Tablica IO'!C309*INDEX(Model!$C$2:$CA$2,Model!$A75),'Tablica IO'!C309*1)</f>
        <v>2.790406719300732E-4</v>
      </c>
      <c r="D75" s="222" cm="1">
        <f t="array" aca="1" ref="D75" ca="1">'Tablica IO'!D231*INDEX(Model!$C$93:$CA$93,Model!$A75) + IF(wplyw_cen_import_wlaczony,'Tablica IO'!D309*INDEX(Model!$C$2:$CA$2,Model!$A75),'Tablica IO'!D309*1)</f>
        <v>1.8285729063423461E-3</v>
      </c>
      <c r="E75" s="222" cm="1">
        <f t="array" aca="1" ref="E75" ca="1">'Tablica IO'!E231*INDEX(Model!$C$93:$CA$93,Model!$A75) + IF(wplyw_cen_import_wlaczony,'Tablica IO'!E309*INDEX(Model!$C$2:$CA$2,Model!$A75),'Tablica IO'!E309*1)</f>
        <v>4.2209562488597829E-4</v>
      </c>
      <c r="F75" s="222" cm="1">
        <f t="array" aca="1" ref="F75" ca="1">'Tablica IO'!F231*INDEX(Model!$C$93:$CA$93,Model!$A75) + IF(wplyw_cen_import_wlaczony,'Tablica IO'!F309*INDEX(Model!$C$2:$CA$2,Model!$A75),'Tablica IO'!F309*1)</f>
        <v>3.2023487876979414E-3</v>
      </c>
      <c r="G75" s="222" cm="1">
        <f t="array" aca="1" ref="G75" ca="1">'Tablica IO'!G231*INDEX(Model!$C$93:$CA$93,Model!$A75) + IF(wplyw_cen_import_wlaczony,'Tablica IO'!G309*INDEX(Model!$C$2:$CA$2,Model!$A75),'Tablica IO'!G309*1)</f>
        <v>3.0835383709740243E-3</v>
      </c>
      <c r="H75" s="222" cm="1">
        <f t="array" aca="1" ref="H75" ca="1">'Tablica IO'!H231*INDEX(Model!$C$93:$CA$93,Model!$A75) + IF(wplyw_cen_import_wlaczony,'Tablica IO'!H309*INDEX(Model!$C$2:$CA$2,Model!$A75),'Tablica IO'!H309*1)</f>
        <v>9.5685141328395219E-4</v>
      </c>
      <c r="I75" s="222" cm="1">
        <f t="array" aca="1" ref="I75" ca="1">'Tablica IO'!I231*INDEX(Model!$C$93:$CA$93,Model!$A75) + IF(wplyw_cen_import_wlaczony,'Tablica IO'!I309*INDEX(Model!$C$2:$CA$2,Model!$A75),'Tablica IO'!I309*1)</f>
        <v>1.6310869939516065E-3</v>
      </c>
      <c r="J75" s="222" cm="1">
        <f t="array" aca="1" ref="J75" ca="1">'Tablica IO'!J231*INDEX(Model!$C$93:$CA$93,Model!$A75) + IF(wplyw_cen_import_wlaczony,'Tablica IO'!J309*INDEX(Model!$C$2:$CA$2,Model!$A75),'Tablica IO'!J309*1)</f>
        <v>1.3546457600678095E-3</v>
      </c>
      <c r="K75" s="222" cm="1">
        <f t="array" aca="1" ref="K75" ca="1">'Tablica IO'!K231*INDEX(Model!$C$93:$CA$93,Model!$A75) + IF(wplyw_cen_import_wlaczony,'Tablica IO'!K309*INDEX(Model!$C$2:$CA$2,Model!$A75),'Tablica IO'!K309*1)</f>
        <v>2.3754300280692513E-3</v>
      </c>
      <c r="L75" s="222" cm="1">
        <f t="array" aca="1" ref="L75" ca="1">'Tablica IO'!L231*INDEX(Model!$C$93:$CA$93,Model!$A75) + IF(wplyw_cen_import_wlaczony,'Tablica IO'!L309*INDEX(Model!$C$2:$CA$2,Model!$A75),'Tablica IO'!L309*1)</f>
        <v>8.280837004269704E-4</v>
      </c>
      <c r="M75" s="222" cm="1">
        <f t="array" aca="1" ref="M75" ca="1">'Tablica IO'!M231*INDEX(Model!$C$93:$CA$93,Model!$A75) + IF(wplyw_cen_import_wlaczony,'Tablica IO'!M309*INDEX(Model!$C$2:$CA$2,Model!$A75),'Tablica IO'!M309*1)</f>
        <v>1.080822049476821E-3</v>
      </c>
      <c r="N75" s="222" cm="1">
        <f t="array" aca="1" ref="N75" ca="1">'Tablica IO'!N231*INDEX(Model!$C$93:$CA$93,Model!$A75) + IF(wplyw_cen_import_wlaczony,'Tablica IO'!N309*INDEX(Model!$C$2:$CA$2,Model!$A75),'Tablica IO'!N309*1)</f>
        <v>1.1220280552818619E-3</v>
      </c>
      <c r="O75" s="222" cm="1">
        <f t="array" aca="1" ref="O75" ca="1">'Tablica IO'!O231*INDEX(Model!$C$93:$CA$93,Model!$A75) + IF(wplyw_cen_import_wlaczony,'Tablica IO'!O309*INDEX(Model!$C$2:$CA$2,Model!$A75),'Tablica IO'!O309*1)</f>
        <v>1.6413008554138431E-3</v>
      </c>
      <c r="P75" s="222" cm="1">
        <f t="array" aca="1" ref="P75" ca="1">'Tablica IO'!P231*INDEX(Model!$C$93:$CA$93,Model!$A75) + IF(wplyw_cen_import_wlaczony,'Tablica IO'!P309*INDEX(Model!$C$2:$CA$2,Model!$A75),'Tablica IO'!P309*1)</f>
        <v>2.622431897900276E-3</v>
      </c>
      <c r="Q75" s="222" cm="1">
        <f t="array" aca="1" ref="Q75" ca="1">'Tablica IO'!Q231*INDEX(Model!$C$93:$CA$93,Model!$A75) + IF(wplyw_cen_import_wlaczony,'Tablica IO'!Q309*INDEX(Model!$C$2:$CA$2,Model!$A75),'Tablica IO'!Q309*1)</f>
        <v>1.2064747676507901E-3</v>
      </c>
      <c r="R75" s="222" cm="1">
        <f t="array" aca="1" ref="R75" ca="1">'Tablica IO'!R231*INDEX(Model!$C$93:$CA$93,Model!$A75) + IF(wplyw_cen_import_wlaczony,'Tablica IO'!R309*INDEX(Model!$C$2:$CA$2,Model!$A75),'Tablica IO'!R309*1)</f>
        <v>2.6324812501839477E-3</v>
      </c>
      <c r="S75" s="222" cm="1">
        <f t="array" aca="1" ref="S75" ca="1">'Tablica IO'!S231*INDEX(Model!$C$93:$CA$93,Model!$A75) + IF(wplyw_cen_import_wlaczony,'Tablica IO'!S309*INDEX(Model!$C$2:$CA$2,Model!$A75),'Tablica IO'!S309*1)</f>
        <v>1.7853122871220584E-3</v>
      </c>
      <c r="T75" s="222" cm="1">
        <f t="array" aca="1" ref="T75" ca="1">'Tablica IO'!T231*INDEX(Model!$C$93:$CA$93,Model!$A75) + IF(wplyw_cen_import_wlaczony,'Tablica IO'!T309*INDEX(Model!$C$2:$CA$2,Model!$A75),'Tablica IO'!T309*1)</f>
        <v>1.5058437030521343E-3</v>
      </c>
      <c r="U75" s="222" cm="1">
        <f t="array" aca="1" ref="U75" ca="1">'Tablica IO'!U231*INDEX(Model!$C$93:$CA$93,Model!$A75) + IF(wplyw_cen_import_wlaczony,'Tablica IO'!U309*INDEX(Model!$C$2:$CA$2,Model!$A75),'Tablica IO'!U309*1)</f>
        <v>2.141900307930684E-3</v>
      </c>
      <c r="V75" s="222" cm="1">
        <f t="array" aca="1" ref="V75" ca="1">'Tablica IO'!V231*INDEX(Model!$C$93:$CA$93,Model!$A75) + IF(wplyw_cen_import_wlaczony,'Tablica IO'!V309*INDEX(Model!$C$2:$CA$2,Model!$A75),'Tablica IO'!V309*1)</f>
        <v>1.8309231286910731E-3</v>
      </c>
      <c r="W75" s="222" cm="1">
        <f t="array" aca="1" ref="W75" ca="1">'Tablica IO'!W231*INDEX(Model!$C$93:$CA$93,Model!$A75) + IF(wplyw_cen_import_wlaczony,'Tablica IO'!W309*INDEX(Model!$C$2:$CA$2,Model!$A75),'Tablica IO'!W309*1)</f>
        <v>1.5144111324280314E-3</v>
      </c>
      <c r="X75" s="222" cm="1">
        <f t="array" aca="1" ref="X75" ca="1">'Tablica IO'!X231*INDEX(Model!$C$93:$CA$93,Model!$A75) + IF(wplyw_cen_import_wlaczony,'Tablica IO'!X309*INDEX(Model!$C$2:$CA$2,Model!$A75),'Tablica IO'!X309*1)</f>
        <v>1.1102791213907458E-3</v>
      </c>
      <c r="Y75" s="222" cm="1">
        <f t="array" aca="1" ref="Y75" ca="1">'Tablica IO'!Y231*INDEX(Model!$C$93:$CA$93,Model!$A75) + IF(wplyw_cen_import_wlaczony,'Tablica IO'!Y309*INDEX(Model!$C$2:$CA$2,Model!$A75),'Tablica IO'!Y309*1)</f>
        <v>1.1419753449461031E-3</v>
      </c>
      <c r="Z75" s="222" cm="1">
        <f t="array" aca="1" ref="Z75" ca="1">'Tablica IO'!Z231*INDEX(Model!$C$93:$CA$93,Model!$A75) + IF(wplyw_cen_import_wlaczony,'Tablica IO'!Z309*INDEX(Model!$C$2:$CA$2,Model!$A75),'Tablica IO'!Z309*1)</f>
        <v>1.1445454925369635E-3</v>
      </c>
      <c r="AA75" s="222" cm="1">
        <f t="array" aca="1" ref="AA75" ca="1">'Tablica IO'!AA231*INDEX(Model!$C$93:$CA$93,Model!$A75) + IF(wplyw_cen_import_wlaczony,'Tablica IO'!AA309*INDEX(Model!$C$2:$CA$2,Model!$A75),'Tablica IO'!AA309*1)</f>
        <v>9.8094176276190695E-4</v>
      </c>
      <c r="AB75" s="222" cm="1">
        <f t="array" aca="1" ref="AB75" ca="1">'Tablica IO'!AB231*INDEX(Model!$C$93:$CA$93,Model!$A75) + IF(wplyw_cen_import_wlaczony,'Tablica IO'!AB309*INDEX(Model!$C$2:$CA$2,Model!$A75),'Tablica IO'!AB309*1)</f>
        <v>1.738553690570868E-3</v>
      </c>
      <c r="AC75" s="222" cm="1">
        <f t="array" aca="1" ref="AC75" ca="1">'Tablica IO'!AC231*INDEX(Model!$C$93:$CA$93,Model!$A75) + IF(wplyw_cen_import_wlaczony,'Tablica IO'!AC309*INDEX(Model!$C$2:$CA$2,Model!$A75),'Tablica IO'!AC309*1)</f>
        <v>1.5873228373875668E-3</v>
      </c>
      <c r="AD75" s="222" cm="1">
        <f t="array" aca="1" ref="AD75" ca="1">'Tablica IO'!AD231*INDEX(Model!$C$93:$CA$93,Model!$A75) + IF(wplyw_cen_import_wlaczony,'Tablica IO'!AD309*INDEX(Model!$C$2:$CA$2,Model!$A75),'Tablica IO'!AD309*1)</f>
        <v>1.9483480246215614E-3</v>
      </c>
      <c r="AE75" s="222" cm="1">
        <f t="array" aca="1" ref="AE75" ca="1">'Tablica IO'!AE231*INDEX(Model!$C$93:$CA$93,Model!$A75) + IF(wplyw_cen_import_wlaczony,'Tablica IO'!AE309*INDEX(Model!$C$2:$CA$2,Model!$A75),'Tablica IO'!AE309*1)</f>
        <v>1.0667827177944325E-3</v>
      </c>
      <c r="AF75" s="222" cm="1">
        <f t="array" aca="1" ref="AF75" ca="1">'Tablica IO'!AF231*INDEX(Model!$C$93:$CA$93,Model!$A75) + IF(wplyw_cen_import_wlaczony,'Tablica IO'!AF309*INDEX(Model!$C$2:$CA$2,Model!$A75),'Tablica IO'!AF309*1)</f>
        <v>2.0663941284102508E-3</v>
      </c>
      <c r="AG75" s="222" cm="1">
        <f t="array" aca="1" ref="AG75" ca="1">'Tablica IO'!AG231*INDEX(Model!$C$93:$CA$93,Model!$A75) + IF(wplyw_cen_import_wlaczony,'Tablica IO'!AG309*INDEX(Model!$C$2:$CA$2,Model!$A75),'Tablica IO'!AG309*1)</f>
        <v>4.323545650780013E-3</v>
      </c>
      <c r="AH75" s="222" cm="1">
        <f t="array" aca="1" ref="AH75" ca="1">'Tablica IO'!AH231*INDEX(Model!$C$93:$CA$93,Model!$A75) + IF(wplyw_cen_import_wlaczony,'Tablica IO'!AH309*INDEX(Model!$C$2:$CA$2,Model!$A75),'Tablica IO'!AH309*1)</f>
        <v>4.2934865574916726E-3</v>
      </c>
      <c r="AI75" s="222" cm="1">
        <f t="array" aca="1" ref="AI75" ca="1">'Tablica IO'!AI231*INDEX(Model!$C$93:$CA$93,Model!$A75) + IF(wplyw_cen_import_wlaczony,'Tablica IO'!AI309*INDEX(Model!$C$2:$CA$2,Model!$A75),'Tablica IO'!AI309*1)</f>
        <v>2.2933263735396615E-3</v>
      </c>
      <c r="AJ75" s="222" cm="1">
        <f t="array" aca="1" ref="AJ75" ca="1">'Tablica IO'!AJ231*INDEX(Model!$C$93:$CA$93,Model!$A75) + IF(wplyw_cen_import_wlaczony,'Tablica IO'!AJ309*INDEX(Model!$C$2:$CA$2,Model!$A75),'Tablica IO'!AJ309*1)</f>
        <v>1.6847646709242873E-3</v>
      </c>
      <c r="AK75" s="222" cm="1">
        <f t="array" aca="1" ref="AK75" ca="1">'Tablica IO'!AK231*INDEX(Model!$C$93:$CA$93,Model!$A75) + IF(wplyw_cen_import_wlaczony,'Tablica IO'!AK309*INDEX(Model!$C$2:$CA$2,Model!$A75),'Tablica IO'!AK309*1)</f>
        <v>1.6412247102131853E-3</v>
      </c>
      <c r="AL75" s="222" cm="1">
        <f t="array" aca="1" ref="AL75" ca="1">'Tablica IO'!AL231*INDEX(Model!$C$93:$CA$93,Model!$A75) + IF(wplyw_cen_import_wlaczony,'Tablica IO'!AL309*INDEX(Model!$C$2:$CA$2,Model!$A75),'Tablica IO'!AL309*1)</f>
        <v>2.7019258917239356E-3</v>
      </c>
      <c r="AM75" s="222" cm="1">
        <f t="array" aca="1" ref="AM75" ca="1">'Tablica IO'!AM231*INDEX(Model!$C$93:$CA$93,Model!$A75) + IF(wplyw_cen_import_wlaczony,'Tablica IO'!AM309*INDEX(Model!$C$2:$CA$2,Model!$A75),'Tablica IO'!AM309*1)</f>
        <v>3.4866852855526161E-3</v>
      </c>
      <c r="AN75" s="222" cm="1">
        <f t="array" aca="1" ref="AN75" ca="1">'Tablica IO'!AN231*INDEX(Model!$C$93:$CA$93,Model!$A75) + IF(wplyw_cen_import_wlaczony,'Tablica IO'!AN309*INDEX(Model!$C$2:$CA$2,Model!$A75),'Tablica IO'!AN309*1)</f>
        <v>1.9812949514278512E-3</v>
      </c>
      <c r="AO75" s="222" cm="1">
        <f t="array" aca="1" ref="AO75" ca="1">'Tablica IO'!AO231*INDEX(Model!$C$93:$CA$93,Model!$A75) + IF(wplyw_cen_import_wlaczony,'Tablica IO'!AO309*INDEX(Model!$C$2:$CA$2,Model!$A75),'Tablica IO'!AO309*1)</f>
        <v>1.1147980426460388E-3</v>
      </c>
      <c r="AP75" s="222" cm="1">
        <f t="array" aca="1" ref="AP75" ca="1">'Tablica IO'!AP231*INDEX(Model!$C$93:$CA$93,Model!$A75) + IF(wplyw_cen_import_wlaczony,'Tablica IO'!AP309*INDEX(Model!$C$2:$CA$2,Model!$A75),'Tablica IO'!AP309*1)</f>
        <v>3.5194450404941479E-3</v>
      </c>
      <c r="AQ75" s="222" cm="1">
        <f t="array" aca="1" ref="AQ75" ca="1">'Tablica IO'!AQ231*INDEX(Model!$C$93:$CA$93,Model!$A75) + IF(wplyw_cen_import_wlaczony,'Tablica IO'!AQ309*INDEX(Model!$C$2:$CA$2,Model!$A75),'Tablica IO'!AQ309*1)</f>
        <v>6.2951839550259726E-3</v>
      </c>
      <c r="AR75" s="222" cm="1">
        <f t="array" aca="1" ref="AR75" ca="1">'Tablica IO'!AR231*INDEX(Model!$C$93:$CA$93,Model!$A75) + IF(wplyw_cen_import_wlaczony,'Tablica IO'!AR309*INDEX(Model!$C$2:$CA$2,Model!$A75),'Tablica IO'!AR309*1)</f>
        <v>1.6276535610846407E-3</v>
      </c>
      <c r="AS75" s="222" cm="1">
        <f t="array" aca="1" ref="AS75" ca="1">'Tablica IO'!AS231*INDEX(Model!$C$93:$CA$93,Model!$A75) + IF(wplyw_cen_import_wlaczony,'Tablica IO'!AS309*INDEX(Model!$C$2:$CA$2,Model!$A75),'Tablica IO'!AS309*1)</f>
        <v>6.5538361634031434E-4</v>
      </c>
      <c r="AT75" s="222" cm="1">
        <f t="array" aca="1" ref="AT75" ca="1">'Tablica IO'!AT231*INDEX(Model!$C$93:$CA$93,Model!$A75) + IF(wplyw_cen_import_wlaczony,'Tablica IO'!AT309*INDEX(Model!$C$2:$CA$2,Model!$A75),'Tablica IO'!AT309*1)</f>
        <v>2.9525106403325415E-3</v>
      </c>
      <c r="AU75" s="222" cm="1">
        <f t="array" aca="1" ref="AU75" ca="1">'Tablica IO'!AU231*INDEX(Model!$C$93:$CA$93,Model!$A75) + IF(wplyw_cen_import_wlaczony,'Tablica IO'!AU309*INDEX(Model!$C$2:$CA$2,Model!$A75),'Tablica IO'!AU309*1)</f>
        <v>9.9906883991458719E-4</v>
      </c>
      <c r="AV75" s="222" cm="1">
        <f t="array" aca="1" ref="AV75" ca="1">'Tablica IO'!AV231*INDEX(Model!$C$93:$CA$93,Model!$A75) + IF(wplyw_cen_import_wlaczony,'Tablica IO'!AV309*INDEX(Model!$C$2:$CA$2,Model!$A75),'Tablica IO'!AV309*1)</f>
        <v>3.1343325275023631E-3</v>
      </c>
      <c r="AW75" s="222" cm="1">
        <f t="array" aca="1" ref="AW75" ca="1">'Tablica IO'!AW231*INDEX(Model!$C$93:$CA$93,Model!$A75) + IF(wplyw_cen_import_wlaczony,'Tablica IO'!AW309*INDEX(Model!$C$2:$CA$2,Model!$A75),'Tablica IO'!AW309*1)</f>
        <v>7.401372347778136E-4</v>
      </c>
      <c r="AX75" s="222" cm="1">
        <f t="array" aca="1" ref="AX75" ca="1">'Tablica IO'!AX231*INDEX(Model!$C$93:$CA$93,Model!$A75) + IF(wplyw_cen_import_wlaczony,'Tablica IO'!AX309*INDEX(Model!$C$2:$CA$2,Model!$A75),'Tablica IO'!AX309*1)</f>
        <v>4.4014351164483557E-3</v>
      </c>
      <c r="AY75" s="222" cm="1">
        <f t="array" aca="1" ref="AY75" ca="1">'Tablica IO'!AY231*INDEX(Model!$C$93:$CA$93,Model!$A75) + IF(wplyw_cen_import_wlaczony,'Tablica IO'!AY309*INDEX(Model!$C$2:$CA$2,Model!$A75),'Tablica IO'!AY309*1)</f>
        <v>8.8984089621581101E-3</v>
      </c>
      <c r="AZ75" s="222" cm="1">
        <f t="array" aca="1" ref="AZ75" ca="1">'Tablica IO'!AZ231*INDEX(Model!$C$93:$CA$93,Model!$A75) + IF(wplyw_cen_import_wlaczony,'Tablica IO'!AZ309*INDEX(Model!$C$2:$CA$2,Model!$A75),'Tablica IO'!AZ309*1)</f>
        <v>2.119460495194671E-3</v>
      </c>
      <c r="BA75" s="222" cm="1">
        <f t="array" aca="1" ref="BA75" ca="1">'Tablica IO'!BA231*INDEX(Model!$C$93:$CA$93,Model!$A75) + IF(wplyw_cen_import_wlaczony,'Tablica IO'!BA309*INDEX(Model!$C$2:$CA$2,Model!$A75),'Tablica IO'!BA309*1)</f>
        <v>9.8520933571368784E-3</v>
      </c>
      <c r="BB75" s="222" cm="1">
        <f t="array" aca="1" ref="BB75" ca="1">'Tablica IO'!BB231*INDEX(Model!$C$93:$CA$93,Model!$A75) + IF(wplyw_cen_import_wlaczony,'Tablica IO'!BB309*INDEX(Model!$C$2:$CA$2,Model!$A75),'Tablica IO'!BB309*1)</f>
        <v>4.0826316283999039E-3</v>
      </c>
      <c r="BC75" s="222" cm="1">
        <f t="array" aca="1" ref="BC75" ca="1">'Tablica IO'!BC231*INDEX(Model!$C$93:$CA$93,Model!$A75) + IF(wplyw_cen_import_wlaczony,'Tablica IO'!BC309*INDEX(Model!$C$2:$CA$2,Model!$A75),'Tablica IO'!BC309*1)</f>
        <v>7.3255026319581605E-4</v>
      </c>
      <c r="BD75" s="222" cm="1">
        <f t="array" aca="1" ref="BD75" ca="1">'Tablica IO'!BD231*INDEX(Model!$C$93:$CA$93,Model!$A75) + IF(wplyw_cen_import_wlaczony,'Tablica IO'!BD309*INDEX(Model!$C$2:$CA$2,Model!$A75),'Tablica IO'!BD309*1)</f>
        <v>2.1761346447621032E-3</v>
      </c>
      <c r="BE75" s="222" cm="1">
        <f t="array" aca="1" ref="BE75" ca="1">'Tablica IO'!BE231*INDEX(Model!$C$93:$CA$93,Model!$A75) + IF(wplyw_cen_import_wlaczony,'Tablica IO'!BE309*INDEX(Model!$C$2:$CA$2,Model!$A75),'Tablica IO'!BE309*1)</f>
        <v>1.0140859610912433E-3</v>
      </c>
      <c r="BF75" s="222" cm="1">
        <f t="array" aca="1" ref="BF75" ca="1">'Tablica IO'!BF231*INDEX(Model!$C$93:$CA$93,Model!$A75) + IF(wplyw_cen_import_wlaczony,'Tablica IO'!BF309*INDEX(Model!$C$2:$CA$2,Model!$A75),'Tablica IO'!BF309*1)</f>
        <v>3.9027120052347059E-3</v>
      </c>
      <c r="BG75" s="222" cm="1">
        <f t="array" aca="1" ref="BG75" ca="1">'Tablica IO'!BG231*INDEX(Model!$C$93:$CA$93,Model!$A75) + IF(wplyw_cen_import_wlaczony,'Tablica IO'!BG309*INDEX(Model!$C$2:$CA$2,Model!$A75),'Tablica IO'!BG309*1)</f>
        <v>1.4321918613753775E-3</v>
      </c>
      <c r="BH75" s="222" cm="1">
        <f t="array" aca="1" ref="BH75" ca="1">'Tablica IO'!BH231*INDEX(Model!$C$93:$CA$93,Model!$A75) + IF(wplyw_cen_import_wlaczony,'Tablica IO'!BH309*INDEX(Model!$C$2:$CA$2,Model!$A75),'Tablica IO'!BH309*1)</f>
        <v>8.1085173906176623E-4</v>
      </c>
      <c r="BI75" s="222" cm="1">
        <f t="array" aca="1" ref="BI75" ca="1">'Tablica IO'!BI231*INDEX(Model!$C$93:$CA$93,Model!$A75) + IF(wplyw_cen_import_wlaczony,'Tablica IO'!BI309*INDEX(Model!$C$2:$CA$2,Model!$A75),'Tablica IO'!BI309*1)</f>
        <v>2.694876256491956E-4</v>
      </c>
      <c r="BJ75" s="222" cm="1">
        <f t="array" aca="1" ref="BJ75" ca="1">'Tablica IO'!BJ231*INDEX(Model!$C$93:$CA$93,Model!$A75) + IF(wplyw_cen_import_wlaczony,'Tablica IO'!BJ309*INDEX(Model!$C$2:$CA$2,Model!$A75),'Tablica IO'!BJ309*1)</f>
        <v>3.2283654190216936E-3</v>
      </c>
      <c r="BK75" s="222" cm="1">
        <f t="array" aca="1" ref="BK75" ca="1">'Tablica IO'!BK231*INDEX(Model!$C$93:$CA$93,Model!$A75) + IF(wplyw_cen_import_wlaczony,'Tablica IO'!BK309*INDEX(Model!$C$2:$CA$2,Model!$A75),'Tablica IO'!BK309*1)</f>
        <v>7.7188137795064537E-4</v>
      </c>
      <c r="BL75" s="222" cm="1">
        <f t="array" aca="1" ref="BL75" ca="1">'Tablica IO'!BL231*INDEX(Model!$C$93:$CA$93,Model!$A75) + IF(wplyw_cen_import_wlaczony,'Tablica IO'!BL309*INDEX(Model!$C$2:$CA$2,Model!$A75),'Tablica IO'!BL309*1)</f>
        <v>1.0333636839882851E-3</v>
      </c>
      <c r="BM75" s="222" cm="1">
        <f t="array" aca="1" ref="BM75" ca="1">'Tablica IO'!BM231*INDEX(Model!$C$93:$CA$93,Model!$A75) + IF(wplyw_cen_import_wlaczony,'Tablica IO'!BM309*INDEX(Model!$C$2:$CA$2,Model!$A75),'Tablica IO'!BM309*1)</f>
        <v>0.17358170478411636</v>
      </c>
      <c r="BN75" s="222" cm="1">
        <f t="array" aca="1" ref="BN75" ca="1">'Tablica IO'!BN231*INDEX(Model!$C$93:$CA$93,Model!$A75) + IF(wplyw_cen_import_wlaczony,'Tablica IO'!BN309*INDEX(Model!$C$2:$CA$2,Model!$A75),'Tablica IO'!BN309*1)</f>
        <v>1.560977887642166E-3</v>
      </c>
      <c r="BO75" s="222" cm="1">
        <f t="array" aca="1" ref="BO75" ca="1">'Tablica IO'!BO231*INDEX(Model!$C$93:$CA$93,Model!$A75) + IF(wplyw_cen_import_wlaczony,'Tablica IO'!BO309*INDEX(Model!$C$2:$CA$2,Model!$A75),'Tablica IO'!BO309*1)</f>
        <v>1.1740798859712165E-3</v>
      </c>
      <c r="BP75" s="222" cm="1">
        <f t="array" aca="1" ref="BP75" ca="1">'Tablica IO'!BP231*INDEX(Model!$C$93:$CA$93,Model!$A75) + IF(wplyw_cen_import_wlaczony,'Tablica IO'!BP309*INDEX(Model!$C$2:$CA$2,Model!$A75),'Tablica IO'!BP309*1)</f>
        <v>5.1119646381432918E-4</v>
      </c>
      <c r="BQ75" s="222" cm="1">
        <f t="array" aca="1" ref="BQ75" ca="1">'Tablica IO'!BQ231*INDEX(Model!$C$93:$CA$93,Model!$A75) + IF(wplyw_cen_import_wlaczony,'Tablica IO'!BQ309*INDEX(Model!$C$2:$CA$2,Model!$A75),'Tablica IO'!BQ309*1)</f>
        <v>1.777997019713432E-3</v>
      </c>
      <c r="BR75" s="222" cm="1">
        <f t="array" aca="1" ref="BR75" ca="1">'Tablica IO'!BR231*INDEX(Model!$C$93:$CA$93,Model!$A75) + IF(wplyw_cen_import_wlaczony,'Tablica IO'!BR309*INDEX(Model!$C$2:$CA$2,Model!$A75),'Tablica IO'!BR309*1)</f>
        <v>1.5635520268932504E-3</v>
      </c>
      <c r="BS75" s="222" cm="1">
        <f t="array" aca="1" ref="BS75" ca="1">'Tablica IO'!BS231*INDEX(Model!$C$93:$CA$93,Model!$A75) + IF(wplyw_cen_import_wlaczony,'Tablica IO'!BS309*INDEX(Model!$C$2:$CA$2,Model!$A75),'Tablica IO'!BS309*1)</f>
        <v>2.5607211503644059E-4</v>
      </c>
      <c r="BT75" s="222" cm="1">
        <f t="array" aca="1" ref="BT75" ca="1">'Tablica IO'!BT231*INDEX(Model!$C$93:$CA$93,Model!$A75) + IF(wplyw_cen_import_wlaczony,'Tablica IO'!BT309*INDEX(Model!$C$2:$CA$2,Model!$A75),'Tablica IO'!BT309*1)</f>
        <v>1.4529825700226184E-2</v>
      </c>
      <c r="BU75" s="222" cm="1">
        <f t="array" aca="1" ref="BU75" ca="1">'Tablica IO'!BU231*INDEX(Model!$C$93:$CA$93,Model!$A75) + IF(wplyw_cen_import_wlaczony,'Tablica IO'!BU309*INDEX(Model!$C$2:$CA$2,Model!$A75),'Tablica IO'!BU309*1)</f>
        <v>2.4872800587433207E-2</v>
      </c>
      <c r="BV75" s="222" cm="1">
        <f t="array" aca="1" ref="BV75" ca="1">'Tablica IO'!BV231*INDEX(Model!$C$93:$CA$93,Model!$A75) + IF(wplyw_cen_import_wlaczony,'Tablica IO'!BV309*INDEX(Model!$C$2:$CA$2,Model!$A75),'Tablica IO'!BV309*1)</f>
        <v>2.4159125511266921E-3</v>
      </c>
      <c r="BW75" s="222" cm="1">
        <f t="array" aca="1" ref="BW75" ca="1">'Tablica IO'!BW231*INDEX(Model!$C$93:$CA$93,Model!$A75) + IF(wplyw_cen_import_wlaczony,'Tablica IO'!BW309*INDEX(Model!$C$2:$CA$2,Model!$A75),'Tablica IO'!BW309*1)</f>
        <v>1.3978887869753534E-2</v>
      </c>
      <c r="BX75" s="222" cm="1">
        <f t="array" aca="1" ref="BX75" ca="1">'Tablica IO'!BX231*INDEX(Model!$C$93:$CA$93,Model!$A75) + IF(wplyw_cen_import_wlaczony,'Tablica IO'!BX309*INDEX(Model!$C$2:$CA$2,Model!$A75),'Tablica IO'!BX309*1)</f>
        <v>9.1585345468974715E-5</v>
      </c>
      <c r="BY75" s="222" cm="1">
        <f t="array" aca="1" ref="BY75" ca="1">'Tablica IO'!BY231*INDEX(Model!$C$93:$CA$93,Model!$A75) + IF(wplyw_cen_import_wlaczony,'Tablica IO'!BY309*INDEX(Model!$C$2:$CA$2,Model!$A75),'Tablica IO'!BY309*1)</f>
        <v>1.258052225711608E-3</v>
      </c>
      <c r="BZ75" s="222" cm="1">
        <f t="array" aca="1" ref="BZ75" ca="1">'Tablica IO'!BZ231*INDEX(Model!$C$93:$CA$93,Model!$A75) + IF(wplyw_cen_import_wlaczony,'Tablica IO'!BZ309*INDEX(Model!$C$2:$CA$2,Model!$A75),'Tablica IO'!BZ309*1)</f>
        <v>4.897147919664907E-2</v>
      </c>
      <c r="CA75" s="222" cm="1">
        <f t="array" aca="1" ref="CA75" ca="1">'Tablica IO'!CA231*INDEX(Model!$C$93:$CA$93,Model!$A75) + IF(wplyw_cen_import_wlaczony,'Tablica IO'!CA309*INDEX(Model!$C$2:$CA$2,Model!$A75),'Tablica IO'!CA309*1)</f>
        <v>0</v>
      </c>
      <c r="CB75" s="247">
        <f ca="1">'Tablica IO'!CD231*INDEX(Model!$C$93:$CA$93,Model!$A75)+'Tablica IO'!CD309*INDEX(Model!$C$2:$CA$2,Model!$A75)</f>
        <v>3.4763859531826516E-4</v>
      </c>
      <c r="CC75" s="188">
        <f ca="1">'Tablica IO'!CE231*INDEX(Model!$C$93:$CA$93,Model!$A75)+'Tablica IO'!CE309*INDEX(Model!$C$2:$CA$2,Model!$A75)</f>
        <v>0</v>
      </c>
      <c r="CD75" s="188">
        <f ca="1">'Tablica IO'!CF231*INDEX(Model!$C$93:$CA$93,Model!$A75)+'Tablica IO'!CF309*INDEX(Model!$C$2:$CA$2,Model!$A75)</f>
        <v>-8.462942266800445E-7</v>
      </c>
      <c r="CE75" s="189">
        <f ca="1">'Tablica IO'!CG231*INDEX(Model!$C$93:$CA$93,Model!$A75)+'Tablica IO'!CG309*INDEX(Model!$C$2:$CA$2,Model!$A75)</f>
        <v>6.2124018037975997E-4</v>
      </c>
    </row>
    <row r="76" spans="1:83" x14ac:dyDescent="0.25">
      <c r="A76" s="164">
        <v>64</v>
      </c>
      <c r="B76" s="172" t="s">
        <v>63</v>
      </c>
      <c r="C76" s="221" cm="1">
        <f t="array" aca="1" ref="C76" ca="1">'Tablica IO'!C232*INDEX(Model!$C$93:$CA$93,Model!$A76) + IF(wplyw_cen_import_wlaczony,'Tablica IO'!C310*INDEX(Model!$C$2:$CA$2,Model!$A76),'Tablica IO'!C310*1)</f>
        <v>1.8032907344197867E-4</v>
      </c>
      <c r="D76" s="222" cm="1">
        <f t="array" aca="1" ref="D76" ca="1">'Tablica IO'!D232*INDEX(Model!$C$93:$CA$93,Model!$A76) + IF(wplyw_cen_import_wlaczony,'Tablica IO'!D310*INDEX(Model!$C$2:$CA$2,Model!$A76),'Tablica IO'!D310*1)</f>
        <v>1.5399068780373708E-3</v>
      </c>
      <c r="E76" s="222" cm="1">
        <f t="array" aca="1" ref="E76" ca="1">'Tablica IO'!E232*INDEX(Model!$C$93:$CA$93,Model!$A76) + IF(wplyw_cen_import_wlaczony,'Tablica IO'!E310*INDEX(Model!$C$2:$CA$2,Model!$A76),'Tablica IO'!E310*1)</f>
        <v>5.2884351016645409E-4</v>
      </c>
      <c r="F76" s="222" cm="1">
        <f t="array" aca="1" ref="F76" ca="1">'Tablica IO'!F232*INDEX(Model!$C$93:$CA$93,Model!$A76) + IF(wplyw_cen_import_wlaczony,'Tablica IO'!F310*INDEX(Model!$C$2:$CA$2,Model!$A76),'Tablica IO'!F310*1)</f>
        <v>1.8913837854306892E-3</v>
      </c>
      <c r="G76" s="222" cm="1">
        <f t="array" aca="1" ref="G76" ca="1">'Tablica IO'!G232*INDEX(Model!$C$93:$CA$93,Model!$A76) + IF(wplyw_cen_import_wlaczony,'Tablica IO'!G310*INDEX(Model!$C$2:$CA$2,Model!$A76),'Tablica IO'!G310*1)</f>
        <v>8.0703365807135736E-4</v>
      </c>
      <c r="H76" s="222" cm="1">
        <f t="array" aca="1" ref="H76" ca="1">'Tablica IO'!H232*INDEX(Model!$C$93:$CA$93,Model!$A76) + IF(wplyw_cen_import_wlaczony,'Tablica IO'!H310*INDEX(Model!$C$2:$CA$2,Model!$A76),'Tablica IO'!H310*1)</f>
        <v>4.8712594388254502E-4</v>
      </c>
      <c r="I76" s="222" cm="1">
        <f t="array" aca="1" ref="I76" ca="1">'Tablica IO'!I232*INDEX(Model!$C$93:$CA$93,Model!$A76) + IF(wplyw_cen_import_wlaczony,'Tablica IO'!I310*INDEX(Model!$C$2:$CA$2,Model!$A76),'Tablica IO'!I310*1)</f>
        <v>1.3243698388685353E-3</v>
      </c>
      <c r="J76" s="222" cm="1">
        <f t="array" aca="1" ref="J76" ca="1">'Tablica IO'!J232*INDEX(Model!$C$93:$CA$93,Model!$A76) + IF(wplyw_cen_import_wlaczony,'Tablica IO'!J310*INDEX(Model!$C$2:$CA$2,Model!$A76),'Tablica IO'!J310*1)</f>
        <v>2.0997426822697614E-3</v>
      </c>
      <c r="K76" s="222" cm="1">
        <f t="array" aca="1" ref="K76" ca="1">'Tablica IO'!K232*INDEX(Model!$C$93:$CA$93,Model!$A76) + IF(wplyw_cen_import_wlaczony,'Tablica IO'!K310*INDEX(Model!$C$2:$CA$2,Model!$A76),'Tablica IO'!K310*1)</f>
        <v>1.9697739724857393E-3</v>
      </c>
      <c r="L76" s="222" cm="1">
        <f t="array" aca="1" ref="L76" ca="1">'Tablica IO'!L232*INDEX(Model!$C$93:$CA$93,Model!$A76) + IF(wplyw_cen_import_wlaczony,'Tablica IO'!L310*INDEX(Model!$C$2:$CA$2,Model!$A76),'Tablica IO'!L310*1)</f>
        <v>1.1803106758944677E-3</v>
      </c>
      <c r="M76" s="222" cm="1">
        <f t="array" aca="1" ref="M76" ca="1">'Tablica IO'!M232*INDEX(Model!$C$93:$CA$93,Model!$A76) + IF(wplyw_cen_import_wlaczony,'Tablica IO'!M310*INDEX(Model!$C$2:$CA$2,Model!$A76),'Tablica IO'!M310*1)</f>
        <v>2.5322361011240373E-3</v>
      </c>
      <c r="N76" s="222" cm="1">
        <f t="array" aca="1" ref="N76" ca="1">'Tablica IO'!N232*INDEX(Model!$C$93:$CA$93,Model!$A76) + IF(wplyw_cen_import_wlaczony,'Tablica IO'!N310*INDEX(Model!$C$2:$CA$2,Model!$A76),'Tablica IO'!N310*1)</f>
        <v>9.5411664409532566E-4</v>
      </c>
      <c r="O76" s="222" cm="1">
        <f t="array" aca="1" ref="O76" ca="1">'Tablica IO'!O232*INDEX(Model!$C$93:$CA$93,Model!$A76) + IF(wplyw_cen_import_wlaczony,'Tablica IO'!O310*INDEX(Model!$C$2:$CA$2,Model!$A76),'Tablica IO'!O310*1)</f>
        <v>1.2020302629716863E-3</v>
      </c>
      <c r="P76" s="222" cm="1">
        <f t="array" aca="1" ref="P76" ca="1">'Tablica IO'!P232*INDEX(Model!$C$93:$CA$93,Model!$A76) + IF(wplyw_cen_import_wlaczony,'Tablica IO'!P310*INDEX(Model!$C$2:$CA$2,Model!$A76),'Tablica IO'!P310*1)</f>
        <v>1.8942999782920584E-3</v>
      </c>
      <c r="Q76" s="222" cm="1">
        <f t="array" aca="1" ref="Q76" ca="1">'Tablica IO'!Q232*INDEX(Model!$C$93:$CA$93,Model!$A76) + IF(wplyw_cen_import_wlaczony,'Tablica IO'!Q310*INDEX(Model!$C$2:$CA$2,Model!$A76),'Tablica IO'!Q310*1)</f>
        <v>2.502915468475272E-4</v>
      </c>
      <c r="R76" s="222" cm="1">
        <f t="array" aca="1" ref="R76" ca="1">'Tablica IO'!R232*INDEX(Model!$C$93:$CA$93,Model!$A76) + IF(wplyw_cen_import_wlaczony,'Tablica IO'!R310*INDEX(Model!$C$2:$CA$2,Model!$A76),'Tablica IO'!R310*1)</f>
        <v>7.1379670733083653E-4</v>
      </c>
      <c r="S76" s="222" cm="1">
        <f t="array" aca="1" ref="S76" ca="1">'Tablica IO'!S232*INDEX(Model!$C$93:$CA$93,Model!$A76) + IF(wplyw_cen_import_wlaczony,'Tablica IO'!S310*INDEX(Model!$C$2:$CA$2,Model!$A76),'Tablica IO'!S310*1)</f>
        <v>2.0059286739646603E-3</v>
      </c>
      <c r="T76" s="222" cm="1">
        <f t="array" aca="1" ref="T76" ca="1">'Tablica IO'!T232*INDEX(Model!$C$93:$CA$93,Model!$A76) + IF(wplyw_cen_import_wlaczony,'Tablica IO'!T310*INDEX(Model!$C$2:$CA$2,Model!$A76),'Tablica IO'!T310*1)</f>
        <v>8.5951190931306092E-4</v>
      </c>
      <c r="U76" s="222" cm="1">
        <f t="array" aca="1" ref="U76" ca="1">'Tablica IO'!U232*INDEX(Model!$C$93:$CA$93,Model!$A76) + IF(wplyw_cen_import_wlaczony,'Tablica IO'!U310*INDEX(Model!$C$2:$CA$2,Model!$A76),'Tablica IO'!U310*1)</f>
        <v>1.0083137921027135E-3</v>
      </c>
      <c r="V76" s="222" cm="1">
        <f t="array" aca="1" ref="V76" ca="1">'Tablica IO'!V232*INDEX(Model!$C$93:$CA$93,Model!$A76) + IF(wplyw_cen_import_wlaczony,'Tablica IO'!V310*INDEX(Model!$C$2:$CA$2,Model!$A76),'Tablica IO'!V310*1)</f>
        <v>6.0141693994061841E-4</v>
      </c>
      <c r="W76" s="222" cm="1">
        <f t="array" aca="1" ref="W76" ca="1">'Tablica IO'!W232*INDEX(Model!$C$93:$CA$93,Model!$A76) + IF(wplyw_cen_import_wlaczony,'Tablica IO'!W310*INDEX(Model!$C$2:$CA$2,Model!$A76),'Tablica IO'!W310*1)</f>
        <v>1.0077809469267362E-3</v>
      </c>
      <c r="X76" s="222" cm="1">
        <f t="array" aca="1" ref="X76" ca="1">'Tablica IO'!X232*INDEX(Model!$C$93:$CA$93,Model!$A76) + IF(wplyw_cen_import_wlaczony,'Tablica IO'!X310*INDEX(Model!$C$2:$CA$2,Model!$A76),'Tablica IO'!X310*1)</f>
        <v>5.2826556814971172E-4</v>
      </c>
      <c r="Y76" s="222" cm="1">
        <f t="array" aca="1" ref="Y76" ca="1">'Tablica IO'!Y232*INDEX(Model!$C$93:$CA$93,Model!$A76) + IF(wplyw_cen_import_wlaczony,'Tablica IO'!Y310*INDEX(Model!$C$2:$CA$2,Model!$A76),'Tablica IO'!Y310*1)</f>
        <v>1.499172526141691E-3</v>
      </c>
      <c r="Z76" s="222" cm="1">
        <f t="array" aca="1" ref="Z76" ca="1">'Tablica IO'!Z232*INDEX(Model!$C$93:$CA$93,Model!$A76) + IF(wplyw_cen_import_wlaczony,'Tablica IO'!Z310*INDEX(Model!$C$2:$CA$2,Model!$A76),'Tablica IO'!Z310*1)</f>
        <v>1.1813059562389935E-3</v>
      </c>
      <c r="AA76" s="222" cm="1">
        <f t="array" aca="1" ref="AA76" ca="1">'Tablica IO'!AA232*INDEX(Model!$C$93:$CA$93,Model!$A76) + IF(wplyw_cen_import_wlaczony,'Tablica IO'!AA310*INDEX(Model!$C$2:$CA$2,Model!$A76),'Tablica IO'!AA310*1)</f>
        <v>6.8516672774574135E-4</v>
      </c>
      <c r="AB76" s="222" cm="1">
        <f t="array" aca="1" ref="AB76" ca="1">'Tablica IO'!AB232*INDEX(Model!$C$93:$CA$93,Model!$A76) + IF(wplyw_cen_import_wlaczony,'Tablica IO'!AB310*INDEX(Model!$C$2:$CA$2,Model!$A76),'Tablica IO'!AB310*1)</f>
        <v>1.3778856457003885E-3</v>
      </c>
      <c r="AC76" s="222" cm="1">
        <f t="array" aca="1" ref="AC76" ca="1">'Tablica IO'!AC232*INDEX(Model!$C$93:$CA$93,Model!$A76) + IF(wplyw_cen_import_wlaczony,'Tablica IO'!AC310*INDEX(Model!$C$2:$CA$2,Model!$A76),'Tablica IO'!AC310*1)</f>
        <v>9.5539163225684192E-4</v>
      </c>
      <c r="AD76" s="222" cm="1">
        <f t="array" aca="1" ref="AD76" ca="1">'Tablica IO'!AD232*INDEX(Model!$C$93:$CA$93,Model!$A76) + IF(wplyw_cen_import_wlaczony,'Tablica IO'!AD310*INDEX(Model!$C$2:$CA$2,Model!$A76),'Tablica IO'!AD310*1)</f>
        <v>5.9968193968057068E-4</v>
      </c>
      <c r="AE76" s="222" cm="1">
        <f t="array" aca="1" ref="AE76" ca="1">'Tablica IO'!AE232*INDEX(Model!$C$93:$CA$93,Model!$A76) + IF(wplyw_cen_import_wlaczony,'Tablica IO'!AE310*INDEX(Model!$C$2:$CA$2,Model!$A76),'Tablica IO'!AE310*1)</f>
        <v>8.4818634895207125E-4</v>
      </c>
      <c r="AF76" s="222" cm="1">
        <f t="array" aca="1" ref="AF76" ca="1">'Tablica IO'!AF232*INDEX(Model!$C$93:$CA$93,Model!$A76) + IF(wplyw_cen_import_wlaczony,'Tablica IO'!AF310*INDEX(Model!$C$2:$CA$2,Model!$A76),'Tablica IO'!AF310*1)</f>
        <v>1.6454261451110293E-3</v>
      </c>
      <c r="AG76" s="222" cm="1">
        <f t="array" aca="1" ref="AG76" ca="1">'Tablica IO'!AG232*INDEX(Model!$C$93:$CA$93,Model!$A76) + IF(wplyw_cen_import_wlaczony,'Tablica IO'!AG310*INDEX(Model!$C$2:$CA$2,Model!$A76),'Tablica IO'!AG310*1)</f>
        <v>4.9182565252724811E-3</v>
      </c>
      <c r="AH76" s="222" cm="1">
        <f t="array" aca="1" ref="AH76" ca="1">'Tablica IO'!AH232*INDEX(Model!$C$93:$CA$93,Model!$A76) + IF(wplyw_cen_import_wlaczony,'Tablica IO'!AH310*INDEX(Model!$C$2:$CA$2,Model!$A76),'Tablica IO'!AH310*1)</f>
        <v>3.2937969422135093E-3</v>
      </c>
      <c r="AI76" s="222" cm="1">
        <f t="array" aca="1" ref="AI76" ca="1">'Tablica IO'!AI232*INDEX(Model!$C$93:$CA$93,Model!$A76) + IF(wplyw_cen_import_wlaczony,'Tablica IO'!AI310*INDEX(Model!$C$2:$CA$2,Model!$A76),'Tablica IO'!AI310*1)</f>
        <v>3.2187046650009065E-3</v>
      </c>
      <c r="AJ76" s="222" cm="1">
        <f t="array" aca="1" ref="AJ76" ca="1">'Tablica IO'!AJ232*INDEX(Model!$C$93:$CA$93,Model!$A76) + IF(wplyw_cen_import_wlaczony,'Tablica IO'!AJ310*INDEX(Model!$C$2:$CA$2,Model!$A76),'Tablica IO'!AJ310*1)</f>
        <v>5.4363944605315974E-4</v>
      </c>
      <c r="AK76" s="222" cm="1">
        <f t="array" aca="1" ref="AK76" ca="1">'Tablica IO'!AK232*INDEX(Model!$C$93:$CA$93,Model!$A76) + IF(wplyw_cen_import_wlaczony,'Tablica IO'!AK310*INDEX(Model!$C$2:$CA$2,Model!$A76),'Tablica IO'!AK310*1)</f>
        <v>6.2153512666386396E-4</v>
      </c>
      <c r="AL76" s="222" cm="1">
        <f t="array" aca="1" ref="AL76" ca="1">'Tablica IO'!AL232*INDEX(Model!$C$93:$CA$93,Model!$A76) + IF(wplyw_cen_import_wlaczony,'Tablica IO'!AL310*INDEX(Model!$C$2:$CA$2,Model!$A76),'Tablica IO'!AL310*1)</f>
        <v>8.8723760977978735E-4</v>
      </c>
      <c r="AM76" s="222" cm="1">
        <f t="array" aca="1" ref="AM76" ca="1">'Tablica IO'!AM232*INDEX(Model!$C$93:$CA$93,Model!$A76) + IF(wplyw_cen_import_wlaczony,'Tablica IO'!AM310*INDEX(Model!$C$2:$CA$2,Model!$A76),'Tablica IO'!AM310*1)</f>
        <v>8.1748713873310648E-4</v>
      </c>
      <c r="AN76" s="222" cm="1">
        <f t="array" aca="1" ref="AN76" ca="1">'Tablica IO'!AN232*INDEX(Model!$C$93:$CA$93,Model!$A76) + IF(wplyw_cen_import_wlaczony,'Tablica IO'!AN310*INDEX(Model!$C$2:$CA$2,Model!$A76),'Tablica IO'!AN310*1)</f>
        <v>2.0417313618686524E-3</v>
      </c>
      <c r="AO76" s="222" cm="1">
        <f t="array" aca="1" ref="AO76" ca="1">'Tablica IO'!AO232*INDEX(Model!$C$93:$CA$93,Model!$A76) + IF(wplyw_cen_import_wlaczony,'Tablica IO'!AO310*INDEX(Model!$C$2:$CA$2,Model!$A76),'Tablica IO'!AO310*1)</f>
        <v>1.5334488685701728E-3</v>
      </c>
      <c r="AP76" s="222" cm="1">
        <f t="array" aca="1" ref="AP76" ca="1">'Tablica IO'!AP232*INDEX(Model!$C$93:$CA$93,Model!$A76) + IF(wplyw_cen_import_wlaczony,'Tablica IO'!AP310*INDEX(Model!$C$2:$CA$2,Model!$A76),'Tablica IO'!AP310*1)</f>
        <v>2.1508637428329794E-3</v>
      </c>
      <c r="AQ76" s="222" cm="1">
        <f t="array" aca="1" ref="AQ76" ca="1">'Tablica IO'!AQ232*INDEX(Model!$C$93:$CA$93,Model!$A76) + IF(wplyw_cen_import_wlaczony,'Tablica IO'!AQ310*INDEX(Model!$C$2:$CA$2,Model!$A76),'Tablica IO'!AQ310*1)</f>
        <v>6.5913875626005466E-3</v>
      </c>
      <c r="AR76" s="222" cm="1">
        <f t="array" aca="1" ref="AR76" ca="1">'Tablica IO'!AR232*INDEX(Model!$C$93:$CA$93,Model!$A76) + IF(wplyw_cen_import_wlaczony,'Tablica IO'!AR310*INDEX(Model!$C$2:$CA$2,Model!$A76),'Tablica IO'!AR310*1)</f>
        <v>7.3171494352980383E-4</v>
      </c>
      <c r="AS76" s="222" cm="1">
        <f t="array" aca="1" ref="AS76" ca="1">'Tablica IO'!AS232*INDEX(Model!$C$93:$CA$93,Model!$A76) + IF(wplyw_cen_import_wlaczony,'Tablica IO'!AS310*INDEX(Model!$C$2:$CA$2,Model!$A76),'Tablica IO'!AS310*1)</f>
        <v>1.6013086653216154E-3</v>
      </c>
      <c r="AT76" s="222" cm="1">
        <f t="array" aca="1" ref="AT76" ca="1">'Tablica IO'!AT232*INDEX(Model!$C$93:$CA$93,Model!$A76) + IF(wplyw_cen_import_wlaczony,'Tablica IO'!AT310*INDEX(Model!$C$2:$CA$2,Model!$A76),'Tablica IO'!AT310*1)</f>
        <v>3.3476105121696873E-3</v>
      </c>
      <c r="AU76" s="222" cm="1">
        <f t="array" aca="1" ref="AU76" ca="1">'Tablica IO'!AU232*INDEX(Model!$C$93:$CA$93,Model!$A76) + IF(wplyw_cen_import_wlaczony,'Tablica IO'!AU310*INDEX(Model!$C$2:$CA$2,Model!$A76),'Tablica IO'!AU310*1)</f>
        <v>9.1121210860543021E-4</v>
      </c>
      <c r="AV76" s="222" cm="1">
        <f t="array" aca="1" ref="AV76" ca="1">'Tablica IO'!AV232*INDEX(Model!$C$93:$CA$93,Model!$A76) + IF(wplyw_cen_import_wlaczony,'Tablica IO'!AV310*INDEX(Model!$C$2:$CA$2,Model!$A76),'Tablica IO'!AV310*1)</f>
        <v>3.525768202041377E-3</v>
      </c>
      <c r="AW76" s="222" cm="1">
        <f t="array" aca="1" ref="AW76" ca="1">'Tablica IO'!AW232*INDEX(Model!$C$93:$CA$93,Model!$A76) + IF(wplyw_cen_import_wlaczony,'Tablica IO'!AW310*INDEX(Model!$C$2:$CA$2,Model!$A76),'Tablica IO'!AW310*1)</f>
        <v>2.269014464535308E-3</v>
      </c>
      <c r="AX76" s="222" cm="1">
        <f t="array" aca="1" ref="AX76" ca="1">'Tablica IO'!AX232*INDEX(Model!$C$93:$CA$93,Model!$A76) + IF(wplyw_cen_import_wlaczony,'Tablica IO'!AX310*INDEX(Model!$C$2:$CA$2,Model!$A76),'Tablica IO'!AX310*1)</f>
        <v>4.8333261376093785E-3</v>
      </c>
      <c r="AY76" s="222" cm="1">
        <f t="array" aca="1" ref="AY76" ca="1">'Tablica IO'!AY232*INDEX(Model!$C$93:$CA$93,Model!$A76) + IF(wplyw_cen_import_wlaczony,'Tablica IO'!AY310*INDEX(Model!$C$2:$CA$2,Model!$A76),'Tablica IO'!AY310*1)</f>
        <v>1.0131768163092762E-3</v>
      </c>
      <c r="AZ76" s="222" cm="1">
        <f t="array" aca="1" ref="AZ76" ca="1">'Tablica IO'!AZ232*INDEX(Model!$C$93:$CA$93,Model!$A76) + IF(wplyw_cen_import_wlaczony,'Tablica IO'!AZ310*INDEX(Model!$C$2:$CA$2,Model!$A76),'Tablica IO'!AZ310*1)</f>
        <v>2.3754996760064697E-3</v>
      </c>
      <c r="BA76" s="222" cm="1">
        <f t="array" aca="1" ref="BA76" ca="1">'Tablica IO'!BA232*INDEX(Model!$C$93:$CA$93,Model!$A76) + IF(wplyw_cen_import_wlaczony,'Tablica IO'!BA310*INDEX(Model!$C$2:$CA$2,Model!$A76),'Tablica IO'!BA310*1)</f>
        <v>6.0166665490834154E-3</v>
      </c>
      <c r="BB76" s="222" cm="1">
        <f t="array" aca="1" ref="BB76" ca="1">'Tablica IO'!BB232*INDEX(Model!$C$93:$CA$93,Model!$A76) + IF(wplyw_cen_import_wlaczony,'Tablica IO'!BB310*INDEX(Model!$C$2:$CA$2,Model!$A76),'Tablica IO'!BB310*1)</f>
        <v>4.4289241827464448E-4</v>
      </c>
      <c r="BC76" s="222" cm="1">
        <f t="array" aca="1" ref="BC76" ca="1">'Tablica IO'!BC232*INDEX(Model!$C$93:$CA$93,Model!$A76) + IF(wplyw_cen_import_wlaczony,'Tablica IO'!BC310*INDEX(Model!$C$2:$CA$2,Model!$A76),'Tablica IO'!BC310*1)</f>
        <v>1.367055136745009E-3</v>
      </c>
      <c r="BD76" s="222" cm="1">
        <f t="array" aca="1" ref="BD76" ca="1">'Tablica IO'!BD232*INDEX(Model!$C$93:$CA$93,Model!$A76) + IF(wplyw_cen_import_wlaczony,'Tablica IO'!BD310*INDEX(Model!$C$2:$CA$2,Model!$A76),'Tablica IO'!BD310*1)</f>
        <v>3.1801510070570225E-3</v>
      </c>
      <c r="BE76" s="222" cm="1">
        <f t="array" aca="1" ref="BE76" ca="1">'Tablica IO'!BE232*INDEX(Model!$C$93:$CA$93,Model!$A76) + IF(wplyw_cen_import_wlaczony,'Tablica IO'!BE310*INDEX(Model!$C$2:$CA$2,Model!$A76),'Tablica IO'!BE310*1)</f>
        <v>7.8575401491489251E-4</v>
      </c>
      <c r="BF76" s="222" cm="1">
        <f t="array" aca="1" ref="BF76" ca="1">'Tablica IO'!BF232*INDEX(Model!$C$93:$CA$93,Model!$A76) + IF(wplyw_cen_import_wlaczony,'Tablica IO'!BF310*INDEX(Model!$C$2:$CA$2,Model!$A76),'Tablica IO'!BF310*1)</f>
        <v>3.4382828696642976E-3</v>
      </c>
      <c r="BG76" s="222" cm="1">
        <f t="array" aca="1" ref="BG76" ca="1">'Tablica IO'!BG232*INDEX(Model!$C$93:$CA$93,Model!$A76) + IF(wplyw_cen_import_wlaczony,'Tablica IO'!BG310*INDEX(Model!$C$2:$CA$2,Model!$A76),'Tablica IO'!BG310*1)</f>
        <v>6.0342297121699739E-4</v>
      </c>
      <c r="BH76" s="222" cm="1">
        <f t="array" aca="1" ref="BH76" ca="1">'Tablica IO'!BH232*INDEX(Model!$C$93:$CA$93,Model!$A76) + IF(wplyw_cen_import_wlaczony,'Tablica IO'!BH310*INDEX(Model!$C$2:$CA$2,Model!$A76),'Tablica IO'!BH310*1)</f>
        <v>1.899993734669997E-4</v>
      </c>
      <c r="BI76" s="222" cm="1">
        <f t="array" aca="1" ref="BI76" ca="1">'Tablica IO'!BI232*INDEX(Model!$C$93:$CA$93,Model!$A76) + IF(wplyw_cen_import_wlaczony,'Tablica IO'!BI310*INDEX(Model!$C$2:$CA$2,Model!$A76),'Tablica IO'!BI310*1)</f>
        <v>1.1087823163219424E-4</v>
      </c>
      <c r="BJ76" s="222" cm="1">
        <f t="array" aca="1" ref="BJ76" ca="1">'Tablica IO'!BJ232*INDEX(Model!$C$93:$CA$93,Model!$A76) + IF(wplyw_cen_import_wlaczony,'Tablica IO'!BJ310*INDEX(Model!$C$2:$CA$2,Model!$A76),'Tablica IO'!BJ310*1)</f>
        <v>2.8500493589481003E-3</v>
      </c>
      <c r="BK76" s="222" cm="1">
        <f t="array" aca="1" ref="BK76" ca="1">'Tablica IO'!BK232*INDEX(Model!$C$93:$CA$93,Model!$A76) + IF(wplyw_cen_import_wlaczony,'Tablica IO'!BK310*INDEX(Model!$C$2:$CA$2,Model!$A76),'Tablica IO'!BK310*1)</f>
        <v>8.5109994675283923E-4</v>
      </c>
      <c r="BL76" s="222" cm="1">
        <f t="array" aca="1" ref="BL76" ca="1">'Tablica IO'!BL232*INDEX(Model!$C$93:$CA$93,Model!$A76) + IF(wplyw_cen_import_wlaczony,'Tablica IO'!BL310*INDEX(Model!$C$2:$CA$2,Model!$A76),'Tablica IO'!BL310*1)</f>
        <v>1.1193740344788102E-3</v>
      </c>
      <c r="BM76" s="222" cm="1">
        <f t="array" aca="1" ref="BM76" ca="1">'Tablica IO'!BM232*INDEX(Model!$C$93:$CA$93,Model!$A76) + IF(wplyw_cen_import_wlaczony,'Tablica IO'!BM310*INDEX(Model!$C$2:$CA$2,Model!$A76),'Tablica IO'!BM310*1)</f>
        <v>4.9675073039344795E-3</v>
      </c>
      <c r="BN76" s="222" cm="1">
        <f t="array" aca="1" ref="BN76" ca="1">'Tablica IO'!BN232*INDEX(Model!$C$93:$CA$93,Model!$A76) + IF(wplyw_cen_import_wlaczony,'Tablica IO'!BN310*INDEX(Model!$C$2:$CA$2,Model!$A76),'Tablica IO'!BN310*1)</f>
        <v>7.2671685040109457E-2</v>
      </c>
      <c r="BO76" s="222" cm="1">
        <f t="array" aca="1" ref="BO76" ca="1">'Tablica IO'!BO232*INDEX(Model!$C$93:$CA$93,Model!$A76) + IF(wplyw_cen_import_wlaczony,'Tablica IO'!BO310*INDEX(Model!$C$2:$CA$2,Model!$A76),'Tablica IO'!BO310*1)</f>
        <v>1.0329770914900165E-3</v>
      </c>
      <c r="BP76" s="222" cm="1">
        <f t="array" aca="1" ref="BP76" ca="1">'Tablica IO'!BP232*INDEX(Model!$C$93:$CA$93,Model!$A76) + IF(wplyw_cen_import_wlaczony,'Tablica IO'!BP310*INDEX(Model!$C$2:$CA$2,Model!$A76),'Tablica IO'!BP310*1)</f>
        <v>2.2231246986079574E-3</v>
      </c>
      <c r="BQ76" s="222" cm="1">
        <f t="array" aca="1" ref="BQ76" ca="1">'Tablica IO'!BQ232*INDEX(Model!$C$93:$CA$93,Model!$A76) + IF(wplyw_cen_import_wlaczony,'Tablica IO'!BQ310*INDEX(Model!$C$2:$CA$2,Model!$A76),'Tablica IO'!BQ310*1)</f>
        <v>1.2602807285819315E-3</v>
      </c>
      <c r="BR76" s="222" cm="1">
        <f t="array" aca="1" ref="BR76" ca="1">'Tablica IO'!BR232*INDEX(Model!$C$93:$CA$93,Model!$A76) + IF(wplyw_cen_import_wlaczony,'Tablica IO'!BR310*INDEX(Model!$C$2:$CA$2,Model!$A76),'Tablica IO'!BR310*1)</f>
        <v>1.4047622738067266E-3</v>
      </c>
      <c r="BS76" s="222" cm="1">
        <f t="array" aca="1" ref="BS76" ca="1">'Tablica IO'!BS232*INDEX(Model!$C$93:$CA$93,Model!$A76) + IF(wplyw_cen_import_wlaczony,'Tablica IO'!BS310*INDEX(Model!$C$2:$CA$2,Model!$A76),'Tablica IO'!BS310*1)</f>
        <v>6.0992745076983174E-3</v>
      </c>
      <c r="BT76" s="222" cm="1">
        <f t="array" aca="1" ref="BT76" ca="1">'Tablica IO'!BT232*INDEX(Model!$C$93:$CA$93,Model!$A76) + IF(wplyw_cen_import_wlaczony,'Tablica IO'!BT310*INDEX(Model!$C$2:$CA$2,Model!$A76),'Tablica IO'!BT310*1)</f>
        <v>4.0798235819426813E-3</v>
      </c>
      <c r="BU76" s="222" cm="1">
        <f t="array" aca="1" ref="BU76" ca="1">'Tablica IO'!BU232*INDEX(Model!$C$93:$CA$93,Model!$A76) + IF(wplyw_cen_import_wlaczony,'Tablica IO'!BU310*INDEX(Model!$C$2:$CA$2,Model!$A76),'Tablica IO'!BU310*1)</f>
        <v>8.7938603709459533E-3</v>
      </c>
      <c r="BV76" s="222" cm="1">
        <f t="array" aca="1" ref="BV76" ca="1">'Tablica IO'!BV232*INDEX(Model!$C$93:$CA$93,Model!$A76) + IF(wplyw_cen_import_wlaczony,'Tablica IO'!BV310*INDEX(Model!$C$2:$CA$2,Model!$A76),'Tablica IO'!BV310*1)</f>
        <v>8.0658420159629733E-4</v>
      </c>
      <c r="BW76" s="222" cm="1">
        <f t="array" aca="1" ref="BW76" ca="1">'Tablica IO'!BW232*INDEX(Model!$C$93:$CA$93,Model!$A76) + IF(wplyw_cen_import_wlaczony,'Tablica IO'!BW310*INDEX(Model!$C$2:$CA$2,Model!$A76),'Tablica IO'!BW310*1)</f>
        <v>4.2061678507813553E-3</v>
      </c>
      <c r="BX76" s="222" cm="1">
        <f t="array" aca="1" ref="BX76" ca="1">'Tablica IO'!BX232*INDEX(Model!$C$93:$CA$93,Model!$A76) + IF(wplyw_cen_import_wlaczony,'Tablica IO'!BX310*INDEX(Model!$C$2:$CA$2,Model!$A76),'Tablica IO'!BX310*1)</f>
        <v>2.3152023434313631E-5</v>
      </c>
      <c r="BY76" s="222" cm="1">
        <f t="array" aca="1" ref="BY76" ca="1">'Tablica IO'!BY232*INDEX(Model!$C$93:$CA$93,Model!$A76) + IF(wplyw_cen_import_wlaczony,'Tablica IO'!BY310*INDEX(Model!$C$2:$CA$2,Model!$A76),'Tablica IO'!BY310*1)</f>
        <v>9.5391167259425307E-4</v>
      </c>
      <c r="BZ76" s="222" cm="1">
        <f t="array" aca="1" ref="BZ76" ca="1">'Tablica IO'!BZ232*INDEX(Model!$C$93:$CA$93,Model!$A76) + IF(wplyw_cen_import_wlaczony,'Tablica IO'!BZ310*INDEX(Model!$C$2:$CA$2,Model!$A76),'Tablica IO'!BZ310*1)</f>
        <v>1.1786670564283982E-3</v>
      </c>
      <c r="CA76" s="222" cm="1">
        <f t="array" aca="1" ref="CA76" ca="1">'Tablica IO'!CA232*INDEX(Model!$C$93:$CA$93,Model!$A76) + IF(wplyw_cen_import_wlaczony,'Tablica IO'!CA310*INDEX(Model!$C$2:$CA$2,Model!$A76),'Tablica IO'!CA310*1)</f>
        <v>0</v>
      </c>
      <c r="CB76" s="247">
        <f ca="1">'Tablica IO'!CD232*INDEX(Model!$C$93:$CA$93,Model!$A76)+'Tablica IO'!CD310*INDEX(Model!$C$2:$CA$2,Model!$A76)</f>
        <v>7.1874150498666091E-3</v>
      </c>
      <c r="CC76" s="188">
        <f ca="1">'Tablica IO'!CE232*INDEX(Model!$C$93:$CA$93,Model!$A76)+'Tablica IO'!CE310*INDEX(Model!$C$2:$CA$2,Model!$A76)</f>
        <v>5.4698682679762247E-3</v>
      </c>
      <c r="CD76" s="188">
        <f ca="1">'Tablica IO'!CF232*INDEX(Model!$C$93:$CA$93,Model!$A76)+'Tablica IO'!CF310*INDEX(Model!$C$2:$CA$2,Model!$A76)</f>
        <v>1.4005135469303998E-6</v>
      </c>
      <c r="CE76" s="189">
        <f ca="1">'Tablica IO'!CG232*INDEX(Model!$C$93:$CA$93,Model!$A76)+'Tablica IO'!CG310*INDEX(Model!$C$2:$CA$2,Model!$A76)</f>
        <v>8.560287782498104E-4</v>
      </c>
    </row>
    <row r="77" spans="1:83" x14ac:dyDescent="0.25">
      <c r="A77" s="164">
        <v>65</v>
      </c>
      <c r="B77" s="172" t="s">
        <v>64</v>
      </c>
      <c r="C77" s="221" cm="1">
        <f t="array" aca="1" ref="C77" ca="1">'Tablica IO'!C233*INDEX(Model!$C$93:$CA$93,Model!$A77) + IF(wplyw_cen_import_wlaczony,'Tablica IO'!C311*INDEX(Model!$C$2:$CA$2,Model!$A77),'Tablica IO'!C311*1)</f>
        <v>4.4444407339099212E-4</v>
      </c>
      <c r="D77" s="222" cm="1">
        <f t="array" aca="1" ref="D77" ca="1">'Tablica IO'!D233*INDEX(Model!$C$93:$CA$93,Model!$A77) + IF(wplyw_cen_import_wlaczony,'Tablica IO'!D311*INDEX(Model!$C$2:$CA$2,Model!$A77),'Tablica IO'!D311*1)</f>
        <v>2.1150762464113753E-3</v>
      </c>
      <c r="E77" s="222" cm="1">
        <f t="array" aca="1" ref="E77" ca="1">'Tablica IO'!E233*INDEX(Model!$C$93:$CA$93,Model!$A77) + IF(wplyw_cen_import_wlaczony,'Tablica IO'!E311*INDEX(Model!$C$2:$CA$2,Model!$A77),'Tablica IO'!E311*1)</f>
        <v>3.5638694237350138E-4</v>
      </c>
      <c r="F77" s="222" cm="1">
        <f t="array" aca="1" ref="F77" ca="1">'Tablica IO'!F233*INDEX(Model!$C$93:$CA$93,Model!$A77) + IF(wplyw_cen_import_wlaczony,'Tablica IO'!F311*INDEX(Model!$C$2:$CA$2,Model!$A77),'Tablica IO'!F311*1)</f>
        <v>2.5397479464217364E-4</v>
      </c>
      <c r="G77" s="222" cm="1">
        <f t="array" aca="1" ref="G77" ca="1">'Tablica IO'!G233*INDEX(Model!$C$93:$CA$93,Model!$A77) + IF(wplyw_cen_import_wlaczony,'Tablica IO'!G311*INDEX(Model!$C$2:$CA$2,Model!$A77),'Tablica IO'!G311*1)</f>
        <v>1.0912276694130264E-2</v>
      </c>
      <c r="H77" s="222" cm="1">
        <f t="array" aca="1" ref="H77" ca="1">'Tablica IO'!H233*INDEX(Model!$C$93:$CA$93,Model!$A77) + IF(wplyw_cen_import_wlaczony,'Tablica IO'!H311*INDEX(Model!$C$2:$CA$2,Model!$A77),'Tablica IO'!H311*1)</f>
        <v>2.6581031451289069E-3</v>
      </c>
      <c r="I77" s="222" cm="1">
        <f t="array" aca="1" ref="I77" ca="1">'Tablica IO'!I233*INDEX(Model!$C$93:$CA$93,Model!$A77) + IF(wplyw_cen_import_wlaczony,'Tablica IO'!I311*INDEX(Model!$C$2:$CA$2,Model!$A77),'Tablica IO'!I311*1)</f>
        <v>1.7009458060439006E-2</v>
      </c>
      <c r="J77" s="222" cm="1">
        <f t="array" aca="1" ref="J77" ca="1">'Tablica IO'!J233*INDEX(Model!$C$93:$CA$93,Model!$A77) + IF(wplyw_cen_import_wlaczony,'Tablica IO'!J311*INDEX(Model!$C$2:$CA$2,Model!$A77),'Tablica IO'!J311*1)</f>
        <v>3.2752965148044716E-3</v>
      </c>
      <c r="K77" s="222" cm="1">
        <f t="array" aca="1" ref="K77" ca="1">'Tablica IO'!K233*INDEX(Model!$C$93:$CA$93,Model!$A77) + IF(wplyw_cen_import_wlaczony,'Tablica IO'!K311*INDEX(Model!$C$2:$CA$2,Model!$A77),'Tablica IO'!K311*1)</f>
        <v>2.4779437031066079E-3</v>
      </c>
      <c r="L77" s="222" cm="1">
        <f t="array" aca="1" ref="L77" ca="1">'Tablica IO'!L233*INDEX(Model!$C$93:$CA$93,Model!$A77) + IF(wplyw_cen_import_wlaczony,'Tablica IO'!L311*INDEX(Model!$C$2:$CA$2,Model!$A77),'Tablica IO'!L311*1)</f>
        <v>4.2899952700419831E-3</v>
      </c>
      <c r="M77" s="222" cm="1">
        <f t="array" aca="1" ref="M77" ca="1">'Tablica IO'!M233*INDEX(Model!$C$93:$CA$93,Model!$A77) + IF(wplyw_cen_import_wlaczony,'Tablica IO'!M311*INDEX(Model!$C$2:$CA$2,Model!$A77),'Tablica IO'!M311*1)</f>
        <v>3.126838105385847E-3</v>
      </c>
      <c r="N77" s="222" cm="1">
        <f t="array" aca="1" ref="N77" ca="1">'Tablica IO'!N233*INDEX(Model!$C$93:$CA$93,Model!$A77) + IF(wplyw_cen_import_wlaczony,'Tablica IO'!N311*INDEX(Model!$C$2:$CA$2,Model!$A77),'Tablica IO'!N311*1)</f>
        <v>3.3780712024114286E-3</v>
      </c>
      <c r="O77" s="222" cm="1">
        <f t="array" aca="1" ref="O77" ca="1">'Tablica IO'!O233*INDEX(Model!$C$93:$CA$93,Model!$A77) + IF(wplyw_cen_import_wlaczony,'Tablica IO'!O311*INDEX(Model!$C$2:$CA$2,Model!$A77),'Tablica IO'!O311*1)</f>
        <v>2.6223806112063977E-3</v>
      </c>
      <c r="P77" s="222" cm="1">
        <f t="array" aca="1" ref="P77" ca="1">'Tablica IO'!P233*INDEX(Model!$C$93:$CA$93,Model!$A77) + IF(wplyw_cen_import_wlaczony,'Tablica IO'!P311*INDEX(Model!$C$2:$CA$2,Model!$A77),'Tablica IO'!P311*1)</f>
        <v>7.3006745450986893E-3</v>
      </c>
      <c r="Q77" s="222" cm="1">
        <f t="array" aca="1" ref="Q77" ca="1">'Tablica IO'!Q233*INDEX(Model!$C$93:$CA$93,Model!$A77) + IF(wplyw_cen_import_wlaczony,'Tablica IO'!Q311*INDEX(Model!$C$2:$CA$2,Model!$A77),'Tablica IO'!Q311*1)</f>
        <v>4.2673213835877589E-3</v>
      </c>
      <c r="R77" s="222" cm="1">
        <f t="array" aca="1" ref="R77" ca="1">'Tablica IO'!R233*INDEX(Model!$C$93:$CA$93,Model!$A77) + IF(wplyw_cen_import_wlaczony,'Tablica IO'!R311*INDEX(Model!$C$2:$CA$2,Model!$A77),'Tablica IO'!R311*1)</f>
        <v>1.6755980616457334E-3</v>
      </c>
      <c r="S77" s="222" cm="1">
        <f t="array" aca="1" ref="S77" ca="1">'Tablica IO'!S233*INDEX(Model!$C$93:$CA$93,Model!$A77) + IF(wplyw_cen_import_wlaczony,'Tablica IO'!S311*INDEX(Model!$C$2:$CA$2,Model!$A77),'Tablica IO'!S311*1)</f>
        <v>2.8384866453476366E-2</v>
      </c>
      <c r="T77" s="222" cm="1">
        <f t="array" aca="1" ref="T77" ca="1">'Tablica IO'!T233*INDEX(Model!$C$93:$CA$93,Model!$A77) + IF(wplyw_cen_import_wlaczony,'Tablica IO'!T311*INDEX(Model!$C$2:$CA$2,Model!$A77),'Tablica IO'!T311*1)</f>
        <v>1.1032349150013974E-3</v>
      </c>
      <c r="U77" s="222" cm="1">
        <f t="array" aca="1" ref="U77" ca="1">'Tablica IO'!U233*INDEX(Model!$C$93:$CA$93,Model!$A77) + IF(wplyw_cen_import_wlaczony,'Tablica IO'!U311*INDEX(Model!$C$2:$CA$2,Model!$A77),'Tablica IO'!U311*1)</f>
        <v>4.7443575740615455E-4</v>
      </c>
      <c r="V77" s="222" cm="1">
        <f t="array" aca="1" ref="V77" ca="1">'Tablica IO'!V233*INDEX(Model!$C$93:$CA$93,Model!$A77) + IF(wplyw_cen_import_wlaczony,'Tablica IO'!V311*INDEX(Model!$C$2:$CA$2,Model!$A77),'Tablica IO'!V311*1)</f>
        <v>1.9575583517762803E-3</v>
      </c>
      <c r="W77" s="222" cm="1">
        <f t="array" aca="1" ref="W77" ca="1">'Tablica IO'!W233*INDEX(Model!$C$93:$CA$93,Model!$A77) + IF(wplyw_cen_import_wlaczony,'Tablica IO'!W311*INDEX(Model!$C$2:$CA$2,Model!$A77),'Tablica IO'!W311*1)</f>
        <v>2.4838547361377525E-3</v>
      </c>
      <c r="X77" s="222" cm="1">
        <f t="array" aca="1" ref="X77" ca="1">'Tablica IO'!X233*INDEX(Model!$C$93:$CA$93,Model!$A77) + IF(wplyw_cen_import_wlaczony,'Tablica IO'!X311*INDEX(Model!$C$2:$CA$2,Model!$A77),'Tablica IO'!X311*1)</f>
        <v>4.501582195362723E-3</v>
      </c>
      <c r="Y77" s="222" cm="1">
        <f t="array" aca="1" ref="Y77" ca="1">'Tablica IO'!Y233*INDEX(Model!$C$93:$CA$93,Model!$A77) + IF(wplyw_cen_import_wlaczony,'Tablica IO'!Y311*INDEX(Model!$C$2:$CA$2,Model!$A77),'Tablica IO'!Y311*1)</f>
        <v>1.9987178307076239E-3</v>
      </c>
      <c r="Z77" s="222" cm="1">
        <f t="array" aca="1" ref="Z77" ca="1">'Tablica IO'!Z233*INDEX(Model!$C$93:$CA$93,Model!$A77) + IF(wplyw_cen_import_wlaczony,'Tablica IO'!Z311*INDEX(Model!$C$2:$CA$2,Model!$A77),'Tablica IO'!Z311*1)</f>
        <v>2.2560023501392132E-3</v>
      </c>
      <c r="AA77" s="222" cm="1">
        <f t="array" aca="1" ref="AA77" ca="1">'Tablica IO'!AA233*INDEX(Model!$C$93:$CA$93,Model!$A77) + IF(wplyw_cen_import_wlaczony,'Tablica IO'!AA311*INDEX(Model!$C$2:$CA$2,Model!$A77),'Tablica IO'!AA311*1)</f>
        <v>8.357330562031776E-4</v>
      </c>
      <c r="AB77" s="222" cm="1">
        <f t="array" aca="1" ref="AB77" ca="1">'Tablica IO'!AB233*INDEX(Model!$C$93:$CA$93,Model!$A77) + IF(wplyw_cen_import_wlaczony,'Tablica IO'!AB311*INDEX(Model!$C$2:$CA$2,Model!$A77),'Tablica IO'!AB311*1)</f>
        <v>3.653654957925702E-3</v>
      </c>
      <c r="AC77" s="222" cm="1">
        <f t="array" aca="1" ref="AC77" ca="1">'Tablica IO'!AC233*INDEX(Model!$C$93:$CA$93,Model!$A77) + IF(wplyw_cen_import_wlaczony,'Tablica IO'!AC311*INDEX(Model!$C$2:$CA$2,Model!$A77),'Tablica IO'!AC311*1)</f>
        <v>1.7227640079953079E-3</v>
      </c>
      <c r="AD77" s="222" cm="1">
        <f t="array" aca="1" ref="AD77" ca="1">'Tablica IO'!AD233*INDEX(Model!$C$93:$CA$93,Model!$A77) + IF(wplyw_cen_import_wlaczony,'Tablica IO'!AD311*INDEX(Model!$C$2:$CA$2,Model!$A77),'Tablica IO'!AD311*1)</f>
        <v>1.1869623713989435E-3</v>
      </c>
      <c r="AE77" s="222" cm="1">
        <f t="array" aca="1" ref="AE77" ca="1">'Tablica IO'!AE233*INDEX(Model!$C$93:$CA$93,Model!$A77) + IF(wplyw_cen_import_wlaczony,'Tablica IO'!AE311*INDEX(Model!$C$2:$CA$2,Model!$A77),'Tablica IO'!AE311*1)</f>
        <v>1.7690555724746081E-3</v>
      </c>
      <c r="AF77" s="222" cm="1">
        <f t="array" aca="1" ref="AF77" ca="1">'Tablica IO'!AF233*INDEX(Model!$C$93:$CA$93,Model!$A77) + IF(wplyw_cen_import_wlaczony,'Tablica IO'!AF311*INDEX(Model!$C$2:$CA$2,Model!$A77),'Tablica IO'!AF311*1)</f>
        <v>1.7112793209882283E-2</v>
      </c>
      <c r="AG77" s="222" cm="1">
        <f t="array" aca="1" ref="AG77" ca="1">'Tablica IO'!AG233*INDEX(Model!$C$93:$CA$93,Model!$A77) + IF(wplyw_cen_import_wlaczony,'Tablica IO'!AG311*INDEX(Model!$C$2:$CA$2,Model!$A77),'Tablica IO'!AG311*1)</f>
        <v>7.8477357364986481E-4</v>
      </c>
      <c r="AH77" s="222" cm="1">
        <f t="array" aca="1" ref="AH77" ca="1">'Tablica IO'!AH233*INDEX(Model!$C$93:$CA$93,Model!$A77) + IF(wplyw_cen_import_wlaczony,'Tablica IO'!AH311*INDEX(Model!$C$2:$CA$2,Model!$A77),'Tablica IO'!AH311*1)</f>
        <v>7.8596949949272313E-3</v>
      </c>
      <c r="AI77" s="222" cm="1">
        <f t="array" aca="1" ref="AI77" ca="1">'Tablica IO'!AI233*INDEX(Model!$C$93:$CA$93,Model!$A77) + IF(wplyw_cen_import_wlaczony,'Tablica IO'!AI311*INDEX(Model!$C$2:$CA$2,Model!$A77),'Tablica IO'!AI311*1)</f>
        <v>6.7884781315213777E-3</v>
      </c>
      <c r="AJ77" s="222" cm="1">
        <f t="array" aca="1" ref="AJ77" ca="1">'Tablica IO'!AJ233*INDEX(Model!$C$93:$CA$93,Model!$A77) + IF(wplyw_cen_import_wlaczony,'Tablica IO'!AJ311*INDEX(Model!$C$2:$CA$2,Model!$A77),'Tablica IO'!AJ311*1)</f>
        <v>1.1606531292366758E-3</v>
      </c>
      <c r="AK77" s="222" cm="1">
        <f t="array" aca="1" ref="AK77" ca="1">'Tablica IO'!AK233*INDEX(Model!$C$93:$CA$93,Model!$A77) + IF(wplyw_cen_import_wlaczony,'Tablica IO'!AK311*INDEX(Model!$C$2:$CA$2,Model!$A77),'Tablica IO'!AK311*1)</f>
        <v>6.2953843434062073E-3</v>
      </c>
      <c r="AL77" s="222" cm="1">
        <f t="array" aca="1" ref="AL77" ca="1">'Tablica IO'!AL233*INDEX(Model!$C$93:$CA$93,Model!$A77) + IF(wplyw_cen_import_wlaczony,'Tablica IO'!AL311*INDEX(Model!$C$2:$CA$2,Model!$A77),'Tablica IO'!AL311*1)</f>
        <v>8.8304526284076913E-3</v>
      </c>
      <c r="AM77" s="222" cm="1">
        <f t="array" aca="1" ref="AM77" ca="1">'Tablica IO'!AM233*INDEX(Model!$C$93:$CA$93,Model!$A77) + IF(wplyw_cen_import_wlaczony,'Tablica IO'!AM311*INDEX(Model!$C$2:$CA$2,Model!$A77),'Tablica IO'!AM311*1)</f>
        <v>7.506772975859808E-3</v>
      </c>
      <c r="AN77" s="222" cm="1">
        <f t="array" aca="1" ref="AN77" ca="1">'Tablica IO'!AN233*INDEX(Model!$C$93:$CA$93,Model!$A77) + IF(wplyw_cen_import_wlaczony,'Tablica IO'!AN311*INDEX(Model!$C$2:$CA$2,Model!$A77),'Tablica IO'!AN311*1)</f>
        <v>3.3528000000439175E-3</v>
      </c>
      <c r="AO77" s="222" cm="1">
        <f t="array" aca="1" ref="AO77" ca="1">'Tablica IO'!AO233*INDEX(Model!$C$93:$CA$93,Model!$A77) + IF(wplyw_cen_import_wlaczony,'Tablica IO'!AO311*INDEX(Model!$C$2:$CA$2,Model!$A77),'Tablica IO'!AO311*1)</f>
        <v>8.8323131070008865E-4</v>
      </c>
      <c r="AP77" s="222" cm="1">
        <f t="array" aca="1" ref="AP77" ca="1">'Tablica IO'!AP233*INDEX(Model!$C$93:$CA$93,Model!$A77) + IF(wplyw_cen_import_wlaczony,'Tablica IO'!AP311*INDEX(Model!$C$2:$CA$2,Model!$A77),'Tablica IO'!AP311*1)</f>
        <v>2.3747537756058069E-3</v>
      </c>
      <c r="AQ77" s="222" cm="1">
        <f t="array" aca="1" ref="AQ77" ca="1">'Tablica IO'!AQ233*INDEX(Model!$C$93:$CA$93,Model!$A77) + IF(wplyw_cen_import_wlaczony,'Tablica IO'!AQ311*INDEX(Model!$C$2:$CA$2,Model!$A77),'Tablica IO'!AQ311*1)</f>
        <v>2.9939457741299637E-3</v>
      </c>
      <c r="AR77" s="222" cm="1">
        <f t="array" aca="1" ref="AR77" ca="1">'Tablica IO'!AR233*INDEX(Model!$C$93:$CA$93,Model!$A77) + IF(wplyw_cen_import_wlaczony,'Tablica IO'!AR311*INDEX(Model!$C$2:$CA$2,Model!$A77),'Tablica IO'!AR311*1)</f>
        <v>2.0315255061233036E-3</v>
      </c>
      <c r="AS77" s="222" cm="1">
        <f t="array" aca="1" ref="AS77" ca="1">'Tablica IO'!AS233*INDEX(Model!$C$93:$CA$93,Model!$A77) + IF(wplyw_cen_import_wlaczony,'Tablica IO'!AS311*INDEX(Model!$C$2:$CA$2,Model!$A77),'Tablica IO'!AS311*1)</f>
        <v>4.7737409002352555E-3</v>
      </c>
      <c r="AT77" s="222" cm="1">
        <f t="array" aca="1" ref="AT77" ca="1">'Tablica IO'!AT233*INDEX(Model!$C$93:$CA$93,Model!$A77) + IF(wplyw_cen_import_wlaczony,'Tablica IO'!AT311*INDEX(Model!$C$2:$CA$2,Model!$A77),'Tablica IO'!AT311*1)</f>
        <v>2.8276013231356544E-3</v>
      </c>
      <c r="AU77" s="222" cm="1">
        <f t="array" aca="1" ref="AU77" ca="1">'Tablica IO'!AU233*INDEX(Model!$C$93:$CA$93,Model!$A77) + IF(wplyw_cen_import_wlaczony,'Tablica IO'!AU311*INDEX(Model!$C$2:$CA$2,Model!$A77),'Tablica IO'!AU311*1)</f>
        <v>6.1767564721466909E-3</v>
      </c>
      <c r="AV77" s="222" cm="1">
        <f t="array" aca="1" ref="AV77" ca="1">'Tablica IO'!AV233*INDEX(Model!$C$93:$CA$93,Model!$A77) + IF(wplyw_cen_import_wlaczony,'Tablica IO'!AV311*INDEX(Model!$C$2:$CA$2,Model!$A77),'Tablica IO'!AV311*1)</f>
        <v>5.7982214843633396E-2</v>
      </c>
      <c r="AW77" s="222" cm="1">
        <f t="array" aca="1" ref="AW77" ca="1">'Tablica IO'!AW233*INDEX(Model!$C$93:$CA$93,Model!$A77) + IF(wplyw_cen_import_wlaczony,'Tablica IO'!AW311*INDEX(Model!$C$2:$CA$2,Model!$A77),'Tablica IO'!AW311*1)</f>
        <v>1.2108720715184335E-2</v>
      </c>
      <c r="AX77" s="222" cm="1">
        <f t="array" aca="1" ref="AX77" ca="1">'Tablica IO'!AX233*INDEX(Model!$C$93:$CA$93,Model!$A77) + IF(wplyw_cen_import_wlaczony,'Tablica IO'!AX311*INDEX(Model!$C$2:$CA$2,Model!$A77),'Tablica IO'!AX311*1)</f>
        <v>9.4908033700242499E-3</v>
      </c>
      <c r="AY77" s="222" cm="1">
        <f t="array" aca="1" ref="AY77" ca="1">'Tablica IO'!AY233*INDEX(Model!$C$93:$CA$93,Model!$A77) + IF(wplyw_cen_import_wlaczony,'Tablica IO'!AY311*INDEX(Model!$C$2:$CA$2,Model!$A77),'Tablica IO'!AY311*1)</f>
        <v>1.5369079834050333E-3</v>
      </c>
      <c r="AZ77" s="222" cm="1">
        <f t="array" aca="1" ref="AZ77" ca="1">'Tablica IO'!AZ233*INDEX(Model!$C$93:$CA$93,Model!$A77) + IF(wplyw_cen_import_wlaczony,'Tablica IO'!AZ311*INDEX(Model!$C$2:$CA$2,Model!$A77),'Tablica IO'!AZ311*1)</f>
        <v>1.9150595259264432E-3</v>
      </c>
      <c r="BA77" s="222" cm="1">
        <f t="array" aca="1" ref="BA77" ca="1">'Tablica IO'!BA233*INDEX(Model!$C$93:$CA$93,Model!$A77) + IF(wplyw_cen_import_wlaczony,'Tablica IO'!BA311*INDEX(Model!$C$2:$CA$2,Model!$A77),'Tablica IO'!BA311*1)</f>
        <v>1.3665922390932327E-2</v>
      </c>
      <c r="BB77" s="222" cm="1">
        <f t="array" aca="1" ref="BB77" ca="1">'Tablica IO'!BB233*INDEX(Model!$C$93:$CA$93,Model!$A77) + IF(wplyw_cen_import_wlaczony,'Tablica IO'!BB311*INDEX(Model!$C$2:$CA$2,Model!$A77),'Tablica IO'!BB311*1)</f>
        <v>4.40685066792276E-3</v>
      </c>
      <c r="BC77" s="222" cm="1">
        <f t="array" aca="1" ref="BC77" ca="1">'Tablica IO'!BC233*INDEX(Model!$C$93:$CA$93,Model!$A77) + IF(wplyw_cen_import_wlaczony,'Tablica IO'!BC311*INDEX(Model!$C$2:$CA$2,Model!$A77),'Tablica IO'!BC311*1)</f>
        <v>2.5566339942519375E-2</v>
      </c>
      <c r="BD77" s="222" cm="1">
        <f t="array" aca="1" ref="BD77" ca="1">'Tablica IO'!BD233*INDEX(Model!$C$93:$CA$93,Model!$A77) + IF(wplyw_cen_import_wlaczony,'Tablica IO'!BD311*INDEX(Model!$C$2:$CA$2,Model!$A77),'Tablica IO'!BD311*1)</f>
        <v>1.5115856963820404E-2</v>
      </c>
      <c r="BE77" s="222" cm="1">
        <f t="array" aca="1" ref="BE77" ca="1">'Tablica IO'!BE233*INDEX(Model!$C$93:$CA$93,Model!$A77) + IF(wplyw_cen_import_wlaczony,'Tablica IO'!BE311*INDEX(Model!$C$2:$CA$2,Model!$A77),'Tablica IO'!BE311*1)</f>
        <v>6.5815750230115823E-3</v>
      </c>
      <c r="BF77" s="222" cm="1">
        <f t="array" aca="1" ref="BF77" ca="1">'Tablica IO'!BF233*INDEX(Model!$C$93:$CA$93,Model!$A77) + IF(wplyw_cen_import_wlaczony,'Tablica IO'!BF311*INDEX(Model!$C$2:$CA$2,Model!$A77),'Tablica IO'!BF311*1)</f>
        <v>3.8413310387864301E-3</v>
      </c>
      <c r="BG77" s="222" cm="1">
        <f t="array" aca="1" ref="BG77" ca="1">'Tablica IO'!BG233*INDEX(Model!$C$93:$CA$93,Model!$A77) + IF(wplyw_cen_import_wlaczony,'Tablica IO'!BG311*INDEX(Model!$C$2:$CA$2,Model!$A77),'Tablica IO'!BG311*1)</f>
        <v>6.117273709089455E-3</v>
      </c>
      <c r="BH77" s="222" cm="1">
        <f t="array" aca="1" ref="BH77" ca="1">'Tablica IO'!BH233*INDEX(Model!$C$93:$CA$93,Model!$A77) + IF(wplyw_cen_import_wlaczony,'Tablica IO'!BH311*INDEX(Model!$C$2:$CA$2,Model!$A77),'Tablica IO'!BH311*1)</f>
        <v>4.4194423312475181E-3</v>
      </c>
      <c r="BI77" s="222" cm="1">
        <f t="array" aca="1" ref="BI77" ca="1">'Tablica IO'!BI233*INDEX(Model!$C$93:$CA$93,Model!$A77) + IF(wplyw_cen_import_wlaczony,'Tablica IO'!BI311*INDEX(Model!$C$2:$CA$2,Model!$A77),'Tablica IO'!BI311*1)</f>
        <v>6.0909314657637409E-4</v>
      </c>
      <c r="BJ77" s="222" cm="1">
        <f t="array" aca="1" ref="BJ77" ca="1">'Tablica IO'!BJ233*INDEX(Model!$C$93:$CA$93,Model!$A77) + IF(wplyw_cen_import_wlaczony,'Tablica IO'!BJ311*INDEX(Model!$C$2:$CA$2,Model!$A77),'Tablica IO'!BJ311*1)</f>
        <v>6.4444419910467624E-3</v>
      </c>
      <c r="BK77" s="222" cm="1">
        <f t="array" aca="1" ref="BK77" ca="1">'Tablica IO'!BK233*INDEX(Model!$C$93:$CA$93,Model!$A77) + IF(wplyw_cen_import_wlaczony,'Tablica IO'!BK311*INDEX(Model!$C$2:$CA$2,Model!$A77),'Tablica IO'!BK311*1)</f>
        <v>5.9398942329262757E-3</v>
      </c>
      <c r="BL77" s="222" cm="1">
        <f t="array" aca="1" ref="BL77" ca="1">'Tablica IO'!BL233*INDEX(Model!$C$93:$CA$93,Model!$A77) + IF(wplyw_cen_import_wlaczony,'Tablica IO'!BL311*INDEX(Model!$C$2:$CA$2,Model!$A77),'Tablica IO'!BL311*1)</f>
        <v>2.1912175039106767E-3</v>
      </c>
      <c r="BM77" s="222" cm="1">
        <f t="array" aca="1" ref="BM77" ca="1">'Tablica IO'!BM233*INDEX(Model!$C$93:$CA$93,Model!$A77) + IF(wplyw_cen_import_wlaczony,'Tablica IO'!BM311*INDEX(Model!$C$2:$CA$2,Model!$A77),'Tablica IO'!BM311*1)</f>
        <v>1.2661073088790421E-2</v>
      </c>
      <c r="BN77" s="222" cm="1">
        <f t="array" aca="1" ref="BN77" ca="1">'Tablica IO'!BN233*INDEX(Model!$C$93:$CA$93,Model!$A77) + IF(wplyw_cen_import_wlaczony,'Tablica IO'!BN311*INDEX(Model!$C$2:$CA$2,Model!$A77),'Tablica IO'!BN311*1)</f>
        <v>3.0473004348636958E-2</v>
      </c>
      <c r="BO77" s="222" cm="1">
        <f t="array" aca="1" ref="BO77" ca="1">'Tablica IO'!BO233*INDEX(Model!$C$93:$CA$93,Model!$A77) + IF(wplyw_cen_import_wlaczony,'Tablica IO'!BO311*INDEX(Model!$C$2:$CA$2,Model!$A77),'Tablica IO'!BO311*1)</f>
        <v>4.5256627771451272E-2</v>
      </c>
      <c r="BP77" s="222" cm="1">
        <f t="array" aca="1" ref="BP77" ca="1">'Tablica IO'!BP233*INDEX(Model!$C$93:$CA$93,Model!$A77) + IF(wplyw_cen_import_wlaczony,'Tablica IO'!BP311*INDEX(Model!$C$2:$CA$2,Model!$A77),'Tablica IO'!BP311*1)</f>
        <v>3.655262698468762E-4</v>
      </c>
      <c r="BQ77" s="222" cm="1">
        <f t="array" aca="1" ref="BQ77" ca="1">'Tablica IO'!BQ233*INDEX(Model!$C$93:$CA$93,Model!$A77) + IF(wplyw_cen_import_wlaczony,'Tablica IO'!BQ311*INDEX(Model!$C$2:$CA$2,Model!$A77),'Tablica IO'!BQ311*1)</f>
        <v>4.1378035620160099E-3</v>
      </c>
      <c r="BR77" s="222" cm="1">
        <f t="array" aca="1" ref="BR77" ca="1">'Tablica IO'!BR233*INDEX(Model!$C$93:$CA$93,Model!$A77) + IF(wplyw_cen_import_wlaczony,'Tablica IO'!BR311*INDEX(Model!$C$2:$CA$2,Model!$A77),'Tablica IO'!BR311*1)</f>
        <v>3.5980907276082436E-3</v>
      </c>
      <c r="BS77" s="222" cm="1">
        <f t="array" aca="1" ref="BS77" ca="1">'Tablica IO'!BS233*INDEX(Model!$C$93:$CA$93,Model!$A77) + IF(wplyw_cen_import_wlaczony,'Tablica IO'!BS311*INDEX(Model!$C$2:$CA$2,Model!$A77),'Tablica IO'!BS311*1)</f>
        <v>4.7089755748254988E-4</v>
      </c>
      <c r="BT77" s="222" cm="1">
        <f t="array" aca="1" ref="BT77" ca="1">'Tablica IO'!BT233*INDEX(Model!$C$93:$CA$93,Model!$A77) + IF(wplyw_cen_import_wlaczony,'Tablica IO'!BT311*INDEX(Model!$C$2:$CA$2,Model!$A77),'Tablica IO'!BT311*1)</f>
        <v>1.3507181749530759E-2</v>
      </c>
      <c r="BU77" s="222" cm="1">
        <f t="array" aca="1" ref="BU77" ca="1">'Tablica IO'!BU233*INDEX(Model!$C$93:$CA$93,Model!$A77) + IF(wplyw_cen_import_wlaczony,'Tablica IO'!BU311*INDEX(Model!$C$2:$CA$2,Model!$A77),'Tablica IO'!BU311*1)</f>
        <v>1.0376092918535671E-2</v>
      </c>
      <c r="BV77" s="222" cm="1">
        <f t="array" aca="1" ref="BV77" ca="1">'Tablica IO'!BV233*INDEX(Model!$C$93:$CA$93,Model!$A77) + IF(wplyw_cen_import_wlaczony,'Tablica IO'!BV311*INDEX(Model!$C$2:$CA$2,Model!$A77),'Tablica IO'!BV311*1)</f>
        <v>2.8078308334481303E-3</v>
      </c>
      <c r="BW77" s="222" cm="1">
        <f t="array" aca="1" ref="BW77" ca="1">'Tablica IO'!BW233*INDEX(Model!$C$93:$CA$93,Model!$A77) + IF(wplyw_cen_import_wlaczony,'Tablica IO'!BW311*INDEX(Model!$C$2:$CA$2,Model!$A77),'Tablica IO'!BW311*1)</f>
        <v>6.4175113246417697E-4</v>
      </c>
      <c r="BX77" s="222" cm="1">
        <f t="array" aca="1" ref="BX77" ca="1">'Tablica IO'!BX233*INDEX(Model!$C$93:$CA$93,Model!$A77) + IF(wplyw_cen_import_wlaczony,'Tablica IO'!BX311*INDEX(Model!$C$2:$CA$2,Model!$A77),'Tablica IO'!BX311*1)</f>
        <v>7.9587652544017482E-4</v>
      </c>
      <c r="BY77" s="222" cm="1">
        <f t="array" aca="1" ref="BY77" ca="1">'Tablica IO'!BY233*INDEX(Model!$C$93:$CA$93,Model!$A77) + IF(wplyw_cen_import_wlaczony,'Tablica IO'!BY311*INDEX(Model!$C$2:$CA$2,Model!$A77),'Tablica IO'!BY311*1)</f>
        <v>5.5523052383081681E-4</v>
      </c>
      <c r="BZ77" s="222" cm="1">
        <f t="array" aca="1" ref="BZ77" ca="1">'Tablica IO'!BZ233*INDEX(Model!$C$93:$CA$93,Model!$A77) + IF(wplyw_cen_import_wlaczony,'Tablica IO'!BZ311*INDEX(Model!$C$2:$CA$2,Model!$A77),'Tablica IO'!BZ311*1)</f>
        <v>1.6160154971087419E-3</v>
      </c>
      <c r="CA77" s="222" cm="1">
        <f t="array" aca="1" ref="CA77" ca="1">'Tablica IO'!CA233*INDEX(Model!$C$93:$CA$93,Model!$A77) + IF(wplyw_cen_import_wlaczony,'Tablica IO'!CA311*INDEX(Model!$C$2:$CA$2,Model!$A77),'Tablica IO'!CA311*1)</f>
        <v>0</v>
      </c>
      <c r="CB77" s="247">
        <f ca="1">'Tablica IO'!CD233*INDEX(Model!$C$93:$CA$93,Model!$A77)+'Tablica IO'!CD311*INDEX(Model!$C$2:$CA$2,Model!$A77)</f>
        <v>1.4937206669856605E-3</v>
      </c>
      <c r="CC77" s="188">
        <f ca="1">'Tablica IO'!CE233*INDEX(Model!$C$93:$CA$93,Model!$A77)+'Tablica IO'!CE311*INDEX(Model!$C$2:$CA$2,Model!$A77)</f>
        <v>2.0530001294233368E-5</v>
      </c>
      <c r="CD77" s="188">
        <f ca="1">'Tablica IO'!CF233*INDEX(Model!$C$93:$CA$93,Model!$A77)+'Tablica IO'!CF311*INDEX(Model!$C$2:$CA$2,Model!$A77)</f>
        <v>1.0325776068472729E-5</v>
      </c>
      <c r="CE77" s="189">
        <f ca="1">'Tablica IO'!CG233*INDEX(Model!$C$93:$CA$93,Model!$A77)+'Tablica IO'!CG311*INDEX(Model!$C$2:$CA$2,Model!$A77)</f>
        <v>1.2534735375446036E-3</v>
      </c>
    </row>
    <row r="78" spans="1:83" x14ac:dyDescent="0.25">
      <c r="A78" s="164">
        <v>66</v>
      </c>
      <c r="B78" s="172" t="s">
        <v>65</v>
      </c>
      <c r="C78" s="221" cm="1">
        <f t="array" aca="1" ref="C78" ca="1">'Tablica IO'!C234*INDEX(Model!$C$93:$CA$93,Model!$A78) + IF(wplyw_cen_import_wlaczony,'Tablica IO'!C312*INDEX(Model!$C$2:$CA$2,Model!$A78),'Tablica IO'!C312*1)</f>
        <v>9.0554505171351976E-4</v>
      </c>
      <c r="D78" s="222" cm="1">
        <f t="array" aca="1" ref="D78" ca="1">'Tablica IO'!D234*INDEX(Model!$C$93:$CA$93,Model!$A78) + IF(wplyw_cen_import_wlaczony,'Tablica IO'!D312*INDEX(Model!$C$2:$CA$2,Model!$A78),'Tablica IO'!D312*1)</f>
        <v>1.276282385973585E-3</v>
      </c>
      <c r="E78" s="222" cm="1">
        <f t="array" aca="1" ref="E78" ca="1">'Tablica IO'!E234*INDEX(Model!$C$93:$CA$93,Model!$A78) + IF(wplyw_cen_import_wlaczony,'Tablica IO'!E312*INDEX(Model!$C$2:$CA$2,Model!$A78),'Tablica IO'!E312*1)</f>
        <v>1.554102858248573E-4</v>
      </c>
      <c r="F78" s="222" cm="1">
        <f t="array" aca="1" ref="F78" ca="1">'Tablica IO'!F234*INDEX(Model!$C$93:$CA$93,Model!$A78) + IF(wplyw_cen_import_wlaczony,'Tablica IO'!F312*INDEX(Model!$C$2:$CA$2,Model!$A78),'Tablica IO'!F312*1)</f>
        <v>2.7931654276222287E-3</v>
      </c>
      <c r="G78" s="222" cm="1">
        <f t="array" aca="1" ref="G78" ca="1">'Tablica IO'!G234*INDEX(Model!$C$93:$CA$93,Model!$A78) + IF(wplyw_cen_import_wlaczony,'Tablica IO'!G312*INDEX(Model!$C$2:$CA$2,Model!$A78),'Tablica IO'!G312*1)</f>
        <v>3.2032346277903342E-3</v>
      </c>
      <c r="H78" s="222" cm="1">
        <f t="array" aca="1" ref="H78" ca="1">'Tablica IO'!H234*INDEX(Model!$C$93:$CA$93,Model!$A78) + IF(wplyw_cen_import_wlaczony,'Tablica IO'!H312*INDEX(Model!$C$2:$CA$2,Model!$A78),'Tablica IO'!H312*1)</f>
        <v>1.1320663719500668E-3</v>
      </c>
      <c r="I78" s="222" cm="1">
        <f t="array" aca="1" ref="I78" ca="1">'Tablica IO'!I234*INDEX(Model!$C$93:$CA$93,Model!$A78) + IF(wplyw_cen_import_wlaczony,'Tablica IO'!I312*INDEX(Model!$C$2:$CA$2,Model!$A78),'Tablica IO'!I312*1)</f>
        <v>2.0547841619615423E-3</v>
      </c>
      <c r="J78" s="222" cm="1">
        <f t="array" aca="1" ref="J78" ca="1">'Tablica IO'!J234*INDEX(Model!$C$93:$CA$93,Model!$A78) + IF(wplyw_cen_import_wlaczony,'Tablica IO'!J312*INDEX(Model!$C$2:$CA$2,Model!$A78),'Tablica IO'!J312*1)</f>
        <v>1.5173568580483508E-3</v>
      </c>
      <c r="K78" s="222" cm="1">
        <f t="array" aca="1" ref="K78" ca="1">'Tablica IO'!K234*INDEX(Model!$C$93:$CA$93,Model!$A78) + IF(wplyw_cen_import_wlaczony,'Tablica IO'!K312*INDEX(Model!$C$2:$CA$2,Model!$A78),'Tablica IO'!K312*1)</f>
        <v>4.1344829458550714E-3</v>
      </c>
      <c r="L78" s="222" cm="1">
        <f t="array" aca="1" ref="L78" ca="1">'Tablica IO'!L234*INDEX(Model!$C$93:$CA$93,Model!$A78) + IF(wplyw_cen_import_wlaczony,'Tablica IO'!L312*INDEX(Model!$C$2:$CA$2,Model!$A78),'Tablica IO'!L312*1)</f>
        <v>2.3253102479906486E-3</v>
      </c>
      <c r="M78" s="222" cm="1">
        <f t="array" aca="1" ref="M78" ca="1">'Tablica IO'!M234*INDEX(Model!$C$93:$CA$93,Model!$A78) + IF(wplyw_cen_import_wlaczony,'Tablica IO'!M312*INDEX(Model!$C$2:$CA$2,Model!$A78),'Tablica IO'!M312*1)</f>
        <v>3.5166777978011881E-3</v>
      </c>
      <c r="N78" s="222" cm="1">
        <f t="array" aca="1" ref="N78" ca="1">'Tablica IO'!N234*INDEX(Model!$C$93:$CA$93,Model!$A78) + IF(wplyw_cen_import_wlaczony,'Tablica IO'!N312*INDEX(Model!$C$2:$CA$2,Model!$A78),'Tablica IO'!N312*1)</f>
        <v>1.6450276150380382E-3</v>
      </c>
      <c r="O78" s="222" cm="1">
        <f t="array" aca="1" ref="O78" ca="1">'Tablica IO'!O234*INDEX(Model!$C$93:$CA$93,Model!$A78) + IF(wplyw_cen_import_wlaczony,'Tablica IO'!O312*INDEX(Model!$C$2:$CA$2,Model!$A78),'Tablica IO'!O312*1)</f>
        <v>1.5395694959712825E-3</v>
      </c>
      <c r="P78" s="222" cm="1">
        <f t="array" aca="1" ref="P78" ca="1">'Tablica IO'!P234*INDEX(Model!$C$93:$CA$93,Model!$A78) + IF(wplyw_cen_import_wlaczony,'Tablica IO'!P312*INDEX(Model!$C$2:$CA$2,Model!$A78),'Tablica IO'!P312*1)</f>
        <v>3.5900375618519494E-3</v>
      </c>
      <c r="Q78" s="222" cm="1">
        <f t="array" aca="1" ref="Q78" ca="1">'Tablica IO'!Q234*INDEX(Model!$C$93:$CA$93,Model!$A78) + IF(wplyw_cen_import_wlaczony,'Tablica IO'!Q312*INDEX(Model!$C$2:$CA$2,Model!$A78),'Tablica IO'!Q312*1)</f>
        <v>4.8029012272092031E-4</v>
      </c>
      <c r="R78" s="222" cm="1">
        <f t="array" aca="1" ref="R78" ca="1">'Tablica IO'!R234*INDEX(Model!$C$93:$CA$93,Model!$A78) + IF(wplyw_cen_import_wlaczony,'Tablica IO'!R312*INDEX(Model!$C$2:$CA$2,Model!$A78),'Tablica IO'!R312*1)</f>
        <v>1.0775016281991186E-3</v>
      </c>
      <c r="S78" s="222" cm="1">
        <f t="array" aca="1" ref="S78" ca="1">'Tablica IO'!S234*INDEX(Model!$C$93:$CA$93,Model!$A78) + IF(wplyw_cen_import_wlaczony,'Tablica IO'!S312*INDEX(Model!$C$2:$CA$2,Model!$A78),'Tablica IO'!S312*1)</f>
        <v>1.492780450572048E-3</v>
      </c>
      <c r="T78" s="222" cm="1">
        <f t="array" aca="1" ref="T78" ca="1">'Tablica IO'!T234*INDEX(Model!$C$93:$CA$93,Model!$A78) + IF(wplyw_cen_import_wlaczony,'Tablica IO'!T312*INDEX(Model!$C$2:$CA$2,Model!$A78),'Tablica IO'!T312*1)</f>
        <v>1.3538642913517695E-3</v>
      </c>
      <c r="U78" s="222" cm="1">
        <f t="array" aca="1" ref="U78" ca="1">'Tablica IO'!U234*INDEX(Model!$C$93:$CA$93,Model!$A78) + IF(wplyw_cen_import_wlaczony,'Tablica IO'!U312*INDEX(Model!$C$2:$CA$2,Model!$A78),'Tablica IO'!U312*1)</f>
        <v>1.7616255223415224E-3</v>
      </c>
      <c r="V78" s="222" cm="1">
        <f t="array" aca="1" ref="V78" ca="1">'Tablica IO'!V234*INDEX(Model!$C$93:$CA$93,Model!$A78) + IF(wplyw_cen_import_wlaczony,'Tablica IO'!V312*INDEX(Model!$C$2:$CA$2,Model!$A78),'Tablica IO'!V312*1)</f>
        <v>1.4883984820814856E-3</v>
      </c>
      <c r="W78" s="222" cm="1">
        <f t="array" aca="1" ref="W78" ca="1">'Tablica IO'!W234*INDEX(Model!$C$93:$CA$93,Model!$A78) + IF(wplyw_cen_import_wlaczony,'Tablica IO'!W312*INDEX(Model!$C$2:$CA$2,Model!$A78),'Tablica IO'!W312*1)</f>
        <v>8.5084816334542038E-4</v>
      </c>
      <c r="X78" s="222" cm="1">
        <f t="array" aca="1" ref="X78" ca="1">'Tablica IO'!X234*INDEX(Model!$C$93:$CA$93,Model!$A78) + IF(wplyw_cen_import_wlaczony,'Tablica IO'!X312*INDEX(Model!$C$2:$CA$2,Model!$A78),'Tablica IO'!X312*1)</f>
        <v>2.4042040340180059E-3</v>
      </c>
      <c r="Y78" s="222" cm="1">
        <f t="array" aca="1" ref="Y78" ca="1">'Tablica IO'!Y234*INDEX(Model!$C$93:$CA$93,Model!$A78) + IF(wplyw_cen_import_wlaczony,'Tablica IO'!Y312*INDEX(Model!$C$2:$CA$2,Model!$A78),'Tablica IO'!Y312*1)</f>
        <v>1.8971285321648401E-3</v>
      </c>
      <c r="Z78" s="222" cm="1">
        <f t="array" aca="1" ref="Z78" ca="1">'Tablica IO'!Z234*INDEX(Model!$C$93:$CA$93,Model!$A78) + IF(wplyw_cen_import_wlaczony,'Tablica IO'!Z312*INDEX(Model!$C$2:$CA$2,Model!$A78),'Tablica IO'!Z312*1)</f>
        <v>1.7554037006126063E-3</v>
      </c>
      <c r="AA78" s="222" cm="1">
        <f t="array" aca="1" ref="AA78" ca="1">'Tablica IO'!AA234*INDEX(Model!$C$93:$CA$93,Model!$A78) + IF(wplyw_cen_import_wlaczony,'Tablica IO'!AA312*INDEX(Model!$C$2:$CA$2,Model!$A78),'Tablica IO'!AA312*1)</f>
        <v>7.7165561428197305E-4</v>
      </c>
      <c r="AB78" s="222" cm="1">
        <f t="array" aca="1" ref="AB78" ca="1">'Tablica IO'!AB234*INDEX(Model!$C$93:$CA$93,Model!$A78) + IF(wplyw_cen_import_wlaczony,'Tablica IO'!AB312*INDEX(Model!$C$2:$CA$2,Model!$A78),'Tablica IO'!AB312*1)</f>
        <v>2.5001422233839354E-3</v>
      </c>
      <c r="AC78" s="222" cm="1">
        <f t="array" aca="1" ref="AC78" ca="1">'Tablica IO'!AC234*INDEX(Model!$C$93:$CA$93,Model!$A78) + IF(wplyw_cen_import_wlaczony,'Tablica IO'!AC312*INDEX(Model!$C$2:$CA$2,Model!$A78),'Tablica IO'!AC312*1)</f>
        <v>1.8333077916242945E-3</v>
      </c>
      <c r="AD78" s="222" cm="1">
        <f t="array" aca="1" ref="AD78" ca="1">'Tablica IO'!AD234*INDEX(Model!$C$93:$CA$93,Model!$A78) + IF(wplyw_cen_import_wlaczony,'Tablica IO'!AD312*INDEX(Model!$C$2:$CA$2,Model!$A78),'Tablica IO'!AD312*1)</f>
        <v>1.8651923806001594E-3</v>
      </c>
      <c r="AE78" s="222" cm="1">
        <f t="array" aca="1" ref="AE78" ca="1">'Tablica IO'!AE234*INDEX(Model!$C$93:$CA$93,Model!$A78) + IF(wplyw_cen_import_wlaczony,'Tablica IO'!AE312*INDEX(Model!$C$2:$CA$2,Model!$A78),'Tablica IO'!AE312*1)</f>
        <v>1.5864022092708582E-3</v>
      </c>
      <c r="AF78" s="222" cm="1">
        <f t="array" aca="1" ref="AF78" ca="1">'Tablica IO'!AF234*INDEX(Model!$C$93:$CA$93,Model!$A78) + IF(wplyw_cen_import_wlaczony,'Tablica IO'!AF312*INDEX(Model!$C$2:$CA$2,Model!$A78),'Tablica IO'!AF312*1)</f>
        <v>2.0521163146669922E-3</v>
      </c>
      <c r="AG78" s="222" cm="1">
        <f t="array" aca="1" ref="AG78" ca="1">'Tablica IO'!AG234*INDEX(Model!$C$93:$CA$93,Model!$A78) + IF(wplyw_cen_import_wlaczony,'Tablica IO'!AG312*INDEX(Model!$C$2:$CA$2,Model!$A78),'Tablica IO'!AG312*1)</f>
        <v>3.2479948740612779E-3</v>
      </c>
      <c r="AH78" s="222" cm="1">
        <f t="array" aca="1" ref="AH78" ca="1">'Tablica IO'!AH234*INDEX(Model!$C$93:$CA$93,Model!$A78) + IF(wplyw_cen_import_wlaczony,'Tablica IO'!AH312*INDEX(Model!$C$2:$CA$2,Model!$A78),'Tablica IO'!AH312*1)</f>
        <v>4.0100310809314012E-3</v>
      </c>
      <c r="AI78" s="222" cm="1">
        <f t="array" aca="1" ref="AI78" ca="1">'Tablica IO'!AI234*INDEX(Model!$C$93:$CA$93,Model!$A78) + IF(wplyw_cen_import_wlaczony,'Tablica IO'!AI312*INDEX(Model!$C$2:$CA$2,Model!$A78),'Tablica IO'!AI312*1)</f>
        <v>3.2655707030682332E-3</v>
      </c>
      <c r="AJ78" s="222" cm="1">
        <f t="array" aca="1" ref="AJ78" ca="1">'Tablica IO'!AJ234*INDEX(Model!$C$93:$CA$93,Model!$A78) + IF(wplyw_cen_import_wlaczony,'Tablica IO'!AJ312*INDEX(Model!$C$2:$CA$2,Model!$A78),'Tablica IO'!AJ312*1)</f>
        <v>3.393863497898824E-4</v>
      </c>
      <c r="AK78" s="222" cm="1">
        <f t="array" aca="1" ref="AK78" ca="1">'Tablica IO'!AK234*INDEX(Model!$C$93:$CA$93,Model!$A78) + IF(wplyw_cen_import_wlaczony,'Tablica IO'!AK312*INDEX(Model!$C$2:$CA$2,Model!$A78),'Tablica IO'!AK312*1)</f>
        <v>6.4241187727392159E-3</v>
      </c>
      <c r="AL78" s="222" cm="1">
        <f t="array" aca="1" ref="AL78" ca="1">'Tablica IO'!AL234*INDEX(Model!$C$93:$CA$93,Model!$A78) + IF(wplyw_cen_import_wlaczony,'Tablica IO'!AL312*INDEX(Model!$C$2:$CA$2,Model!$A78),'Tablica IO'!AL312*1)</f>
        <v>2.5400348672802633E-3</v>
      </c>
      <c r="AM78" s="222" cm="1">
        <f t="array" aca="1" ref="AM78" ca="1">'Tablica IO'!AM234*INDEX(Model!$C$93:$CA$93,Model!$A78) + IF(wplyw_cen_import_wlaczony,'Tablica IO'!AM312*INDEX(Model!$C$2:$CA$2,Model!$A78),'Tablica IO'!AM312*1)</f>
        <v>1.819398445242525E-3</v>
      </c>
      <c r="AN78" s="222" cm="1">
        <f t="array" aca="1" ref="AN78" ca="1">'Tablica IO'!AN234*INDEX(Model!$C$93:$CA$93,Model!$A78) + IF(wplyw_cen_import_wlaczony,'Tablica IO'!AN312*INDEX(Model!$C$2:$CA$2,Model!$A78),'Tablica IO'!AN312*1)</f>
        <v>2.0628618603563595E-3</v>
      </c>
      <c r="AO78" s="222" cm="1">
        <f t="array" aca="1" ref="AO78" ca="1">'Tablica IO'!AO234*INDEX(Model!$C$93:$CA$93,Model!$A78) + IF(wplyw_cen_import_wlaczony,'Tablica IO'!AO312*INDEX(Model!$C$2:$CA$2,Model!$A78),'Tablica IO'!AO312*1)</f>
        <v>2.6567407822250893E-3</v>
      </c>
      <c r="AP78" s="222" cm="1">
        <f t="array" aca="1" ref="AP78" ca="1">'Tablica IO'!AP234*INDEX(Model!$C$93:$CA$93,Model!$A78) + IF(wplyw_cen_import_wlaczony,'Tablica IO'!AP312*INDEX(Model!$C$2:$CA$2,Model!$A78),'Tablica IO'!AP312*1)</f>
        <v>1.2605930651226191E-3</v>
      </c>
      <c r="AQ78" s="222" cm="1">
        <f t="array" aca="1" ref="AQ78" ca="1">'Tablica IO'!AQ234*INDEX(Model!$C$93:$CA$93,Model!$A78) + IF(wplyw_cen_import_wlaczony,'Tablica IO'!AQ312*INDEX(Model!$C$2:$CA$2,Model!$A78),'Tablica IO'!AQ312*1)</f>
        <v>3.5624025373644616E-3</v>
      </c>
      <c r="AR78" s="222" cm="1">
        <f t="array" aca="1" ref="AR78" ca="1">'Tablica IO'!AR234*INDEX(Model!$C$93:$CA$93,Model!$A78) + IF(wplyw_cen_import_wlaczony,'Tablica IO'!AR312*INDEX(Model!$C$2:$CA$2,Model!$A78),'Tablica IO'!AR312*1)</f>
        <v>3.9079100983341894E-3</v>
      </c>
      <c r="AS78" s="222" cm="1">
        <f t="array" aca="1" ref="AS78" ca="1">'Tablica IO'!AS234*INDEX(Model!$C$93:$CA$93,Model!$A78) + IF(wplyw_cen_import_wlaczony,'Tablica IO'!AS312*INDEX(Model!$C$2:$CA$2,Model!$A78),'Tablica IO'!AS312*1)</f>
        <v>4.0042324695023458E-3</v>
      </c>
      <c r="AT78" s="222" cm="1">
        <f t="array" aca="1" ref="AT78" ca="1">'Tablica IO'!AT234*INDEX(Model!$C$93:$CA$93,Model!$A78) + IF(wplyw_cen_import_wlaczony,'Tablica IO'!AT312*INDEX(Model!$C$2:$CA$2,Model!$A78),'Tablica IO'!AT312*1)</f>
        <v>5.0315677295599695E-3</v>
      </c>
      <c r="AU78" s="222" cm="1">
        <f t="array" aca="1" ref="AU78" ca="1">'Tablica IO'!AU234*INDEX(Model!$C$93:$CA$93,Model!$A78) + IF(wplyw_cen_import_wlaczony,'Tablica IO'!AU312*INDEX(Model!$C$2:$CA$2,Model!$A78),'Tablica IO'!AU312*1)</f>
        <v>2.9589259058473371E-3</v>
      </c>
      <c r="AV78" s="222" cm="1">
        <f t="array" aca="1" ref="AV78" ca="1">'Tablica IO'!AV234*INDEX(Model!$C$93:$CA$93,Model!$A78) + IF(wplyw_cen_import_wlaczony,'Tablica IO'!AV312*INDEX(Model!$C$2:$CA$2,Model!$A78),'Tablica IO'!AV312*1)</f>
        <v>1.8360223864225457E-3</v>
      </c>
      <c r="AW78" s="222" cm="1">
        <f t="array" aca="1" ref="AW78" ca="1">'Tablica IO'!AW234*INDEX(Model!$C$93:$CA$93,Model!$A78) + IF(wplyw_cen_import_wlaczony,'Tablica IO'!AW312*INDEX(Model!$C$2:$CA$2,Model!$A78),'Tablica IO'!AW312*1)</f>
        <v>3.3396875959306803E-3</v>
      </c>
      <c r="AX78" s="222" cm="1">
        <f t="array" aca="1" ref="AX78" ca="1">'Tablica IO'!AX234*INDEX(Model!$C$93:$CA$93,Model!$A78) + IF(wplyw_cen_import_wlaczony,'Tablica IO'!AX312*INDEX(Model!$C$2:$CA$2,Model!$A78),'Tablica IO'!AX312*1)</f>
        <v>2.7519271924202593E-3</v>
      </c>
      <c r="AY78" s="222" cm="1">
        <f t="array" aca="1" ref="AY78" ca="1">'Tablica IO'!AY234*INDEX(Model!$C$93:$CA$93,Model!$A78) + IF(wplyw_cen_import_wlaczony,'Tablica IO'!AY312*INDEX(Model!$C$2:$CA$2,Model!$A78),'Tablica IO'!AY312*1)</f>
        <v>1.8945502360552995E-3</v>
      </c>
      <c r="AZ78" s="222" cm="1">
        <f t="array" aca="1" ref="AZ78" ca="1">'Tablica IO'!AZ234*INDEX(Model!$C$93:$CA$93,Model!$A78) + IF(wplyw_cen_import_wlaczony,'Tablica IO'!AZ312*INDEX(Model!$C$2:$CA$2,Model!$A78),'Tablica IO'!AZ312*1)</f>
        <v>2.5810275842495082E-3</v>
      </c>
      <c r="BA78" s="222" cm="1">
        <f t="array" aca="1" ref="BA78" ca="1">'Tablica IO'!BA234*INDEX(Model!$C$93:$CA$93,Model!$A78) + IF(wplyw_cen_import_wlaczony,'Tablica IO'!BA312*INDEX(Model!$C$2:$CA$2,Model!$A78),'Tablica IO'!BA312*1)</f>
        <v>1.3726066571871918E-3</v>
      </c>
      <c r="BB78" s="222" cm="1">
        <f t="array" aca="1" ref="BB78" ca="1">'Tablica IO'!BB234*INDEX(Model!$C$93:$CA$93,Model!$A78) + IF(wplyw_cen_import_wlaczony,'Tablica IO'!BB312*INDEX(Model!$C$2:$CA$2,Model!$A78),'Tablica IO'!BB312*1)</f>
        <v>8.7110146189704361E-4</v>
      </c>
      <c r="BC78" s="222" cm="1">
        <f t="array" aca="1" ref="BC78" ca="1">'Tablica IO'!BC234*INDEX(Model!$C$93:$CA$93,Model!$A78) + IF(wplyw_cen_import_wlaczony,'Tablica IO'!BC312*INDEX(Model!$C$2:$CA$2,Model!$A78),'Tablica IO'!BC312*1)</f>
        <v>2.5192970194463141E-3</v>
      </c>
      <c r="BD78" s="222" cm="1">
        <f t="array" aca="1" ref="BD78" ca="1">'Tablica IO'!BD234*INDEX(Model!$C$93:$CA$93,Model!$A78) + IF(wplyw_cen_import_wlaczony,'Tablica IO'!BD312*INDEX(Model!$C$2:$CA$2,Model!$A78),'Tablica IO'!BD312*1)</f>
        <v>3.0850394047152872E-3</v>
      </c>
      <c r="BE78" s="222" cm="1">
        <f t="array" aca="1" ref="BE78" ca="1">'Tablica IO'!BE234*INDEX(Model!$C$93:$CA$93,Model!$A78) + IF(wplyw_cen_import_wlaczony,'Tablica IO'!BE312*INDEX(Model!$C$2:$CA$2,Model!$A78),'Tablica IO'!BE312*1)</f>
        <v>3.4701815011138025E-3</v>
      </c>
      <c r="BF78" s="222" cm="1">
        <f t="array" aca="1" ref="BF78" ca="1">'Tablica IO'!BF234*INDEX(Model!$C$93:$CA$93,Model!$A78) + IF(wplyw_cen_import_wlaczony,'Tablica IO'!BF312*INDEX(Model!$C$2:$CA$2,Model!$A78),'Tablica IO'!BF312*1)</f>
        <v>6.1842970302880022E-3</v>
      </c>
      <c r="BG78" s="222" cm="1">
        <f t="array" aca="1" ref="BG78" ca="1">'Tablica IO'!BG234*INDEX(Model!$C$93:$CA$93,Model!$A78) + IF(wplyw_cen_import_wlaczony,'Tablica IO'!BG312*INDEX(Model!$C$2:$CA$2,Model!$A78),'Tablica IO'!BG312*1)</f>
        <v>5.4712070902246911E-3</v>
      </c>
      <c r="BH78" s="222" cm="1">
        <f t="array" aca="1" ref="BH78" ca="1">'Tablica IO'!BH234*INDEX(Model!$C$93:$CA$93,Model!$A78) + IF(wplyw_cen_import_wlaczony,'Tablica IO'!BH312*INDEX(Model!$C$2:$CA$2,Model!$A78),'Tablica IO'!BH312*1)</f>
        <v>5.6001979895183539E-3</v>
      </c>
      <c r="BI78" s="222" cm="1">
        <f t="array" aca="1" ref="BI78" ca="1">'Tablica IO'!BI234*INDEX(Model!$C$93:$CA$93,Model!$A78) + IF(wplyw_cen_import_wlaczony,'Tablica IO'!BI312*INDEX(Model!$C$2:$CA$2,Model!$A78),'Tablica IO'!BI312*1)</f>
        <v>9.951137596792576E-4</v>
      </c>
      <c r="BJ78" s="222" cm="1">
        <f t="array" aca="1" ref="BJ78" ca="1">'Tablica IO'!BJ234*INDEX(Model!$C$93:$CA$93,Model!$A78) + IF(wplyw_cen_import_wlaczony,'Tablica IO'!BJ312*INDEX(Model!$C$2:$CA$2,Model!$A78),'Tablica IO'!BJ312*1)</f>
        <v>2.4349521375016257E-3</v>
      </c>
      <c r="BK78" s="222" cm="1">
        <f t="array" aca="1" ref="BK78" ca="1">'Tablica IO'!BK234*INDEX(Model!$C$93:$CA$93,Model!$A78) + IF(wplyw_cen_import_wlaczony,'Tablica IO'!BK312*INDEX(Model!$C$2:$CA$2,Model!$A78),'Tablica IO'!BK312*1)</f>
        <v>2.3108167725444154E-3</v>
      </c>
      <c r="BL78" s="222" cm="1">
        <f t="array" aca="1" ref="BL78" ca="1">'Tablica IO'!BL234*INDEX(Model!$C$93:$CA$93,Model!$A78) + IF(wplyw_cen_import_wlaczony,'Tablica IO'!BL312*INDEX(Model!$C$2:$CA$2,Model!$A78),'Tablica IO'!BL312*1)</f>
        <v>2.2627275135397563E-3</v>
      </c>
      <c r="BM78" s="222" cm="1">
        <f t="array" aca="1" ref="BM78" ca="1">'Tablica IO'!BM234*INDEX(Model!$C$93:$CA$93,Model!$A78) + IF(wplyw_cen_import_wlaczony,'Tablica IO'!BM312*INDEX(Model!$C$2:$CA$2,Model!$A78),'Tablica IO'!BM312*1)</f>
        <v>5.1990359441670044E-3</v>
      </c>
      <c r="BN78" s="222" cm="1">
        <f t="array" aca="1" ref="BN78" ca="1">'Tablica IO'!BN234*INDEX(Model!$C$93:$CA$93,Model!$A78) + IF(wplyw_cen_import_wlaczony,'Tablica IO'!BN312*INDEX(Model!$C$2:$CA$2,Model!$A78),'Tablica IO'!BN312*1)</f>
        <v>5.9955896371155105E-3</v>
      </c>
      <c r="BO78" s="222" cm="1">
        <f t="array" aca="1" ref="BO78" ca="1">'Tablica IO'!BO234*INDEX(Model!$C$93:$CA$93,Model!$A78) + IF(wplyw_cen_import_wlaczony,'Tablica IO'!BO312*INDEX(Model!$C$2:$CA$2,Model!$A78),'Tablica IO'!BO312*1)</f>
        <v>3.7718946369695318E-3</v>
      </c>
      <c r="BP78" s="222" cm="1">
        <f t="array" aca="1" ref="BP78" ca="1">'Tablica IO'!BP234*INDEX(Model!$C$93:$CA$93,Model!$A78) + IF(wplyw_cen_import_wlaczony,'Tablica IO'!BP312*INDEX(Model!$C$2:$CA$2,Model!$A78),'Tablica IO'!BP312*1)</f>
        <v>2.1833806315829157E-3</v>
      </c>
      <c r="BQ78" s="222" cm="1">
        <f t="array" aca="1" ref="BQ78" ca="1">'Tablica IO'!BQ234*INDEX(Model!$C$93:$CA$93,Model!$A78) + IF(wplyw_cen_import_wlaczony,'Tablica IO'!BQ312*INDEX(Model!$C$2:$CA$2,Model!$A78),'Tablica IO'!BQ312*1)</f>
        <v>9.4820717046295176E-4</v>
      </c>
      <c r="BR78" s="222" cm="1">
        <f t="array" aca="1" ref="BR78" ca="1">'Tablica IO'!BR234*INDEX(Model!$C$93:$CA$93,Model!$A78) + IF(wplyw_cen_import_wlaczony,'Tablica IO'!BR312*INDEX(Model!$C$2:$CA$2,Model!$A78),'Tablica IO'!BR312*1)</f>
        <v>9.8043816003455433E-4</v>
      </c>
      <c r="BS78" s="222" cm="1">
        <f t="array" aca="1" ref="BS78" ca="1">'Tablica IO'!BS234*INDEX(Model!$C$93:$CA$93,Model!$A78) + IF(wplyw_cen_import_wlaczony,'Tablica IO'!BS312*INDEX(Model!$C$2:$CA$2,Model!$A78),'Tablica IO'!BS312*1)</f>
        <v>1.5790606018753041E-3</v>
      </c>
      <c r="BT78" s="222" cm="1">
        <f t="array" aca="1" ref="BT78" ca="1">'Tablica IO'!BT234*INDEX(Model!$C$93:$CA$93,Model!$A78) + IF(wplyw_cen_import_wlaczony,'Tablica IO'!BT312*INDEX(Model!$C$2:$CA$2,Model!$A78),'Tablica IO'!BT312*1)</f>
        <v>2.6803134621806927E-3</v>
      </c>
      <c r="BU78" s="222" cm="1">
        <f t="array" aca="1" ref="BU78" ca="1">'Tablica IO'!BU234*INDEX(Model!$C$93:$CA$93,Model!$A78) + IF(wplyw_cen_import_wlaczony,'Tablica IO'!BU312*INDEX(Model!$C$2:$CA$2,Model!$A78),'Tablica IO'!BU312*1)</f>
        <v>3.2211849406808121E-3</v>
      </c>
      <c r="BV78" s="222" cm="1">
        <f t="array" aca="1" ref="BV78" ca="1">'Tablica IO'!BV234*INDEX(Model!$C$93:$CA$93,Model!$A78) + IF(wplyw_cen_import_wlaczony,'Tablica IO'!BV312*INDEX(Model!$C$2:$CA$2,Model!$A78),'Tablica IO'!BV312*1)</f>
        <v>2.6037337444442827E-3</v>
      </c>
      <c r="BW78" s="222" cm="1">
        <f t="array" aca="1" ref="BW78" ca="1">'Tablica IO'!BW234*INDEX(Model!$C$93:$CA$93,Model!$A78) + IF(wplyw_cen_import_wlaczony,'Tablica IO'!BW312*INDEX(Model!$C$2:$CA$2,Model!$A78),'Tablica IO'!BW312*1)</f>
        <v>1.046612493653109E-3</v>
      </c>
      <c r="BX78" s="222" cm="1">
        <f t="array" aca="1" ref="BX78" ca="1">'Tablica IO'!BX234*INDEX(Model!$C$93:$CA$93,Model!$A78) + IF(wplyw_cen_import_wlaczony,'Tablica IO'!BX312*INDEX(Model!$C$2:$CA$2,Model!$A78),'Tablica IO'!BX312*1)</f>
        <v>3.5478693426859603E-3</v>
      </c>
      <c r="BY78" s="222" cm="1">
        <f t="array" aca="1" ref="BY78" ca="1">'Tablica IO'!BY234*INDEX(Model!$C$93:$CA$93,Model!$A78) + IF(wplyw_cen_import_wlaczony,'Tablica IO'!BY312*INDEX(Model!$C$2:$CA$2,Model!$A78),'Tablica IO'!BY312*1)</f>
        <v>2.3688322046398471E-3</v>
      </c>
      <c r="BZ78" s="222" cm="1">
        <f t="array" aca="1" ref="BZ78" ca="1">'Tablica IO'!BZ234*INDEX(Model!$C$93:$CA$93,Model!$A78) + IF(wplyw_cen_import_wlaczony,'Tablica IO'!BZ312*INDEX(Model!$C$2:$CA$2,Model!$A78),'Tablica IO'!BZ312*1)</f>
        <v>2.5834158273073744E-3</v>
      </c>
      <c r="CA78" s="222" cm="1">
        <f t="array" aca="1" ref="CA78" ca="1">'Tablica IO'!CA234*INDEX(Model!$C$93:$CA$93,Model!$A78) + IF(wplyw_cen_import_wlaczony,'Tablica IO'!CA312*INDEX(Model!$C$2:$CA$2,Model!$A78),'Tablica IO'!CA312*1)</f>
        <v>0</v>
      </c>
      <c r="CB78" s="247">
        <f ca="1">'Tablica IO'!CD234*INDEX(Model!$C$93:$CA$93,Model!$A78)+'Tablica IO'!CD312*INDEX(Model!$C$2:$CA$2,Model!$A78)</f>
        <v>3.5626515335873779E-3</v>
      </c>
      <c r="CC78" s="188">
        <f ca="1">'Tablica IO'!CE234*INDEX(Model!$C$93:$CA$93,Model!$A78)+'Tablica IO'!CE312*INDEX(Model!$C$2:$CA$2,Model!$A78)</f>
        <v>0.38078859036321777</v>
      </c>
      <c r="CD78" s="188">
        <f ca="1">'Tablica IO'!CF234*INDEX(Model!$C$93:$CA$93,Model!$A78)+'Tablica IO'!CF312*INDEX(Model!$C$2:$CA$2,Model!$A78)</f>
        <v>1.9495485370081356E-3</v>
      </c>
      <c r="CE78" s="189">
        <f ca="1">'Tablica IO'!CG234*INDEX(Model!$C$93:$CA$93,Model!$A78)+'Tablica IO'!CG312*INDEX(Model!$C$2:$CA$2,Model!$A78)</f>
        <v>9.3096298420875098E-4</v>
      </c>
    </row>
    <row r="79" spans="1:83" x14ac:dyDescent="0.25">
      <c r="A79" s="164">
        <v>67</v>
      </c>
      <c r="B79" s="172" t="s">
        <v>66</v>
      </c>
      <c r="C79" s="221" cm="1">
        <f t="array" aca="1" ref="C79" ca="1">'Tablica IO'!C235*INDEX(Model!$C$93:$CA$93,Model!$A79) + IF(wplyw_cen_import_wlaczony,'Tablica IO'!C313*INDEX(Model!$C$2:$CA$2,Model!$A79),'Tablica IO'!C313*1)</f>
        <v>1.2420337604529771E-4</v>
      </c>
      <c r="D79" s="222" cm="1">
        <f t="array" aca="1" ref="D79" ca="1">'Tablica IO'!D235*INDEX(Model!$C$93:$CA$93,Model!$A79) + IF(wplyw_cen_import_wlaczony,'Tablica IO'!D313*INDEX(Model!$C$2:$CA$2,Model!$A79),'Tablica IO'!D313*1)</f>
        <v>8.0395258634621185E-4</v>
      </c>
      <c r="E79" s="222" cm="1">
        <f t="array" aca="1" ref="E79" ca="1">'Tablica IO'!E235*INDEX(Model!$C$93:$CA$93,Model!$A79) + IF(wplyw_cen_import_wlaczony,'Tablica IO'!E313*INDEX(Model!$C$2:$CA$2,Model!$A79),'Tablica IO'!E313*1)</f>
        <v>2.3721460933188136E-4</v>
      </c>
      <c r="F79" s="222" cm="1">
        <f t="array" aca="1" ref="F79" ca="1">'Tablica IO'!F235*INDEX(Model!$C$93:$CA$93,Model!$A79) + IF(wplyw_cen_import_wlaczony,'Tablica IO'!F313*INDEX(Model!$C$2:$CA$2,Model!$A79),'Tablica IO'!F313*1)</f>
        <v>1.7253219194135643E-4</v>
      </c>
      <c r="G79" s="222" cm="1">
        <f t="array" aca="1" ref="G79" ca="1">'Tablica IO'!G235*INDEX(Model!$C$93:$CA$93,Model!$A79) + IF(wplyw_cen_import_wlaczony,'Tablica IO'!G313*INDEX(Model!$C$2:$CA$2,Model!$A79),'Tablica IO'!G313*1)</f>
        <v>7.3914981623051583E-4</v>
      </c>
      <c r="H79" s="222" cm="1">
        <f t="array" aca="1" ref="H79" ca="1">'Tablica IO'!H235*INDEX(Model!$C$93:$CA$93,Model!$A79) + IF(wplyw_cen_import_wlaczony,'Tablica IO'!H313*INDEX(Model!$C$2:$CA$2,Model!$A79),'Tablica IO'!H313*1)</f>
        <v>3.6701907814709085E-4</v>
      </c>
      <c r="I79" s="222" cm="1">
        <f t="array" aca="1" ref="I79" ca="1">'Tablica IO'!I235*INDEX(Model!$C$93:$CA$93,Model!$A79) + IF(wplyw_cen_import_wlaczony,'Tablica IO'!I313*INDEX(Model!$C$2:$CA$2,Model!$A79),'Tablica IO'!I313*1)</f>
        <v>2.5921030312401721E-4</v>
      </c>
      <c r="J79" s="222" cm="1">
        <f t="array" aca="1" ref="J79" ca="1">'Tablica IO'!J235*INDEX(Model!$C$93:$CA$93,Model!$A79) + IF(wplyw_cen_import_wlaczony,'Tablica IO'!J313*INDEX(Model!$C$2:$CA$2,Model!$A79),'Tablica IO'!J313*1)</f>
        <v>1.1973899956386727E-3</v>
      </c>
      <c r="K79" s="222" cm="1">
        <f t="array" aca="1" ref="K79" ca="1">'Tablica IO'!K235*INDEX(Model!$C$93:$CA$93,Model!$A79) + IF(wplyw_cen_import_wlaczony,'Tablica IO'!K313*INDEX(Model!$C$2:$CA$2,Model!$A79),'Tablica IO'!K313*1)</f>
        <v>4.3246993481027497E-4</v>
      </c>
      <c r="L79" s="222" cm="1">
        <f t="array" aca="1" ref="L79" ca="1">'Tablica IO'!L235*INDEX(Model!$C$93:$CA$93,Model!$A79) + IF(wplyw_cen_import_wlaczony,'Tablica IO'!L313*INDEX(Model!$C$2:$CA$2,Model!$A79),'Tablica IO'!L313*1)</f>
        <v>5.1356185600516914E-4</v>
      </c>
      <c r="M79" s="222" cm="1">
        <f t="array" aca="1" ref="M79" ca="1">'Tablica IO'!M235*INDEX(Model!$C$93:$CA$93,Model!$A79) + IF(wplyw_cen_import_wlaczony,'Tablica IO'!M313*INDEX(Model!$C$2:$CA$2,Model!$A79),'Tablica IO'!M313*1)</f>
        <v>3.3039132639725306E-4</v>
      </c>
      <c r="N79" s="222" cm="1">
        <f t="array" aca="1" ref="N79" ca="1">'Tablica IO'!N235*INDEX(Model!$C$93:$CA$93,Model!$A79) + IF(wplyw_cen_import_wlaczony,'Tablica IO'!N313*INDEX(Model!$C$2:$CA$2,Model!$A79),'Tablica IO'!N313*1)</f>
        <v>2.0998192001640852E-4</v>
      </c>
      <c r="O79" s="222" cm="1">
        <f t="array" aca="1" ref="O79" ca="1">'Tablica IO'!O235*INDEX(Model!$C$93:$CA$93,Model!$A79) + IF(wplyw_cen_import_wlaczony,'Tablica IO'!O313*INDEX(Model!$C$2:$CA$2,Model!$A79),'Tablica IO'!O313*1)</f>
        <v>6.9358927850895504E-4</v>
      </c>
      <c r="P79" s="222" cm="1">
        <f t="array" aca="1" ref="P79" ca="1">'Tablica IO'!P235*INDEX(Model!$C$93:$CA$93,Model!$A79) + IF(wplyw_cen_import_wlaczony,'Tablica IO'!P313*INDEX(Model!$C$2:$CA$2,Model!$A79),'Tablica IO'!P313*1)</f>
        <v>2.971887329115569E-4</v>
      </c>
      <c r="Q79" s="222" cm="1">
        <f t="array" aca="1" ref="Q79" ca="1">'Tablica IO'!Q235*INDEX(Model!$C$93:$CA$93,Model!$A79) + IF(wplyw_cen_import_wlaczony,'Tablica IO'!Q313*INDEX(Model!$C$2:$CA$2,Model!$A79),'Tablica IO'!Q313*1)</f>
        <v>2.3601076241926939E-4</v>
      </c>
      <c r="R79" s="222" cm="1">
        <f t="array" aca="1" ref="R79" ca="1">'Tablica IO'!R235*INDEX(Model!$C$93:$CA$93,Model!$A79) + IF(wplyw_cen_import_wlaczony,'Tablica IO'!R313*INDEX(Model!$C$2:$CA$2,Model!$A79),'Tablica IO'!R313*1)</f>
        <v>1.0658438280617454E-3</v>
      </c>
      <c r="S79" s="222" cm="1">
        <f t="array" aca="1" ref="S79" ca="1">'Tablica IO'!S235*INDEX(Model!$C$93:$CA$93,Model!$A79) + IF(wplyw_cen_import_wlaczony,'Tablica IO'!S313*INDEX(Model!$C$2:$CA$2,Model!$A79),'Tablica IO'!S313*1)</f>
        <v>8.6300102869476018E-4</v>
      </c>
      <c r="T79" s="222" cm="1">
        <f t="array" aca="1" ref="T79" ca="1">'Tablica IO'!T235*INDEX(Model!$C$93:$CA$93,Model!$A79) + IF(wplyw_cen_import_wlaczony,'Tablica IO'!T313*INDEX(Model!$C$2:$CA$2,Model!$A79),'Tablica IO'!T313*1)</f>
        <v>5.1224495896076347E-4</v>
      </c>
      <c r="U79" s="222" cm="1">
        <f t="array" aca="1" ref="U79" ca="1">'Tablica IO'!U235*INDEX(Model!$C$93:$CA$93,Model!$A79) + IF(wplyw_cen_import_wlaczony,'Tablica IO'!U313*INDEX(Model!$C$2:$CA$2,Model!$A79),'Tablica IO'!U313*1)</f>
        <v>7.2001620819139682E-4</v>
      </c>
      <c r="V79" s="222" cm="1">
        <f t="array" aca="1" ref="V79" ca="1">'Tablica IO'!V235*INDEX(Model!$C$93:$CA$93,Model!$A79) + IF(wplyw_cen_import_wlaczony,'Tablica IO'!V313*INDEX(Model!$C$2:$CA$2,Model!$A79),'Tablica IO'!V313*1)</f>
        <v>3.3291051790351159E-4</v>
      </c>
      <c r="W79" s="222" cm="1">
        <f t="array" aca="1" ref="W79" ca="1">'Tablica IO'!W235*INDEX(Model!$C$93:$CA$93,Model!$A79) + IF(wplyw_cen_import_wlaczony,'Tablica IO'!W313*INDEX(Model!$C$2:$CA$2,Model!$A79),'Tablica IO'!W313*1)</f>
        <v>5.0934911315537459E-4</v>
      </c>
      <c r="X79" s="222" cm="1">
        <f t="array" aca="1" ref="X79" ca="1">'Tablica IO'!X235*INDEX(Model!$C$93:$CA$93,Model!$A79) + IF(wplyw_cen_import_wlaczony,'Tablica IO'!X313*INDEX(Model!$C$2:$CA$2,Model!$A79),'Tablica IO'!X313*1)</f>
        <v>2.8905957892714698E-4</v>
      </c>
      <c r="Y79" s="222" cm="1">
        <f t="array" aca="1" ref="Y79" ca="1">'Tablica IO'!Y235*INDEX(Model!$C$93:$CA$93,Model!$A79) + IF(wplyw_cen_import_wlaczony,'Tablica IO'!Y313*INDEX(Model!$C$2:$CA$2,Model!$A79),'Tablica IO'!Y313*1)</f>
        <v>1.24832611827618E-3</v>
      </c>
      <c r="Z79" s="222" cm="1">
        <f t="array" aca="1" ref="Z79" ca="1">'Tablica IO'!Z235*INDEX(Model!$C$93:$CA$93,Model!$A79) + IF(wplyw_cen_import_wlaczony,'Tablica IO'!Z313*INDEX(Model!$C$2:$CA$2,Model!$A79),'Tablica IO'!Z313*1)</f>
        <v>8.903550428251022E-4</v>
      </c>
      <c r="AA79" s="222" cm="1">
        <f t="array" aca="1" ref="AA79" ca="1">'Tablica IO'!AA235*INDEX(Model!$C$93:$CA$93,Model!$A79) + IF(wplyw_cen_import_wlaczony,'Tablica IO'!AA313*INDEX(Model!$C$2:$CA$2,Model!$A79),'Tablica IO'!AA313*1)</f>
        <v>6.9632734244737509E-4</v>
      </c>
      <c r="AB79" s="222" cm="1">
        <f t="array" aca="1" ref="AB79" ca="1">'Tablica IO'!AB235*INDEX(Model!$C$93:$CA$93,Model!$A79) + IF(wplyw_cen_import_wlaczony,'Tablica IO'!AB313*INDEX(Model!$C$2:$CA$2,Model!$A79),'Tablica IO'!AB313*1)</f>
        <v>8.8641446682032792E-4</v>
      </c>
      <c r="AC79" s="222" cm="1">
        <f t="array" aca="1" ref="AC79" ca="1">'Tablica IO'!AC235*INDEX(Model!$C$93:$CA$93,Model!$A79) + IF(wplyw_cen_import_wlaczony,'Tablica IO'!AC313*INDEX(Model!$C$2:$CA$2,Model!$A79),'Tablica IO'!AC313*1)</f>
        <v>3.8618035648899286E-4</v>
      </c>
      <c r="AD79" s="222" cm="1">
        <f t="array" aca="1" ref="AD79" ca="1">'Tablica IO'!AD235*INDEX(Model!$C$93:$CA$93,Model!$A79) + IF(wplyw_cen_import_wlaczony,'Tablica IO'!AD313*INDEX(Model!$C$2:$CA$2,Model!$A79),'Tablica IO'!AD313*1)</f>
        <v>2.249498807271386E-4</v>
      </c>
      <c r="AE79" s="222" cm="1">
        <f t="array" aca="1" ref="AE79" ca="1">'Tablica IO'!AE235*INDEX(Model!$C$93:$CA$93,Model!$A79) + IF(wplyw_cen_import_wlaczony,'Tablica IO'!AE313*INDEX(Model!$C$2:$CA$2,Model!$A79),'Tablica IO'!AE313*1)</f>
        <v>4.6534981790856655E-4</v>
      </c>
      <c r="AF79" s="222" cm="1">
        <f t="array" aca="1" ref="AF79" ca="1">'Tablica IO'!AF235*INDEX(Model!$C$93:$CA$93,Model!$A79) + IF(wplyw_cen_import_wlaczony,'Tablica IO'!AF313*INDEX(Model!$C$2:$CA$2,Model!$A79),'Tablica IO'!AF313*1)</f>
        <v>4.4916979146505378E-4</v>
      </c>
      <c r="AG79" s="222" cm="1">
        <f t="array" aca="1" ref="AG79" ca="1">'Tablica IO'!AG235*INDEX(Model!$C$93:$CA$93,Model!$A79) + IF(wplyw_cen_import_wlaczony,'Tablica IO'!AG313*INDEX(Model!$C$2:$CA$2,Model!$A79),'Tablica IO'!AG313*1)</f>
        <v>5.1293389969983333E-4</v>
      </c>
      <c r="AH79" s="222" cm="1">
        <f t="array" aca="1" ref="AH79" ca="1">'Tablica IO'!AH235*INDEX(Model!$C$93:$CA$93,Model!$A79) + IF(wplyw_cen_import_wlaczony,'Tablica IO'!AH313*INDEX(Model!$C$2:$CA$2,Model!$A79),'Tablica IO'!AH313*1)</f>
        <v>9.8659559886251453E-4</v>
      </c>
      <c r="AI79" s="222" cm="1">
        <f t="array" aca="1" ref="AI79" ca="1">'Tablica IO'!AI235*INDEX(Model!$C$93:$CA$93,Model!$A79) + IF(wplyw_cen_import_wlaczony,'Tablica IO'!AI313*INDEX(Model!$C$2:$CA$2,Model!$A79),'Tablica IO'!AI313*1)</f>
        <v>3.7921637271394145E-4</v>
      </c>
      <c r="AJ79" s="222" cm="1">
        <f t="array" aca="1" ref="AJ79" ca="1">'Tablica IO'!AJ235*INDEX(Model!$C$93:$CA$93,Model!$A79) + IF(wplyw_cen_import_wlaczony,'Tablica IO'!AJ313*INDEX(Model!$C$2:$CA$2,Model!$A79),'Tablica IO'!AJ313*1)</f>
        <v>6.4688025493693881E-4</v>
      </c>
      <c r="AK79" s="222" cm="1">
        <f t="array" aca="1" ref="AK79" ca="1">'Tablica IO'!AK235*INDEX(Model!$C$93:$CA$93,Model!$A79) + IF(wplyw_cen_import_wlaczony,'Tablica IO'!AK313*INDEX(Model!$C$2:$CA$2,Model!$A79),'Tablica IO'!AK313*1)</f>
        <v>1.8178765659624255E-3</v>
      </c>
      <c r="AL79" s="222" cm="1">
        <f t="array" aca="1" ref="AL79" ca="1">'Tablica IO'!AL235*INDEX(Model!$C$93:$CA$93,Model!$A79) + IF(wplyw_cen_import_wlaczony,'Tablica IO'!AL313*INDEX(Model!$C$2:$CA$2,Model!$A79),'Tablica IO'!AL313*1)</f>
        <v>1.9364224801474059E-3</v>
      </c>
      <c r="AM79" s="222" cm="1">
        <f t="array" aca="1" ref="AM79" ca="1">'Tablica IO'!AM235*INDEX(Model!$C$93:$CA$93,Model!$A79) + IF(wplyw_cen_import_wlaczony,'Tablica IO'!AM313*INDEX(Model!$C$2:$CA$2,Model!$A79),'Tablica IO'!AM313*1)</f>
        <v>4.1742809996606848E-4</v>
      </c>
      <c r="AN79" s="222" cm="1">
        <f t="array" aca="1" ref="AN79" ca="1">'Tablica IO'!AN235*INDEX(Model!$C$93:$CA$93,Model!$A79) + IF(wplyw_cen_import_wlaczony,'Tablica IO'!AN313*INDEX(Model!$C$2:$CA$2,Model!$A79),'Tablica IO'!AN313*1)</f>
        <v>3.7234071668890758E-4</v>
      </c>
      <c r="AO79" s="222" cm="1">
        <f t="array" aca="1" ref="AO79" ca="1">'Tablica IO'!AO235*INDEX(Model!$C$93:$CA$93,Model!$A79) + IF(wplyw_cen_import_wlaczony,'Tablica IO'!AO313*INDEX(Model!$C$2:$CA$2,Model!$A79),'Tablica IO'!AO313*1)</f>
        <v>2.0263992764788349E-4</v>
      </c>
      <c r="AP79" s="222" cm="1">
        <f t="array" aca="1" ref="AP79" ca="1">'Tablica IO'!AP235*INDEX(Model!$C$93:$CA$93,Model!$A79) + IF(wplyw_cen_import_wlaczony,'Tablica IO'!AP313*INDEX(Model!$C$2:$CA$2,Model!$A79),'Tablica IO'!AP313*1)</f>
        <v>4.5134091536030486E-4</v>
      </c>
      <c r="AQ79" s="222" cm="1">
        <f t="array" aca="1" ref="AQ79" ca="1">'Tablica IO'!AQ235*INDEX(Model!$C$93:$CA$93,Model!$A79) + IF(wplyw_cen_import_wlaczony,'Tablica IO'!AQ313*INDEX(Model!$C$2:$CA$2,Model!$A79),'Tablica IO'!AQ313*1)</f>
        <v>1.0693728168817882E-3</v>
      </c>
      <c r="AR79" s="222" cm="1">
        <f t="array" aca="1" ref="AR79" ca="1">'Tablica IO'!AR235*INDEX(Model!$C$93:$CA$93,Model!$A79) + IF(wplyw_cen_import_wlaczony,'Tablica IO'!AR313*INDEX(Model!$C$2:$CA$2,Model!$A79),'Tablica IO'!AR313*1)</f>
        <v>2.290534382378953E-3</v>
      </c>
      <c r="AS79" s="222" cm="1">
        <f t="array" aca="1" ref="AS79" ca="1">'Tablica IO'!AS235*INDEX(Model!$C$93:$CA$93,Model!$A79) + IF(wplyw_cen_import_wlaczony,'Tablica IO'!AS313*INDEX(Model!$C$2:$CA$2,Model!$A79),'Tablica IO'!AS313*1)</f>
        <v>9.6596751449913197E-4</v>
      </c>
      <c r="AT79" s="222" cm="1">
        <f t="array" aca="1" ref="AT79" ca="1">'Tablica IO'!AT235*INDEX(Model!$C$93:$CA$93,Model!$A79) + IF(wplyw_cen_import_wlaczony,'Tablica IO'!AT313*INDEX(Model!$C$2:$CA$2,Model!$A79),'Tablica IO'!AT313*1)</f>
        <v>2.6996273300288271E-5</v>
      </c>
      <c r="AU79" s="222" cm="1">
        <f t="array" aca="1" ref="AU79" ca="1">'Tablica IO'!AU235*INDEX(Model!$C$93:$CA$93,Model!$A79) + IF(wplyw_cen_import_wlaczony,'Tablica IO'!AU313*INDEX(Model!$C$2:$CA$2,Model!$A79),'Tablica IO'!AU313*1)</f>
        <v>7.9298938382332164E-5</v>
      </c>
      <c r="AV79" s="222" cm="1">
        <f t="array" aca="1" ref="AV79" ca="1">'Tablica IO'!AV235*INDEX(Model!$C$93:$CA$93,Model!$A79) + IF(wplyw_cen_import_wlaczony,'Tablica IO'!AV313*INDEX(Model!$C$2:$CA$2,Model!$A79),'Tablica IO'!AV313*1)</f>
        <v>1.695343745289204E-3</v>
      </c>
      <c r="AW79" s="222" cm="1">
        <f t="array" aca="1" ref="AW79" ca="1">'Tablica IO'!AW235*INDEX(Model!$C$93:$CA$93,Model!$A79) + IF(wplyw_cen_import_wlaczony,'Tablica IO'!AW313*INDEX(Model!$C$2:$CA$2,Model!$A79),'Tablica IO'!AW313*1)</f>
        <v>3.0231609992228702E-3</v>
      </c>
      <c r="AX79" s="222" cm="1">
        <f t="array" aca="1" ref="AX79" ca="1">'Tablica IO'!AX235*INDEX(Model!$C$93:$CA$93,Model!$A79) + IF(wplyw_cen_import_wlaczony,'Tablica IO'!AX313*INDEX(Model!$C$2:$CA$2,Model!$A79),'Tablica IO'!AX313*1)</f>
        <v>1.0903223390662485E-3</v>
      </c>
      <c r="AY79" s="222" cm="1">
        <f t="array" aca="1" ref="AY79" ca="1">'Tablica IO'!AY235*INDEX(Model!$C$93:$CA$93,Model!$A79) + IF(wplyw_cen_import_wlaczony,'Tablica IO'!AY313*INDEX(Model!$C$2:$CA$2,Model!$A79),'Tablica IO'!AY313*1)</f>
        <v>4.9715753742396462E-4</v>
      </c>
      <c r="AZ79" s="222" cm="1">
        <f t="array" aca="1" ref="AZ79" ca="1">'Tablica IO'!AZ235*INDEX(Model!$C$93:$CA$93,Model!$A79) + IF(wplyw_cen_import_wlaczony,'Tablica IO'!AZ313*INDEX(Model!$C$2:$CA$2,Model!$A79),'Tablica IO'!AZ313*1)</f>
        <v>7.1439878566352515E-3</v>
      </c>
      <c r="BA79" s="222" cm="1">
        <f t="array" aca="1" ref="BA79" ca="1">'Tablica IO'!BA235*INDEX(Model!$C$93:$CA$93,Model!$A79) + IF(wplyw_cen_import_wlaczony,'Tablica IO'!BA313*INDEX(Model!$C$2:$CA$2,Model!$A79),'Tablica IO'!BA313*1)</f>
        <v>4.2417287020776138E-4</v>
      </c>
      <c r="BB79" s="222" cm="1">
        <f t="array" aca="1" ref="BB79" ca="1">'Tablica IO'!BB235*INDEX(Model!$C$93:$CA$93,Model!$A79) + IF(wplyw_cen_import_wlaczony,'Tablica IO'!BB313*INDEX(Model!$C$2:$CA$2,Model!$A79),'Tablica IO'!BB313*1)</f>
        <v>2.8051690388255232E-4</v>
      </c>
      <c r="BC79" s="222" cm="1">
        <f t="array" aca="1" ref="BC79" ca="1">'Tablica IO'!BC235*INDEX(Model!$C$93:$CA$93,Model!$A79) + IF(wplyw_cen_import_wlaczony,'Tablica IO'!BC313*INDEX(Model!$C$2:$CA$2,Model!$A79),'Tablica IO'!BC313*1)</f>
        <v>4.5748886113387227E-3</v>
      </c>
      <c r="BD79" s="222" cm="1">
        <f t="array" aca="1" ref="BD79" ca="1">'Tablica IO'!BD235*INDEX(Model!$C$93:$CA$93,Model!$A79) + IF(wplyw_cen_import_wlaczony,'Tablica IO'!BD313*INDEX(Model!$C$2:$CA$2,Model!$A79),'Tablica IO'!BD313*1)</f>
        <v>2.8710118045840918E-2</v>
      </c>
      <c r="BE79" s="222" cm="1">
        <f t="array" aca="1" ref="BE79" ca="1">'Tablica IO'!BE235*INDEX(Model!$C$93:$CA$93,Model!$A79) + IF(wplyw_cen_import_wlaczony,'Tablica IO'!BE313*INDEX(Model!$C$2:$CA$2,Model!$A79),'Tablica IO'!BE313*1)</f>
        <v>5.2916017056074325E-4</v>
      </c>
      <c r="BF79" s="222" cm="1">
        <f t="array" aca="1" ref="BF79" ca="1">'Tablica IO'!BF235*INDEX(Model!$C$93:$CA$93,Model!$A79) + IF(wplyw_cen_import_wlaczony,'Tablica IO'!BF313*INDEX(Model!$C$2:$CA$2,Model!$A79),'Tablica IO'!BF313*1)</f>
        <v>2.9746616259438688E-3</v>
      </c>
      <c r="BG79" s="222" cm="1">
        <f t="array" aca="1" ref="BG79" ca="1">'Tablica IO'!BG235*INDEX(Model!$C$93:$CA$93,Model!$A79) + IF(wplyw_cen_import_wlaczony,'Tablica IO'!BG313*INDEX(Model!$C$2:$CA$2,Model!$A79),'Tablica IO'!BG313*1)</f>
        <v>1.686906397391548E-3</v>
      </c>
      <c r="BH79" s="222" cm="1">
        <f t="array" aca="1" ref="BH79" ca="1">'Tablica IO'!BH235*INDEX(Model!$C$93:$CA$93,Model!$A79) + IF(wplyw_cen_import_wlaczony,'Tablica IO'!BH313*INDEX(Model!$C$2:$CA$2,Model!$A79),'Tablica IO'!BH313*1)</f>
        <v>6.2406357167982198E-4</v>
      </c>
      <c r="BI79" s="222" cm="1">
        <f t="array" aca="1" ref="BI79" ca="1">'Tablica IO'!BI235*INDEX(Model!$C$93:$CA$93,Model!$A79) + IF(wplyw_cen_import_wlaczony,'Tablica IO'!BI313*INDEX(Model!$C$2:$CA$2,Model!$A79),'Tablica IO'!BI313*1)</f>
        <v>0</v>
      </c>
      <c r="BJ79" s="222" cm="1">
        <f t="array" aca="1" ref="BJ79" ca="1">'Tablica IO'!BJ235*INDEX(Model!$C$93:$CA$93,Model!$A79) + IF(wplyw_cen_import_wlaczony,'Tablica IO'!BJ313*INDEX(Model!$C$2:$CA$2,Model!$A79),'Tablica IO'!BJ313*1)</f>
        <v>2.9891904603079819E-3</v>
      </c>
      <c r="BK79" s="222" cm="1">
        <f t="array" aca="1" ref="BK79" ca="1">'Tablica IO'!BK235*INDEX(Model!$C$93:$CA$93,Model!$A79) + IF(wplyw_cen_import_wlaczony,'Tablica IO'!BK313*INDEX(Model!$C$2:$CA$2,Model!$A79),'Tablica IO'!BK313*1)</f>
        <v>2.1837546865148172E-3</v>
      </c>
      <c r="BL79" s="222" cm="1">
        <f t="array" aca="1" ref="BL79" ca="1">'Tablica IO'!BL235*INDEX(Model!$C$93:$CA$93,Model!$A79) + IF(wplyw_cen_import_wlaczony,'Tablica IO'!BL313*INDEX(Model!$C$2:$CA$2,Model!$A79),'Tablica IO'!BL313*1)</f>
        <v>2.1574621062075996E-4</v>
      </c>
      <c r="BM79" s="222" cm="1">
        <f t="array" aca="1" ref="BM79" ca="1">'Tablica IO'!BM235*INDEX(Model!$C$93:$CA$93,Model!$A79) + IF(wplyw_cen_import_wlaczony,'Tablica IO'!BM313*INDEX(Model!$C$2:$CA$2,Model!$A79),'Tablica IO'!BM313*1)</f>
        <v>2.5915141526618229E-3</v>
      </c>
      <c r="BN79" s="222" cm="1">
        <f t="array" aca="1" ref="BN79" ca="1">'Tablica IO'!BN235*INDEX(Model!$C$93:$CA$93,Model!$A79) + IF(wplyw_cen_import_wlaczony,'Tablica IO'!BN313*INDEX(Model!$C$2:$CA$2,Model!$A79),'Tablica IO'!BN313*1)</f>
        <v>7.265960799998695E-4</v>
      </c>
      <c r="BO79" s="222" cm="1">
        <f t="array" aca="1" ref="BO79" ca="1">'Tablica IO'!BO235*INDEX(Model!$C$93:$CA$93,Model!$A79) + IF(wplyw_cen_import_wlaczony,'Tablica IO'!BO313*INDEX(Model!$C$2:$CA$2,Model!$A79),'Tablica IO'!BO313*1)</f>
        <v>2.7714102215579029E-3</v>
      </c>
      <c r="BP79" s="222" cm="1">
        <f t="array" aca="1" ref="BP79" ca="1">'Tablica IO'!BP235*INDEX(Model!$C$93:$CA$93,Model!$A79) + IF(wplyw_cen_import_wlaczony,'Tablica IO'!BP313*INDEX(Model!$C$2:$CA$2,Model!$A79),'Tablica IO'!BP313*1)</f>
        <v>6.9353979338591357E-4</v>
      </c>
      <c r="BQ79" s="222" cm="1">
        <f t="array" aca="1" ref="BQ79" ca="1">'Tablica IO'!BQ235*INDEX(Model!$C$93:$CA$93,Model!$A79) + IF(wplyw_cen_import_wlaczony,'Tablica IO'!BQ313*INDEX(Model!$C$2:$CA$2,Model!$A79),'Tablica IO'!BQ313*1)</f>
        <v>5.2708572475420865E-2</v>
      </c>
      <c r="BR79" s="222" cm="1">
        <f t="array" aca="1" ref="BR79" ca="1">'Tablica IO'!BR235*INDEX(Model!$C$93:$CA$93,Model!$A79) + IF(wplyw_cen_import_wlaczony,'Tablica IO'!BR313*INDEX(Model!$C$2:$CA$2,Model!$A79),'Tablica IO'!BR313*1)</f>
        <v>7.7668531797405382E-4</v>
      </c>
      <c r="BS79" s="222" cm="1">
        <f t="array" aca="1" ref="BS79" ca="1">'Tablica IO'!BS235*INDEX(Model!$C$93:$CA$93,Model!$A79) + IF(wplyw_cen_import_wlaczony,'Tablica IO'!BS313*INDEX(Model!$C$2:$CA$2,Model!$A79),'Tablica IO'!BS313*1)</f>
        <v>3.1268019396528342E-4</v>
      </c>
      <c r="BT79" s="222" cm="1">
        <f t="array" aca="1" ref="BT79" ca="1">'Tablica IO'!BT235*INDEX(Model!$C$93:$CA$93,Model!$A79) + IF(wplyw_cen_import_wlaczony,'Tablica IO'!BT313*INDEX(Model!$C$2:$CA$2,Model!$A79),'Tablica IO'!BT313*1)</f>
        <v>9.2915057169394993E-3</v>
      </c>
      <c r="BU79" s="222" cm="1">
        <f t="array" aca="1" ref="BU79" ca="1">'Tablica IO'!BU235*INDEX(Model!$C$93:$CA$93,Model!$A79) + IF(wplyw_cen_import_wlaczony,'Tablica IO'!BU313*INDEX(Model!$C$2:$CA$2,Model!$A79),'Tablica IO'!BU313*1)</f>
        <v>4.8904130507575125E-3</v>
      </c>
      <c r="BV79" s="222" cm="1">
        <f t="array" aca="1" ref="BV79" ca="1">'Tablica IO'!BV235*INDEX(Model!$C$93:$CA$93,Model!$A79) + IF(wplyw_cen_import_wlaczony,'Tablica IO'!BV313*INDEX(Model!$C$2:$CA$2,Model!$A79),'Tablica IO'!BV313*1)</f>
        <v>4.5176097562641365E-5</v>
      </c>
      <c r="BW79" s="222" cm="1">
        <f t="array" aca="1" ref="BW79" ca="1">'Tablica IO'!BW235*INDEX(Model!$C$93:$CA$93,Model!$A79) + IF(wplyw_cen_import_wlaczony,'Tablica IO'!BW313*INDEX(Model!$C$2:$CA$2,Model!$A79),'Tablica IO'!BW313*1)</f>
        <v>2.5020078564476963E-4</v>
      </c>
      <c r="BX79" s="222" cm="1">
        <f t="array" aca="1" ref="BX79" ca="1">'Tablica IO'!BX235*INDEX(Model!$C$93:$CA$93,Model!$A79) + IF(wplyw_cen_import_wlaczony,'Tablica IO'!BX313*INDEX(Model!$C$2:$CA$2,Model!$A79),'Tablica IO'!BX313*1)</f>
        <v>6.2817083289383005E-5</v>
      </c>
      <c r="BY79" s="222" cm="1">
        <f t="array" aca="1" ref="BY79" ca="1">'Tablica IO'!BY235*INDEX(Model!$C$93:$CA$93,Model!$A79) + IF(wplyw_cen_import_wlaczony,'Tablica IO'!BY313*INDEX(Model!$C$2:$CA$2,Model!$A79),'Tablica IO'!BY313*1)</f>
        <v>1.8304129262245357E-3</v>
      </c>
      <c r="BZ79" s="222" cm="1">
        <f t="array" aca="1" ref="BZ79" ca="1">'Tablica IO'!BZ235*INDEX(Model!$C$93:$CA$93,Model!$A79) + IF(wplyw_cen_import_wlaczony,'Tablica IO'!BZ313*INDEX(Model!$C$2:$CA$2,Model!$A79),'Tablica IO'!BZ313*1)</f>
        <v>1.0966516223667197E-3</v>
      </c>
      <c r="CA79" s="222" cm="1">
        <f t="array" aca="1" ref="CA79" ca="1">'Tablica IO'!CA235*INDEX(Model!$C$93:$CA$93,Model!$A79) + IF(wplyw_cen_import_wlaczony,'Tablica IO'!CA313*INDEX(Model!$C$2:$CA$2,Model!$A79),'Tablica IO'!CA313*1)</f>
        <v>0</v>
      </c>
      <c r="CB79" s="247">
        <f ca="1">'Tablica IO'!CD235*INDEX(Model!$C$93:$CA$93,Model!$A79)+'Tablica IO'!CD313*INDEX(Model!$C$2:$CA$2,Model!$A79)</f>
        <v>2.0570456349643721E-2</v>
      </c>
      <c r="CC79" s="188">
        <f ca="1">'Tablica IO'!CE235*INDEX(Model!$C$93:$CA$93,Model!$A79)+'Tablica IO'!CE313*INDEX(Model!$C$2:$CA$2,Model!$A79)</f>
        <v>0.23939471491295805</v>
      </c>
      <c r="CD79" s="188">
        <f ca="1">'Tablica IO'!CF235*INDEX(Model!$C$93:$CA$93,Model!$A79)+'Tablica IO'!CF313*INDEX(Model!$C$2:$CA$2,Model!$A79)</f>
        <v>-4.6824948841968311E-6</v>
      </c>
      <c r="CE79" s="189">
        <f ca="1">'Tablica IO'!CG235*INDEX(Model!$C$93:$CA$93,Model!$A79)+'Tablica IO'!CG313*INDEX(Model!$C$2:$CA$2,Model!$A79)</f>
        <v>2.0784800770929127E-4</v>
      </c>
    </row>
    <row r="80" spans="1:83" x14ac:dyDescent="0.25">
      <c r="A80" s="164">
        <v>68</v>
      </c>
      <c r="B80" s="172" t="s">
        <v>67</v>
      </c>
      <c r="C80" s="221" cm="1">
        <f t="array" aca="1" ref="C80" ca="1">'Tablica IO'!C236*INDEX(Model!$C$93:$CA$93,Model!$A80) + IF(wplyw_cen_import_wlaczony,'Tablica IO'!C314*INDEX(Model!$C$2:$CA$2,Model!$A80),'Tablica IO'!C314*1)</f>
        <v>2.847268037114436E-4</v>
      </c>
      <c r="D80" s="222" cm="1">
        <f t="array" aca="1" ref="D80" ca="1">'Tablica IO'!D236*INDEX(Model!$C$93:$CA$93,Model!$A80) + IF(wplyw_cen_import_wlaczony,'Tablica IO'!D314*INDEX(Model!$C$2:$CA$2,Model!$A80),'Tablica IO'!D314*1)</f>
        <v>2.9661318825997314E-4</v>
      </c>
      <c r="E80" s="222" cm="1">
        <f t="array" aca="1" ref="E80" ca="1">'Tablica IO'!E236*INDEX(Model!$C$93:$CA$93,Model!$A80) + IF(wplyw_cen_import_wlaczony,'Tablica IO'!E314*INDEX(Model!$C$2:$CA$2,Model!$A80),'Tablica IO'!E314*1)</f>
        <v>7.1527400429133455E-4</v>
      </c>
      <c r="F80" s="222" cm="1">
        <f t="array" aca="1" ref="F80" ca="1">'Tablica IO'!F236*INDEX(Model!$C$93:$CA$93,Model!$A80) + IF(wplyw_cen_import_wlaczony,'Tablica IO'!F314*INDEX(Model!$C$2:$CA$2,Model!$A80),'Tablica IO'!F314*1)</f>
        <v>2.2335784809880953E-4</v>
      </c>
      <c r="G80" s="222" cm="1">
        <f t="array" aca="1" ref="G80" ca="1">'Tablica IO'!G236*INDEX(Model!$C$93:$CA$93,Model!$A80) + IF(wplyw_cen_import_wlaczony,'Tablica IO'!G314*INDEX(Model!$C$2:$CA$2,Model!$A80),'Tablica IO'!G314*1)</f>
        <v>4.8598810158799797E-4</v>
      </c>
      <c r="H80" s="222" cm="1">
        <f t="array" aca="1" ref="H80" ca="1">'Tablica IO'!H236*INDEX(Model!$C$93:$CA$93,Model!$A80) + IF(wplyw_cen_import_wlaczony,'Tablica IO'!H314*INDEX(Model!$C$2:$CA$2,Model!$A80),'Tablica IO'!H314*1)</f>
        <v>5.944654361779518E-4</v>
      </c>
      <c r="I80" s="222" cm="1">
        <f t="array" aca="1" ref="I80" ca="1">'Tablica IO'!I236*INDEX(Model!$C$93:$CA$93,Model!$A80) + IF(wplyw_cen_import_wlaczony,'Tablica IO'!I314*INDEX(Model!$C$2:$CA$2,Model!$A80),'Tablica IO'!I314*1)</f>
        <v>7.8742102958823644E-4</v>
      </c>
      <c r="J80" s="222" cm="1">
        <f t="array" aca="1" ref="J80" ca="1">'Tablica IO'!J236*INDEX(Model!$C$93:$CA$93,Model!$A80) + IF(wplyw_cen_import_wlaczony,'Tablica IO'!J314*INDEX(Model!$C$2:$CA$2,Model!$A80),'Tablica IO'!J314*1)</f>
        <v>1.7938549436482878E-4</v>
      </c>
      <c r="K80" s="222" cm="1">
        <f t="array" aca="1" ref="K80" ca="1">'Tablica IO'!K236*INDEX(Model!$C$93:$CA$93,Model!$A80) + IF(wplyw_cen_import_wlaczony,'Tablica IO'!K314*INDEX(Model!$C$2:$CA$2,Model!$A80),'Tablica IO'!K314*1)</f>
        <v>4.6541992800832086E-4</v>
      </c>
      <c r="L80" s="222" cm="1">
        <f t="array" aca="1" ref="L80" ca="1">'Tablica IO'!L236*INDEX(Model!$C$93:$CA$93,Model!$A80) + IF(wplyw_cen_import_wlaczony,'Tablica IO'!L314*INDEX(Model!$C$2:$CA$2,Model!$A80),'Tablica IO'!L314*1)</f>
        <v>4.3283266464661836E-4</v>
      </c>
      <c r="M80" s="222" cm="1">
        <f t="array" aca="1" ref="M80" ca="1">'Tablica IO'!M236*INDEX(Model!$C$93:$CA$93,Model!$A80) + IF(wplyw_cen_import_wlaczony,'Tablica IO'!M314*INDEX(Model!$C$2:$CA$2,Model!$A80),'Tablica IO'!M314*1)</f>
        <v>3.0106854951698941E-4</v>
      </c>
      <c r="N80" s="222" cm="1">
        <f t="array" aca="1" ref="N80" ca="1">'Tablica IO'!N236*INDEX(Model!$C$93:$CA$93,Model!$A80) + IF(wplyw_cen_import_wlaczony,'Tablica IO'!N314*INDEX(Model!$C$2:$CA$2,Model!$A80),'Tablica IO'!N314*1)</f>
        <v>3.1942532930427951E-4</v>
      </c>
      <c r="O80" s="222" cm="1">
        <f t="array" aca="1" ref="O80" ca="1">'Tablica IO'!O236*INDEX(Model!$C$93:$CA$93,Model!$A80) + IF(wplyw_cen_import_wlaczony,'Tablica IO'!O314*INDEX(Model!$C$2:$CA$2,Model!$A80),'Tablica IO'!O314*1)</f>
        <v>1.9196091229818388E-4</v>
      </c>
      <c r="P80" s="222" cm="1">
        <f t="array" aca="1" ref="P80" ca="1">'Tablica IO'!P236*INDEX(Model!$C$93:$CA$93,Model!$A80) + IF(wplyw_cen_import_wlaczony,'Tablica IO'!P314*INDEX(Model!$C$2:$CA$2,Model!$A80),'Tablica IO'!P314*1)</f>
        <v>6.9973301724982398E-4</v>
      </c>
      <c r="Q80" s="222" cm="1">
        <f t="array" aca="1" ref="Q80" ca="1">'Tablica IO'!Q236*INDEX(Model!$C$93:$CA$93,Model!$A80) + IF(wplyw_cen_import_wlaczony,'Tablica IO'!Q314*INDEX(Model!$C$2:$CA$2,Model!$A80),'Tablica IO'!Q314*1)</f>
        <v>1.09350980393874E-4</v>
      </c>
      <c r="R80" s="222" cm="1">
        <f t="array" aca="1" ref="R80" ca="1">'Tablica IO'!R236*INDEX(Model!$C$93:$CA$93,Model!$A80) + IF(wplyw_cen_import_wlaczony,'Tablica IO'!R314*INDEX(Model!$C$2:$CA$2,Model!$A80),'Tablica IO'!R314*1)</f>
        <v>2.9472059034171854E-4</v>
      </c>
      <c r="S80" s="222" cm="1">
        <f t="array" aca="1" ref="S80" ca="1">'Tablica IO'!S236*INDEX(Model!$C$93:$CA$93,Model!$A80) + IF(wplyw_cen_import_wlaczony,'Tablica IO'!S314*INDEX(Model!$C$2:$CA$2,Model!$A80),'Tablica IO'!S314*1)</f>
        <v>6.3093131911557516E-4</v>
      </c>
      <c r="T80" s="222" cm="1">
        <f t="array" aca="1" ref="T80" ca="1">'Tablica IO'!T236*INDEX(Model!$C$93:$CA$93,Model!$A80) + IF(wplyw_cen_import_wlaczony,'Tablica IO'!T314*INDEX(Model!$C$2:$CA$2,Model!$A80),'Tablica IO'!T314*1)</f>
        <v>4.3077651247245798E-4</v>
      </c>
      <c r="U80" s="222" cm="1">
        <f t="array" aca="1" ref="U80" ca="1">'Tablica IO'!U236*INDEX(Model!$C$93:$CA$93,Model!$A80) + IF(wplyw_cen_import_wlaczony,'Tablica IO'!U314*INDEX(Model!$C$2:$CA$2,Model!$A80),'Tablica IO'!U314*1)</f>
        <v>4.7482145844876013E-4</v>
      </c>
      <c r="V80" s="222" cm="1">
        <f t="array" aca="1" ref="V80" ca="1">'Tablica IO'!V236*INDEX(Model!$C$93:$CA$93,Model!$A80) + IF(wplyw_cen_import_wlaczony,'Tablica IO'!V314*INDEX(Model!$C$2:$CA$2,Model!$A80),'Tablica IO'!V314*1)</f>
        <v>6.5346188643896502E-4</v>
      </c>
      <c r="W80" s="222" cm="1">
        <f t="array" aca="1" ref="W80" ca="1">'Tablica IO'!W236*INDEX(Model!$C$93:$CA$93,Model!$A80) + IF(wplyw_cen_import_wlaczony,'Tablica IO'!W314*INDEX(Model!$C$2:$CA$2,Model!$A80),'Tablica IO'!W314*1)</f>
        <v>4.9339340713231566E-4</v>
      </c>
      <c r="X80" s="222" cm="1">
        <f t="array" aca="1" ref="X80" ca="1">'Tablica IO'!X236*INDEX(Model!$C$93:$CA$93,Model!$A80) + IF(wplyw_cen_import_wlaczony,'Tablica IO'!X314*INDEX(Model!$C$2:$CA$2,Model!$A80),'Tablica IO'!X314*1)</f>
        <v>1.1878770323314674E-4</v>
      </c>
      <c r="Y80" s="222" cm="1">
        <f t="array" aca="1" ref="Y80" ca="1">'Tablica IO'!Y236*INDEX(Model!$C$93:$CA$93,Model!$A80) + IF(wplyw_cen_import_wlaczony,'Tablica IO'!Y314*INDEX(Model!$C$2:$CA$2,Model!$A80),'Tablica IO'!Y314*1)</f>
        <v>8.8583974361213186E-4</v>
      </c>
      <c r="Z80" s="222" cm="1">
        <f t="array" aca="1" ref="Z80" ca="1">'Tablica IO'!Z236*INDEX(Model!$C$93:$CA$93,Model!$A80) + IF(wplyw_cen_import_wlaczony,'Tablica IO'!Z314*INDEX(Model!$C$2:$CA$2,Model!$A80),'Tablica IO'!Z314*1)</f>
        <v>7.6989194653887373E-4</v>
      </c>
      <c r="AA80" s="222" cm="1">
        <f t="array" aca="1" ref="AA80" ca="1">'Tablica IO'!AA236*INDEX(Model!$C$93:$CA$93,Model!$A80) + IF(wplyw_cen_import_wlaczony,'Tablica IO'!AA314*INDEX(Model!$C$2:$CA$2,Model!$A80),'Tablica IO'!AA314*1)</f>
        <v>3.9648238175583655E-4</v>
      </c>
      <c r="AB80" s="222" cm="1">
        <f t="array" aca="1" ref="AB80" ca="1">'Tablica IO'!AB236*INDEX(Model!$C$93:$CA$93,Model!$A80) + IF(wplyw_cen_import_wlaczony,'Tablica IO'!AB314*INDEX(Model!$C$2:$CA$2,Model!$A80),'Tablica IO'!AB314*1)</f>
        <v>5.4800406732709978E-4</v>
      </c>
      <c r="AC80" s="222" cm="1">
        <f t="array" aca="1" ref="AC80" ca="1">'Tablica IO'!AC236*INDEX(Model!$C$93:$CA$93,Model!$A80) + IF(wplyw_cen_import_wlaczony,'Tablica IO'!AC314*INDEX(Model!$C$2:$CA$2,Model!$A80),'Tablica IO'!AC314*1)</f>
        <v>2.7392748777289248E-4</v>
      </c>
      <c r="AD80" s="222" cm="1">
        <f t="array" aca="1" ref="AD80" ca="1">'Tablica IO'!AD236*INDEX(Model!$C$93:$CA$93,Model!$A80) + IF(wplyw_cen_import_wlaczony,'Tablica IO'!AD314*INDEX(Model!$C$2:$CA$2,Model!$A80),'Tablica IO'!AD314*1)</f>
        <v>4.617926579026076E-4</v>
      </c>
      <c r="AE80" s="222" cm="1">
        <f t="array" aca="1" ref="AE80" ca="1">'Tablica IO'!AE236*INDEX(Model!$C$93:$CA$93,Model!$A80) + IF(wplyw_cen_import_wlaczony,'Tablica IO'!AE314*INDEX(Model!$C$2:$CA$2,Model!$A80),'Tablica IO'!AE314*1)</f>
        <v>4.7370124940324993E-4</v>
      </c>
      <c r="AF80" s="222" cm="1">
        <f t="array" aca="1" ref="AF80" ca="1">'Tablica IO'!AF236*INDEX(Model!$C$93:$CA$93,Model!$A80) + IF(wplyw_cen_import_wlaczony,'Tablica IO'!AF314*INDEX(Model!$C$2:$CA$2,Model!$A80),'Tablica IO'!AF314*1)</f>
        <v>8.7257730523672482E-4</v>
      </c>
      <c r="AG80" s="222" cm="1">
        <f t="array" aca="1" ref="AG80" ca="1">'Tablica IO'!AG236*INDEX(Model!$C$93:$CA$93,Model!$A80) + IF(wplyw_cen_import_wlaczony,'Tablica IO'!AG314*INDEX(Model!$C$2:$CA$2,Model!$A80),'Tablica IO'!AG314*1)</f>
        <v>7.6551864126636875E-4</v>
      </c>
      <c r="AH80" s="222" cm="1">
        <f t="array" aca="1" ref="AH80" ca="1">'Tablica IO'!AH236*INDEX(Model!$C$93:$CA$93,Model!$A80) + IF(wplyw_cen_import_wlaczony,'Tablica IO'!AH314*INDEX(Model!$C$2:$CA$2,Model!$A80),'Tablica IO'!AH314*1)</f>
        <v>7.4707257580158793E-4</v>
      </c>
      <c r="AI80" s="222" cm="1">
        <f t="array" aca="1" ref="AI80" ca="1">'Tablica IO'!AI236*INDEX(Model!$C$93:$CA$93,Model!$A80) + IF(wplyw_cen_import_wlaczony,'Tablica IO'!AI314*INDEX(Model!$C$2:$CA$2,Model!$A80),'Tablica IO'!AI314*1)</f>
        <v>4.4478506774994785E-4</v>
      </c>
      <c r="AJ80" s="222" cm="1">
        <f t="array" aca="1" ref="AJ80" ca="1">'Tablica IO'!AJ236*INDEX(Model!$C$93:$CA$93,Model!$A80) + IF(wplyw_cen_import_wlaczony,'Tablica IO'!AJ314*INDEX(Model!$C$2:$CA$2,Model!$A80),'Tablica IO'!AJ314*1)</f>
        <v>4.4137357697467225E-4</v>
      </c>
      <c r="AK80" s="222" cm="1">
        <f t="array" aca="1" ref="AK80" ca="1">'Tablica IO'!AK236*INDEX(Model!$C$93:$CA$93,Model!$A80) + IF(wplyw_cen_import_wlaczony,'Tablica IO'!AK314*INDEX(Model!$C$2:$CA$2,Model!$A80),'Tablica IO'!AK314*1)</f>
        <v>3.2754732556061712E-4</v>
      </c>
      <c r="AL80" s="222" cm="1">
        <f t="array" aca="1" ref="AL80" ca="1">'Tablica IO'!AL236*INDEX(Model!$C$93:$CA$93,Model!$A80) + IF(wplyw_cen_import_wlaczony,'Tablica IO'!AL314*INDEX(Model!$C$2:$CA$2,Model!$A80),'Tablica IO'!AL314*1)</f>
        <v>1.1071076654876099E-3</v>
      </c>
      <c r="AM80" s="222" cm="1">
        <f t="array" aca="1" ref="AM80" ca="1">'Tablica IO'!AM236*INDEX(Model!$C$93:$CA$93,Model!$A80) + IF(wplyw_cen_import_wlaczony,'Tablica IO'!AM314*INDEX(Model!$C$2:$CA$2,Model!$A80),'Tablica IO'!AM314*1)</f>
        <v>4.2253379393975801E-4</v>
      </c>
      <c r="AN80" s="222" cm="1">
        <f t="array" aca="1" ref="AN80" ca="1">'Tablica IO'!AN236*INDEX(Model!$C$93:$CA$93,Model!$A80) + IF(wplyw_cen_import_wlaczony,'Tablica IO'!AN314*INDEX(Model!$C$2:$CA$2,Model!$A80),'Tablica IO'!AN314*1)</f>
        <v>5.0855074069274257E-4</v>
      </c>
      <c r="AO80" s="222" cm="1">
        <f t="array" aca="1" ref="AO80" ca="1">'Tablica IO'!AO236*INDEX(Model!$C$93:$CA$93,Model!$A80) + IF(wplyw_cen_import_wlaczony,'Tablica IO'!AO314*INDEX(Model!$C$2:$CA$2,Model!$A80),'Tablica IO'!AO314*1)</f>
        <v>2.4176764712311236E-4</v>
      </c>
      <c r="AP80" s="222" cm="1">
        <f t="array" aca="1" ref="AP80" ca="1">'Tablica IO'!AP236*INDEX(Model!$C$93:$CA$93,Model!$A80) + IF(wplyw_cen_import_wlaczony,'Tablica IO'!AP314*INDEX(Model!$C$2:$CA$2,Model!$A80),'Tablica IO'!AP314*1)</f>
        <v>8.8064608007400798E-4</v>
      </c>
      <c r="AQ80" s="222" cm="1">
        <f t="array" aca="1" ref="AQ80" ca="1">'Tablica IO'!AQ236*INDEX(Model!$C$93:$CA$93,Model!$A80) + IF(wplyw_cen_import_wlaczony,'Tablica IO'!AQ314*INDEX(Model!$C$2:$CA$2,Model!$A80),'Tablica IO'!AQ314*1)</f>
        <v>4.3205811621372251E-3</v>
      </c>
      <c r="AR80" s="222" cm="1">
        <f t="array" aca="1" ref="AR80" ca="1">'Tablica IO'!AR236*INDEX(Model!$C$93:$CA$93,Model!$A80) + IF(wplyw_cen_import_wlaczony,'Tablica IO'!AR314*INDEX(Model!$C$2:$CA$2,Model!$A80),'Tablica IO'!AR314*1)</f>
        <v>9.4392716750705099E-4</v>
      </c>
      <c r="AS80" s="222" cm="1">
        <f t="array" aca="1" ref="AS80" ca="1">'Tablica IO'!AS236*INDEX(Model!$C$93:$CA$93,Model!$A80) + IF(wplyw_cen_import_wlaczony,'Tablica IO'!AS314*INDEX(Model!$C$2:$CA$2,Model!$A80),'Tablica IO'!AS314*1)</f>
        <v>5.1273751719709579E-4</v>
      </c>
      <c r="AT80" s="222" cm="1">
        <f t="array" aca="1" ref="AT80" ca="1">'Tablica IO'!AT236*INDEX(Model!$C$93:$CA$93,Model!$A80) + IF(wplyw_cen_import_wlaczony,'Tablica IO'!AT314*INDEX(Model!$C$2:$CA$2,Model!$A80),'Tablica IO'!AT314*1)</f>
        <v>8.4038089923285262E-4</v>
      </c>
      <c r="AU80" s="222" cm="1">
        <f t="array" aca="1" ref="AU80" ca="1">'Tablica IO'!AU236*INDEX(Model!$C$93:$CA$93,Model!$A80) + IF(wplyw_cen_import_wlaczony,'Tablica IO'!AU314*INDEX(Model!$C$2:$CA$2,Model!$A80),'Tablica IO'!AU314*1)</f>
        <v>6.2783496447157384E-6</v>
      </c>
      <c r="AV80" s="222" cm="1">
        <f t="array" aca="1" ref="AV80" ca="1">'Tablica IO'!AV236*INDEX(Model!$C$93:$CA$93,Model!$A80) + IF(wplyw_cen_import_wlaczony,'Tablica IO'!AV314*INDEX(Model!$C$2:$CA$2,Model!$A80),'Tablica IO'!AV314*1)</f>
        <v>5.8830428082023501E-4</v>
      </c>
      <c r="AW80" s="222" cm="1">
        <f t="array" aca="1" ref="AW80" ca="1">'Tablica IO'!AW236*INDEX(Model!$C$93:$CA$93,Model!$A80) + IF(wplyw_cen_import_wlaczony,'Tablica IO'!AW314*INDEX(Model!$C$2:$CA$2,Model!$A80),'Tablica IO'!AW314*1)</f>
        <v>1.4257557574121036E-3</v>
      </c>
      <c r="AX80" s="222" cm="1">
        <f t="array" aca="1" ref="AX80" ca="1">'Tablica IO'!AX236*INDEX(Model!$C$93:$CA$93,Model!$A80) + IF(wplyw_cen_import_wlaczony,'Tablica IO'!AX314*INDEX(Model!$C$2:$CA$2,Model!$A80),'Tablica IO'!AX314*1)</f>
        <v>5.4091373570408184E-3</v>
      </c>
      <c r="AY80" s="222" cm="1">
        <f t="array" aca="1" ref="AY80" ca="1">'Tablica IO'!AY236*INDEX(Model!$C$93:$CA$93,Model!$A80) + IF(wplyw_cen_import_wlaczony,'Tablica IO'!AY314*INDEX(Model!$C$2:$CA$2,Model!$A80),'Tablica IO'!AY314*1)</f>
        <v>2.8081897819355194E-4</v>
      </c>
      <c r="AZ80" s="222" cm="1">
        <f t="array" aca="1" ref="AZ80" ca="1">'Tablica IO'!AZ236*INDEX(Model!$C$93:$CA$93,Model!$A80) + IF(wplyw_cen_import_wlaczony,'Tablica IO'!AZ314*INDEX(Model!$C$2:$CA$2,Model!$A80),'Tablica IO'!AZ314*1)</f>
        <v>5.3656777175550266E-4</v>
      </c>
      <c r="BA80" s="222" cm="1">
        <f t="array" aca="1" ref="BA80" ca="1">'Tablica IO'!BA236*INDEX(Model!$C$93:$CA$93,Model!$A80) + IF(wplyw_cen_import_wlaczony,'Tablica IO'!BA314*INDEX(Model!$C$2:$CA$2,Model!$A80),'Tablica IO'!BA314*1)</f>
        <v>7.2231809772903472E-4</v>
      </c>
      <c r="BB80" s="222" cm="1">
        <f t="array" aca="1" ref="BB80" ca="1">'Tablica IO'!BB236*INDEX(Model!$C$93:$CA$93,Model!$A80) + IF(wplyw_cen_import_wlaczony,'Tablica IO'!BB314*INDEX(Model!$C$2:$CA$2,Model!$A80),'Tablica IO'!BB314*1)</f>
        <v>1.965176328313189E-4</v>
      </c>
      <c r="BC80" s="222" cm="1">
        <f t="array" aca="1" ref="BC80" ca="1">'Tablica IO'!BC236*INDEX(Model!$C$93:$CA$93,Model!$A80) + IF(wplyw_cen_import_wlaczony,'Tablica IO'!BC314*INDEX(Model!$C$2:$CA$2,Model!$A80),'Tablica IO'!BC314*1)</f>
        <v>1.1876236961316853E-3</v>
      </c>
      <c r="BD80" s="222" cm="1">
        <f t="array" aca="1" ref="BD80" ca="1">'Tablica IO'!BD236*INDEX(Model!$C$93:$CA$93,Model!$A80) + IF(wplyw_cen_import_wlaczony,'Tablica IO'!BD314*INDEX(Model!$C$2:$CA$2,Model!$A80),'Tablica IO'!BD314*1)</f>
        <v>1.7272414710036547E-3</v>
      </c>
      <c r="BE80" s="222" cm="1">
        <f t="array" aca="1" ref="BE80" ca="1">'Tablica IO'!BE236*INDEX(Model!$C$93:$CA$93,Model!$A80) + IF(wplyw_cen_import_wlaczony,'Tablica IO'!BE314*INDEX(Model!$C$2:$CA$2,Model!$A80),'Tablica IO'!BE314*1)</f>
        <v>4.216825656752537E-4</v>
      </c>
      <c r="BF80" s="222" cm="1">
        <f t="array" aca="1" ref="BF80" ca="1">'Tablica IO'!BF236*INDEX(Model!$C$93:$CA$93,Model!$A80) + IF(wplyw_cen_import_wlaczony,'Tablica IO'!BF314*INDEX(Model!$C$2:$CA$2,Model!$A80),'Tablica IO'!BF314*1)</f>
        <v>1.9452988034936467E-3</v>
      </c>
      <c r="BG80" s="222" cm="1">
        <f t="array" aca="1" ref="BG80" ca="1">'Tablica IO'!BG236*INDEX(Model!$C$93:$CA$93,Model!$A80) + IF(wplyw_cen_import_wlaczony,'Tablica IO'!BG314*INDEX(Model!$C$2:$CA$2,Model!$A80),'Tablica IO'!BG314*1)</f>
        <v>9.2458336762680127E-4</v>
      </c>
      <c r="BH80" s="222" cm="1">
        <f t="array" aca="1" ref="BH80" ca="1">'Tablica IO'!BH236*INDEX(Model!$C$93:$CA$93,Model!$A80) + IF(wplyw_cen_import_wlaczony,'Tablica IO'!BH314*INDEX(Model!$C$2:$CA$2,Model!$A80),'Tablica IO'!BH314*1)</f>
        <v>4.9197761339871181E-4</v>
      </c>
      <c r="BI80" s="222" cm="1">
        <f t="array" aca="1" ref="BI80" ca="1">'Tablica IO'!BI236*INDEX(Model!$C$93:$CA$93,Model!$A80) + IF(wplyw_cen_import_wlaczony,'Tablica IO'!BI314*INDEX(Model!$C$2:$CA$2,Model!$A80),'Tablica IO'!BI314*1)</f>
        <v>4.2059391459690256E-3</v>
      </c>
      <c r="BJ80" s="222" cm="1">
        <f t="array" aca="1" ref="BJ80" ca="1">'Tablica IO'!BJ236*INDEX(Model!$C$93:$CA$93,Model!$A80) + IF(wplyw_cen_import_wlaczony,'Tablica IO'!BJ314*INDEX(Model!$C$2:$CA$2,Model!$A80),'Tablica IO'!BJ314*1)</f>
        <v>4.6688954902708547E-4</v>
      </c>
      <c r="BK80" s="222" cm="1">
        <f t="array" aca="1" ref="BK80" ca="1">'Tablica IO'!BK236*INDEX(Model!$C$93:$CA$93,Model!$A80) + IF(wplyw_cen_import_wlaczony,'Tablica IO'!BK314*INDEX(Model!$C$2:$CA$2,Model!$A80),'Tablica IO'!BK314*1)</f>
        <v>3.9694072075257035E-3</v>
      </c>
      <c r="BL80" s="222" cm="1">
        <f t="array" aca="1" ref="BL80" ca="1">'Tablica IO'!BL236*INDEX(Model!$C$93:$CA$93,Model!$A80) + IF(wplyw_cen_import_wlaczony,'Tablica IO'!BL314*INDEX(Model!$C$2:$CA$2,Model!$A80),'Tablica IO'!BL314*1)</f>
        <v>8.1897444122267101E-4</v>
      </c>
      <c r="BM80" s="222" cm="1">
        <f t="array" aca="1" ref="BM80" ca="1">'Tablica IO'!BM236*INDEX(Model!$C$93:$CA$93,Model!$A80) + IF(wplyw_cen_import_wlaczony,'Tablica IO'!BM314*INDEX(Model!$C$2:$CA$2,Model!$A80),'Tablica IO'!BM314*1)</f>
        <v>1.2766328548541085E-3</v>
      </c>
      <c r="BN80" s="222" cm="1">
        <f t="array" aca="1" ref="BN80" ca="1">'Tablica IO'!BN236*INDEX(Model!$C$93:$CA$93,Model!$A80) + IF(wplyw_cen_import_wlaczony,'Tablica IO'!BN314*INDEX(Model!$C$2:$CA$2,Model!$A80),'Tablica IO'!BN314*1)</f>
        <v>1.2643743347927159E-3</v>
      </c>
      <c r="BO80" s="222" cm="1">
        <f t="array" aca="1" ref="BO80" ca="1">'Tablica IO'!BO236*INDEX(Model!$C$93:$CA$93,Model!$A80) + IF(wplyw_cen_import_wlaczony,'Tablica IO'!BO314*INDEX(Model!$C$2:$CA$2,Model!$A80),'Tablica IO'!BO314*1)</f>
        <v>2.5817321829252777E-4</v>
      </c>
      <c r="BP80" s="222" cm="1">
        <f t="array" aca="1" ref="BP80" ca="1">'Tablica IO'!BP236*INDEX(Model!$C$93:$CA$93,Model!$A80) + IF(wplyw_cen_import_wlaczony,'Tablica IO'!BP314*INDEX(Model!$C$2:$CA$2,Model!$A80),'Tablica IO'!BP314*1)</f>
        <v>2.9184938227596411E-3</v>
      </c>
      <c r="BQ80" s="222" cm="1">
        <f t="array" aca="1" ref="BQ80" ca="1">'Tablica IO'!BQ236*INDEX(Model!$C$93:$CA$93,Model!$A80) + IF(wplyw_cen_import_wlaczony,'Tablica IO'!BQ314*INDEX(Model!$C$2:$CA$2,Model!$A80),'Tablica IO'!BQ314*1)</f>
        <v>1.1249591304237816E-3</v>
      </c>
      <c r="BR80" s="222" cm="1">
        <f t="array" aca="1" ref="BR80" ca="1">'Tablica IO'!BR236*INDEX(Model!$C$93:$CA$93,Model!$A80) + IF(wplyw_cen_import_wlaczony,'Tablica IO'!BR314*INDEX(Model!$C$2:$CA$2,Model!$A80),'Tablica IO'!BR314*1)</f>
        <v>0.16220673985136644</v>
      </c>
      <c r="BS80" s="222" cm="1">
        <f t="array" aca="1" ref="BS80" ca="1">'Tablica IO'!BS236*INDEX(Model!$C$93:$CA$93,Model!$A80) + IF(wplyw_cen_import_wlaczony,'Tablica IO'!BS314*INDEX(Model!$C$2:$CA$2,Model!$A80),'Tablica IO'!BS314*1)</f>
        <v>9.2624809372990766E-2</v>
      </c>
      <c r="BT80" s="222" cm="1">
        <f t="array" aca="1" ref="BT80" ca="1">'Tablica IO'!BT236*INDEX(Model!$C$93:$CA$93,Model!$A80) + IF(wplyw_cen_import_wlaczony,'Tablica IO'!BT314*INDEX(Model!$C$2:$CA$2,Model!$A80),'Tablica IO'!BT314*1)</f>
        <v>7.8633768345980667E-4</v>
      </c>
      <c r="BU80" s="222" cm="1">
        <f t="array" aca="1" ref="BU80" ca="1">'Tablica IO'!BU236*INDEX(Model!$C$93:$CA$93,Model!$A80) + IF(wplyw_cen_import_wlaczony,'Tablica IO'!BU314*INDEX(Model!$C$2:$CA$2,Model!$A80),'Tablica IO'!BU314*1)</f>
        <v>4.931204660959265E-4</v>
      </c>
      <c r="BV80" s="222" cm="1">
        <f t="array" aca="1" ref="BV80" ca="1">'Tablica IO'!BV236*INDEX(Model!$C$93:$CA$93,Model!$A80) + IF(wplyw_cen_import_wlaczony,'Tablica IO'!BV314*INDEX(Model!$C$2:$CA$2,Model!$A80),'Tablica IO'!BV314*1)</f>
        <v>3.3906441219612472E-5</v>
      </c>
      <c r="BW80" s="222" cm="1">
        <f t="array" aca="1" ref="BW80" ca="1">'Tablica IO'!BW236*INDEX(Model!$C$93:$CA$93,Model!$A80) + IF(wplyw_cen_import_wlaczony,'Tablica IO'!BW314*INDEX(Model!$C$2:$CA$2,Model!$A80),'Tablica IO'!BW314*1)</f>
        <v>4.1469023197373235E-3</v>
      </c>
      <c r="BX80" s="222" cm="1">
        <f t="array" aca="1" ref="BX80" ca="1">'Tablica IO'!BX236*INDEX(Model!$C$93:$CA$93,Model!$A80) + IF(wplyw_cen_import_wlaczony,'Tablica IO'!BX314*INDEX(Model!$C$2:$CA$2,Model!$A80),'Tablica IO'!BX314*1)</f>
        <v>3.9398966383755608E-4</v>
      </c>
      <c r="BY80" s="222" cm="1">
        <f t="array" aca="1" ref="BY80" ca="1">'Tablica IO'!BY236*INDEX(Model!$C$93:$CA$93,Model!$A80) + IF(wplyw_cen_import_wlaczony,'Tablica IO'!BY314*INDEX(Model!$C$2:$CA$2,Model!$A80),'Tablica IO'!BY314*1)</f>
        <v>9.5805647227642054E-5</v>
      </c>
      <c r="BZ80" s="222" cm="1">
        <f t="array" aca="1" ref="BZ80" ca="1">'Tablica IO'!BZ236*INDEX(Model!$C$93:$CA$93,Model!$A80) + IF(wplyw_cen_import_wlaczony,'Tablica IO'!BZ314*INDEX(Model!$C$2:$CA$2,Model!$A80),'Tablica IO'!BZ314*1)</f>
        <v>6.1629984919893725E-4</v>
      </c>
      <c r="CA80" s="222" cm="1">
        <f t="array" aca="1" ref="CA80" ca="1">'Tablica IO'!CA236*INDEX(Model!$C$93:$CA$93,Model!$A80) + IF(wplyw_cen_import_wlaczony,'Tablica IO'!CA314*INDEX(Model!$C$2:$CA$2,Model!$A80),'Tablica IO'!CA314*1)</f>
        <v>0</v>
      </c>
      <c r="CB80" s="247">
        <f ca="1">'Tablica IO'!CD236*INDEX(Model!$C$93:$CA$93,Model!$A80)+'Tablica IO'!CD314*INDEX(Model!$C$2:$CA$2,Model!$A80)</f>
        <v>2.9044458750940555E-2</v>
      </c>
      <c r="CC80" s="188">
        <f ca="1">'Tablica IO'!CE236*INDEX(Model!$C$93:$CA$93,Model!$A80)+'Tablica IO'!CE314*INDEX(Model!$C$2:$CA$2,Model!$A80)</f>
        <v>0.1792483822175438</v>
      </c>
      <c r="CD80" s="188">
        <f ca="1">'Tablica IO'!CF236*INDEX(Model!$C$93:$CA$93,Model!$A80)+'Tablica IO'!CF314*INDEX(Model!$C$2:$CA$2,Model!$A80)</f>
        <v>-4.2899168595975814E-6</v>
      </c>
      <c r="CE80" s="189">
        <f ca="1">'Tablica IO'!CG236*INDEX(Model!$C$93:$CA$93,Model!$A80)+'Tablica IO'!CG314*INDEX(Model!$C$2:$CA$2,Model!$A80)</f>
        <v>6.1631951789810997E-4</v>
      </c>
    </row>
    <row r="81" spans="1:83" x14ac:dyDescent="0.25">
      <c r="A81" s="164">
        <v>69</v>
      </c>
      <c r="B81" s="172" t="s">
        <v>68</v>
      </c>
      <c r="C81" s="221" cm="1">
        <f t="array" aca="1" ref="C81" ca="1">'Tablica IO'!C237*INDEX(Model!$C$93:$CA$93,Model!$A81) + IF(wplyw_cen_import_wlaczony,'Tablica IO'!C315*INDEX(Model!$C$2:$CA$2,Model!$A81),'Tablica IO'!C315*1)</f>
        <v>0</v>
      </c>
      <c r="D81" s="222" cm="1">
        <f t="array" aca="1" ref="D81" ca="1">'Tablica IO'!D237*INDEX(Model!$C$93:$CA$93,Model!$A81) + IF(wplyw_cen_import_wlaczony,'Tablica IO'!D315*INDEX(Model!$C$2:$CA$2,Model!$A81),'Tablica IO'!D315*1)</f>
        <v>0</v>
      </c>
      <c r="E81" s="222" cm="1">
        <f t="array" aca="1" ref="E81" ca="1">'Tablica IO'!E237*INDEX(Model!$C$93:$CA$93,Model!$A81) + IF(wplyw_cen_import_wlaczony,'Tablica IO'!E315*INDEX(Model!$C$2:$CA$2,Model!$A81),'Tablica IO'!E315*1)</f>
        <v>0</v>
      </c>
      <c r="F81" s="222" cm="1">
        <f t="array" aca="1" ref="F81" ca="1">'Tablica IO'!F237*INDEX(Model!$C$93:$CA$93,Model!$A81) + IF(wplyw_cen_import_wlaczony,'Tablica IO'!F315*INDEX(Model!$C$2:$CA$2,Model!$A81),'Tablica IO'!F315*1)</f>
        <v>0</v>
      </c>
      <c r="G81" s="222" cm="1">
        <f t="array" aca="1" ref="G81" ca="1">'Tablica IO'!G237*INDEX(Model!$C$93:$CA$93,Model!$A81) + IF(wplyw_cen_import_wlaczony,'Tablica IO'!G315*INDEX(Model!$C$2:$CA$2,Model!$A81),'Tablica IO'!G315*1)</f>
        <v>0</v>
      </c>
      <c r="H81" s="222" cm="1">
        <f t="array" aca="1" ref="H81" ca="1">'Tablica IO'!H237*INDEX(Model!$C$93:$CA$93,Model!$A81) + IF(wplyw_cen_import_wlaczony,'Tablica IO'!H315*INDEX(Model!$C$2:$CA$2,Model!$A81),'Tablica IO'!H315*1)</f>
        <v>0</v>
      </c>
      <c r="I81" s="222" cm="1">
        <f t="array" aca="1" ref="I81" ca="1">'Tablica IO'!I237*INDEX(Model!$C$93:$CA$93,Model!$A81) + IF(wplyw_cen_import_wlaczony,'Tablica IO'!I315*INDEX(Model!$C$2:$CA$2,Model!$A81),'Tablica IO'!I315*1)</f>
        <v>0</v>
      </c>
      <c r="J81" s="222" cm="1">
        <f t="array" aca="1" ref="J81" ca="1">'Tablica IO'!J237*INDEX(Model!$C$93:$CA$93,Model!$A81) + IF(wplyw_cen_import_wlaczony,'Tablica IO'!J315*INDEX(Model!$C$2:$CA$2,Model!$A81),'Tablica IO'!J315*1)</f>
        <v>0</v>
      </c>
      <c r="K81" s="222" cm="1">
        <f t="array" aca="1" ref="K81" ca="1">'Tablica IO'!K237*INDEX(Model!$C$93:$CA$93,Model!$A81) + IF(wplyw_cen_import_wlaczony,'Tablica IO'!K315*INDEX(Model!$C$2:$CA$2,Model!$A81),'Tablica IO'!K315*1)</f>
        <v>0</v>
      </c>
      <c r="L81" s="222" cm="1">
        <f t="array" aca="1" ref="L81" ca="1">'Tablica IO'!L237*INDEX(Model!$C$93:$CA$93,Model!$A81) + IF(wplyw_cen_import_wlaczony,'Tablica IO'!L315*INDEX(Model!$C$2:$CA$2,Model!$A81),'Tablica IO'!L315*1)</f>
        <v>0</v>
      </c>
      <c r="M81" s="222" cm="1">
        <f t="array" aca="1" ref="M81" ca="1">'Tablica IO'!M237*INDEX(Model!$C$93:$CA$93,Model!$A81) + IF(wplyw_cen_import_wlaczony,'Tablica IO'!M315*INDEX(Model!$C$2:$CA$2,Model!$A81),'Tablica IO'!M315*1)</f>
        <v>0</v>
      </c>
      <c r="N81" s="222" cm="1">
        <f t="array" aca="1" ref="N81" ca="1">'Tablica IO'!N237*INDEX(Model!$C$93:$CA$93,Model!$A81) + IF(wplyw_cen_import_wlaczony,'Tablica IO'!N315*INDEX(Model!$C$2:$CA$2,Model!$A81),'Tablica IO'!N315*1)</f>
        <v>0</v>
      </c>
      <c r="O81" s="222" cm="1">
        <f t="array" aca="1" ref="O81" ca="1">'Tablica IO'!O237*INDEX(Model!$C$93:$CA$93,Model!$A81) + IF(wplyw_cen_import_wlaczony,'Tablica IO'!O315*INDEX(Model!$C$2:$CA$2,Model!$A81),'Tablica IO'!O315*1)</f>
        <v>0</v>
      </c>
      <c r="P81" s="222" cm="1">
        <f t="array" aca="1" ref="P81" ca="1">'Tablica IO'!P237*INDEX(Model!$C$93:$CA$93,Model!$A81) + IF(wplyw_cen_import_wlaczony,'Tablica IO'!P315*INDEX(Model!$C$2:$CA$2,Model!$A81),'Tablica IO'!P315*1)</f>
        <v>0</v>
      </c>
      <c r="Q81" s="222" cm="1">
        <f t="array" aca="1" ref="Q81" ca="1">'Tablica IO'!Q237*INDEX(Model!$C$93:$CA$93,Model!$A81) + IF(wplyw_cen_import_wlaczony,'Tablica IO'!Q315*INDEX(Model!$C$2:$CA$2,Model!$A81),'Tablica IO'!Q315*1)</f>
        <v>0</v>
      </c>
      <c r="R81" s="222" cm="1">
        <f t="array" aca="1" ref="R81" ca="1">'Tablica IO'!R237*INDEX(Model!$C$93:$CA$93,Model!$A81) + IF(wplyw_cen_import_wlaczony,'Tablica IO'!R315*INDEX(Model!$C$2:$CA$2,Model!$A81),'Tablica IO'!R315*1)</f>
        <v>0</v>
      </c>
      <c r="S81" s="222" cm="1">
        <f t="array" aca="1" ref="S81" ca="1">'Tablica IO'!S237*INDEX(Model!$C$93:$CA$93,Model!$A81) + IF(wplyw_cen_import_wlaczony,'Tablica IO'!S315*INDEX(Model!$C$2:$CA$2,Model!$A81),'Tablica IO'!S315*1)</f>
        <v>0</v>
      </c>
      <c r="T81" s="222" cm="1">
        <f t="array" aca="1" ref="T81" ca="1">'Tablica IO'!T237*INDEX(Model!$C$93:$CA$93,Model!$A81) + IF(wplyw_cen_import_wlaczony,'Tablica IO'!T315*INDEX(Model!$C$2:$CA$2,Model!$A81),'Tablica IO'!T315*1)</f>
        <v>0</v>
      </c>
      <c r="U81" s="222" cm="1">
        <f t="array" aca="1" ref="U81" ca="1">'Tablica IO'!U237*INDEX(Model!$C$93:$CA$93,Model!$A81) + IF(wplyw_cen_import_wlaczony,'Tablica IO'!U315*INDEX(Model!$C$2:$CA$2,Model!$A81),'Tablica IO'!U315*1)</f>
        <v>0</v>
      </c>
      <c r="V81" s="222" cm="1">
        <f t="array" aca="1" ref="V81" ca="1">'Tablica IO'!V237*INDEX(Model!$C$93:$CA$93,Model!$A81) + IF(wplyw_cen_import_wlaczony,'Tablica IO'!V315*INDEX(Model!$C$2:$CA$2,Model!$A81),'Tablica IO'!V315*1)</f>
        <v>0</v>
      </c>
      <c r="W81" s="222" cm="1">
        <f t="array" aca="1" ref="W81" ca="1">'Tablica IO'!W237*INDEX(Model!$C$93:$CA$93,Model!$A81) + IF(wplyw_cen_import_wlaczony,'Tablica IO'!W315*INDEX(Model!$C$2:$CA$2,Model!$A81),'Tablica IO'!W315*1)</f>
        <v>0</v>
      </c>
      <c r="X81" s="222" cm="1">
        <f t="array" aca="1" ref="X81" ca="1">'Tablica IO'!X237*INDEX(Model!$C$93:$CA$93,Model!$A81) + IF(wplyw_cen_import_wlaczony,'Tablica IO'!X315*INDEX(Model!$C$2:$CA$2,Model!$A81),'Tablica IO'!X315*1)</f>
        <v>0</v>
      </c>
      <c r="Y81" s="222" cm="1">
        <f t="array" aca="1" ref="Y81" ca="1">'Tablica IO'!Y237*INDEX(Model!$C$93:$CA$93,Model!$A81) + IF(wplyw_cen_import_wlaczony,'Tablica IO'!Y315*INDEX(Model!$C$2:$CA$2,Model!$A81),'Tablica IO'!Y315*1)</f>
        <v>0</v>
      </c>
      <c r="Z81" s="222" cm="1">
        <f t="array" aca="1" ref="Z81" ca="1">'Tablica IO'!Z237*INDEX(Model!$C$93:$CA$93,Model!$A81) + IF(wplyw_cen_import_wlaczony,'Tablica IO'!Z315*INDEX(Model!$C$2:$CA$2,Model!$A81),'Tablica IO'!Z315*1)</f>
        <v>0</v>
      </c>
      <c r="AA81" s="222" cm="1">
        <f t="array" aca="1" ref="AA81" ca="1">'Tablica IO'!AA237*INDEX(Model!$C$93:$CA$93,Model!$A81) + IF(wplyw_cen_import_wlaczony,'Tablica IO'!AA315*INDEX(Model!$C$2:$CA$2,Model!$A81),'Tablica IO'!AA315*1)</f>
        <v>0</v>
      </c>
      <c r="AB81" s="222" cm="1">
        <f t="array" aca="1" ref="AB81" ca="1">'Tablica IO'!AB237*INDEX(Model!$C$93:$CA$93,Model!$A81) + IF(wplyw_cen_import_wlaczony,'Tablica IO'!AB315*INDEX(Model!$C$2:$CA$2,Model!$A81),'Tablica IO'!AB315*1)</f>
        <v>0</v>
      </c>
      <c r="AC81" s="222" cm="1">
        <f t="array" aca="1" ref="AC81" ca="1">'Tablica IO'!AC237*INDEX(Model!$C$93:$CA$93,Model!$A81) + IF(wplyw_cen_import_wlaczony,'Tablica IO'!AC315*INDEX(Model!$C$2:$CA$2,Model!$A81),'Tablica IO'!AC315*1)</f>
        <v>0</v>
      </c>
      <c r="AD81" s="222" cm="1">
        <f t="array" aca="1" ref="AD81" ca="1">'Tablica IO'!AD237*INDEX(Model!$C$93:$CA$93,Model!$A81) + IF(wplyw_cen_import_wlaczony,'Tablica IO'!AD315*INDEX(Model!$C$2:$CA$2,Model!$A81),'Tablica IO'!AD315*1)</f>
        <v>0</v>
      </c>
      <c r="AE81" s="222" cm="1">
        <f t="array" aca="1" ref="AE81" ca="1">'Tablica IO'!AE237*INDEX(Model!$C$93:$CA$93,Model!$A81) + IF(wplyw_cen_import_wlaczony,'Tablica IO'!AE315*INDEX(Model!$C$2:$CA$2,Model!$A81),'Tablica IO'!AE315*1)</f>
        <v>0</v>
      </c>
      <c r="AF81" s="222" cm="1">
        <f t="array" aca="1" ref="AF81" ca="1">'Tablica IO'!AF237*INDEX(Model!$C$93:$CA$93,Model!$A81) + IF(wplyw_cen_import_wlaczony,'Tablica IO'!AF315*INDEX(Model!$C$2:$CA$2,Model!$A81),'Tablica IO'!AF315*1)</f>
        <v>0</v>
      </c>
      <c r="AG81" s="222" cm="1">
        <f t="array" aca="1" ref="AG81" ca="1">'Tablica IO'!AG237*INDEX(Model!$C$93:$CA$93,Model!$A81) + IF(wplyw_cen_import_wlaczony,'Tablica IO'!AG315*INDEX(Model!$C$2:$CA$2,Model!$A81),'Tablica IO'!AG315*1)</f>
        <v>0</v>
      </c>
      <c r="AH81" s="222" cm="1">
        <f t="array" aca="1" ref="AH81" ca="1">'Tablica IO'!AH237*INDEX(Model!$C$93:$CA$93,Model!$A81) + IF(wplyw_cen_import_wlaczony,'Tablica IO'!AH315*INDEX(Model!$C$2:$CA$2,Model!$A81),'Tablica IO'!AH315*1)</f>
        <v>0</v>
      </c>
      <c r="AI81" s="222" cm="1">
        <f t="array" aca="1" ref="AI81" ca="1">'Tablica IO'!AI237*INDEX(Model!$C$93:$CA$93,Model!$A81) + IF(wplyw_cen_import_wlaczony,'Tablica IO'!AI315*INDEX(Model!$C$2:$CA$2,Model!$A81),'Tablica IO'!AI315*1)</f>
        <v>0</v>
      </c>
      <c r="AJ81" s="222" cm="1">
        <f t="array" aca="1" ref="AJ81" ca="1">'Tablica IO'!AJ237*INDEX(Model!$C$93:$CA$93,Model!$A81) + IF(wplyw_cen_import_wlaczony,'Tablica IO'!AJ315*INDEX(Model!$C$2:$CA$2,Model!$A81),'Tablica IO'!AJ315*1)</f>
        <v>0</v>
      </c>
      <c r="AK81" s="222" cm="1">
        <f t="array" aca="1" ref="AK81" ca="1">'Tablica IO'!AK237*INDEX(Model!$C$93:$CA$93,Model!$A81) + IF(wplyw_cen_import_wlaczony,'Tablica IO'!AK315*INDEX(Model!$C$2:$CA$2,Model!$A81),'Tablica IO'!AK315*1)</f>
        <v>0</v>
      </c>
      <c r="AL81" s="222" cm="1">
        <f t="array" aca="1" ref="AL81" ca="1">'Tablica IO'!AL237*INDEX(Model!$C$93:$CA$93,Model!$A81) + IF(wplyw_cen_import_wlaczony,'Tablica IO'!AL315*INDEX(Model!$C$2:$CA$2,Model!$A81),'Tablica IO'!AL315*1)</f>
        <v>0</v>
      </c>
      <c r="AM81" s="222" cm="1">
        <f t="array" aca="1" ref="AM81" ca="1">'Tablica IO'!AM237*INDEX(Model!$C$93:$CA$93,Model!$A81) + IF(wplyw_cen_import_wlaczony,'Tablica IO'!AM315*INDEX(Model!$C$2:$CA$2,Model!$A81),'Tablica IO'!AM315*1)</f>
        <v>0</v>
      </c>
      <c r="AN81" s="222" cm="1">
        <f t="array" aca="1" ref="AN81" ca="1">'Tablica IO'!AN237*INDEX(Model!$C$93:$CA$93,Model!$A81) + IF(wplyw_cen_import_wlaczony,'Tablica IO'!AN315*INDEX(Model!$C$2:$CA$2,Model!$A81),'Tablica IO'!AN315*1)</f>
        <v>0</v>
      </c>
      <c r="AO81" s="222" cm="1">
        <f t="array" aca="1" ref="AO81" ca="1">'Tablica IO'!AO237*INDEX(Model!$C$93:$CA$93,Model!$A81) + IF(wplyw_cen_import_wlaczony,'Tablica IO'!AO315*INDEX(Model!$C$2:$CA$2,Model!$A81),'Tablica IO'!AO315*1)</f>
        <v>0</v>
      </c>
      <c r="AP81" s="222" cm="1">
        <f t="array" aca="1" ref="AP81" ca="1">'Tablica IO'!AP237*INDEX(Model!$C$93:$CA$93,Model!$A81) + IF(wplyw_cen_import_wlaczony,'Tablica IO'!AP315*INDEX(Model!$C$2:$CA$2,Model!$A81),'Tablica IO'!AP315*1)</f>
        <v>0</v>
      </c>
      <c r="AQ81" s="222" cm="1">
        <f t="array" aca="1" ref="AQ81" ca="1">'Tablica IO'!AQ237*INDEX(Model!$C$93:$CA$93,Model!$A81) + IF(wplyw_cen_import_wlaczony,'Tablica IO'!AQ315*INDEX(Model!$C$2:$CA$2,Model!$A81),'Tablica IO'!AQ315*1)</f>
        <v>0</v>
      </c>
      <c r="AR81" s="222" cm="1">
        <f t="array" aca="1" ref="AR81" ca="1">'Tablica IO'!AR237*INDEX(Model!$C$93:$CA$93,Model!$A81) + IF(wplyw_cen_import_wlaczony,'Tablica IO'!AR315*INDEX(Model!$C$2:$CA$2,Model!$A81),'Tablica IO'!AR315*1)</f>
        <v>0</v>
      </c>
      <c r="AS81" s="222" cm="1">
        <f t="array" aca="1" ref="AS81" ca="1">'Tablica IO'!AS237*INDEX(Model!$C$93:$CA$93,Model!$A81) + IF(wplyw_cen_import_wlaczony,'Tablica IO'!AS315*INDEX(Model!$C$2:$CA$2,Model!$A81),'Tablica IO'!AS315*1)</f>
        <v>0</v>
      </c>
      <c r="AT81" s="222" cm="1">
        <f t="array" aca="1" ref="AT81" ca="1">'Tablica IO'!AT237*INDEX(Model!$C$93:$CA$93,Model!$A81) + IF(wplyw_cen_import_wlaczony,'Tablica IO'!AT315*INDEX(Model!$C$2:$CA$2,Model!$A81),'Tablica IO'!AT315*1)</f>
        <v>0</v>
      </c>
      <c r="AU81" s="222" cm="1">
        <f t="array" aca="1" ref="AU81" ca="1">'Tablica IO'!AU237*INDEX(Model!$C$93:$CA$93,Model!$A81) + IF(wplyw_cen_import_wlaczony,'Tablica IO'!AU315*INDEX(Model!$C$2:$CA$2,Model!$A81),'Tablica IO'!AU315*1)</f>
        <v>0</v>
      </c>
      <c r="AV81" s="222" cm="1">
        <f t="array" aca="1" ref="AV81" ca="1">'Tablica IO'!AV237*INDEX(Model!$C$93:$CA$93,Model!$A81) + IF(wplyw_cen_import_wlaczony,'Tablica IO'!AV315*INDEX(Model!$C$2:$CA$2,Model!$A81),'Tablica IO'!AV315*1)</f>
        <v>0</v>
      </c>
      <c r="AW81" s="222" cm="1">
        <f t="array" aca="1" ref="AW81" ca="1">'Tablica IO'!AW237*INDEX(Model!$C$93:$CA$93,Model!$A81) + IF(wplyw_cen_import_wlaczony,'Tablica IO'!AW315*INDEX(Model!$C$2:$CA$2,Model!$A81),'Tablica IO'!AW315*1)</f>
        <v>0</v>
      </c>
      <c r="AX81" s="222" cm="1">
        <f t="array" aca="1" ref="AX81" ca="1">'Tablica IO'!AX237*INDEX(Model!$C$93:$CA$93,Model!$A81) + IF(wplyw_cen_import_wlaczony,'Tablica IO'!AX315*INDEX(Model!$C$2:$CA$2,Model!$A81),'Tablica IO'!AX315*1)</f>
        <v>0</v>
      </c>
      <c r="AY81" s="222" cm="1">
        <f t="array" aca="1" ref="AY81" ca="1">'Tablica IO'!AY237*INDEX(Model!$C$93:$CA$93,Model!$A81) + IF(wplyw_cen_import_wlaczony,'Tablica IO'!AY315*INDEX(Model!$C$2:$CA$2,Model!$A81),'Tablica IO'!AY315*1)</f>
        <v>0</v>
      </c>
      <c r="AZ81" s="222" cm="1">
        <f t="array" aca="1" ref="AZ81" ca="1">'Tablica IO'!AZ237*INDEX(Model!$C$93:$CA$93,Model!$A81) + IF(wplyw_cen_import_wlaczony,'Tablica IO'!AZ315*INDEX(Model!$C$2:$CA$2,Model!$A81),'Tablica IO'!AZ315*1)</f>
        <v>0</v>
      </c>
      <c r="BA81" s="222" cm="1">
        <f t="array" aca="1" ref="BA81" ca="1">'Tablica IO'!BA237*INDEX(Model!$C$93:$CA$93,Model!$A81) + IF(wplyw_cen_import_wlaczony,'Tablica IO'!BA315*INDEX(Model!$C$2:$CA$2,Model!$A81),'Tablica IO'!BA315*1)</f>
        <v>0</v>
      </c>
      <c r="BB81" s="222" cm="1">
        <f t="array" aca="1" ref="BB81" ca="1">'Tablica IO'!BB237*INDEX(Model!$C$93:$CA$93,Model!$A81) + IF(wplyw_cen_import_wlaczony,'Tablica IO'!BB315*INDEX(Model!$C$2:$CA$2,Model!$A81),'Tablica IO'!BB315*1)</f>
        <v>0</v>
      </c>
      <c r="BC81" s="222" cm="1">
        <f t="array" aca="1" ref="BC81" ca="1">'Tablica IO'!BC237*INDEX(Model!$C$93:$CA$93,Model!$A81) + IF(wplyw_cen_import_wlaczony,'Tablica IO'!BC315*INDEX(Model!$C$2:$CA$2,Model!$A81),'Tablica IO'!BC315*1)</f>
        <v>0</v>
      </c>
      <c r="BD81" s="222" cm="1">
        <f t="array" aca="1" ref="BD81" ca="1">'Tablica IO'!BD237*INDEX(Model!$C$93:$CA$93,Model!$A81) + IF(wplyw_cen_import_wlaczony,'Tablica IO'!BD315*INDEX(Model!$C$2:$CA$2,Model!$A81),'Tablica IO'!BD315*1)</f>
        <v>0</v>
      </c>
      <c r="BE81" s="222" cm="1">
        <f t="array" aca="1" ref="BE81" ca="1">'Tablica IO'!BE237*INDEX(Model!$C$93:$CA$93,Model!$A81) + IF(wplyw_cen_import_wlaczony,'Tablica IO'!BE315*INDEX(Model!$C$2:$CA$2,Model!$A81),'Tablica IO'!BE315*1)</f>
        <v>0</v>
      </c>
      <c r="BF81" s="222" cm="1">
        <f t="array" aca="1" ref="BF81" ca="1">'Tablica IO'!BF237*INDEX(Model!$C$93:$CA$93,Model!$A81) + IF(wplyw_cen_import_wlaczony,'Tablica IO'!BF315*INDEX(Model!$C$2:$CA$2,Model!$A81),'Tablica IO'!BF315*1)</f>
        <v>0</v>
      </c>
      <c r="BG81" s="222" cm="1">
        <f t="array" aca="1" ref="BG81" ca="1">'Tablica IO'!BG237*INDEX(Model!$C$93:$CA$93,Model!$A81) + IF(wplyw_cen_import_wlaczony,'Tablica IO'!BG315*INDEX(Model!$C$2:$CA$2,Model!$A81),'Tablica IO'!BG315*1)</f>
        <v>0</v>
      </c>
      <c r="BH81" s="222" cm="1">
        <f t="array" aca="1" ref="BH81" ca="1">'Tablica IO'!BH237*INDEX(Model!$C$93:$CA$93,Model!$A81) + IF(wplyw_cen_import_wlaczony,'Tablica IO'!BH315*INDEX(Model!$C$2:$CA$2,Model!$A81),'Tablica IO'!BH315*1)</f>
        <v>0</v>
      </c>
      <c r="BI81" s="222" cm="1">
        <f t="array" aca="1" ref="BI81" ca="1">'Tablica IO'!BI237*INDEX(Model!$C$93:$CA$93,Model!$A81) + IF(wplyw_cen_import_wlaczony,'Tablica IO'!BI315*INDEX(Model!$C$2:$CA$2,Model!$A81),'Tablica IO'!BI315*1)</f>
        <v>0</v>
      </c>
      <c r="BJ81" s="222" cm="1">
        <f t="array" aca="1" ref="BJ81" ca="1">'Tablica IO'!BJ237*INDEX(Model!$C$93:$CA$93,Model!$A81) + IF(wplyw_cen_import_wlaczony,'Tablica IO'!BJ315*INDEX(Model!$C$2:$CA$2,Model!$A81),'Tablica IO'!BJ315*1)</f>
        <v>0</v>
      </c>
      <c r="BK81" s="222" cm="1">
        <f t="array" aca="1" ref="BK81" ca="1">'Tablica IO'!BK237*INDEX(Model!$C$93:$CA$93,Model!$A81) + IF(wplyw_cen_import_wlaczony,'Tablica IO'!BK315*INDEX(Model!$C$2:$CA$2,Model!$A81),'Tablica IO'!BK315*1)</f>
        <v>0</v>
      </c>
      <c r="BL81" s="222" cm="1">
        <f t="array" aca="1" ref="BL81" ca="1">'Tablica IO'!BL237*INDEX(Model!$C$93:$CA$93,Model!$A81) + IF(wplyw_cen_import_wlaczony,'Tablica IO'!BL315*INDEX(Model!$C$2:$CA$2,Model!$A81),'Tablica IO'!BL315*1)</f>
        <v>0</v>
      </c>
      <c r="BM81" s="222" cm="1">
        <f t="array" aca="1" ref="BM81" ca="1">'Tablica IO'!BM237*INDEX(Model!$C$93:$CA$93,Model!$A81) + IF(wplyw_cen_import_wlaczony,'Tablica IO'!BM315*INDEX(Model!$C$2:$CA$2,Model!$A81),'Tablica IO'!BM315*1)</f>
        <v>0</v>
      </c>
      <c r="BN81" s="222" cm="1">
        <f t="array" aca="1" ref="BN81" ca="1">'Tablica IO'!BN237*INDEX(Model!$C$93:$CA$93,Model!$A81) + IF(wplyw_cen_import_wlaczony,'Tablica IO'!BN315*INDEX(Model!$C$2:$CA$2,Model!$A81),'Tablica IO'!BN315*1)</f>
        <v>0</v>
      </c>
      <c r="BO81" s="222" cm="1">
        <f t="array" aca="1" ref="BO81" ca="1">'Tablica IO'!BO237*INDEX(Model!$C$93:$CA$93,Model!$A81) + IF(wplyw_cen_import_wlaczony,'Tablica IO'!BO315*INDEX(Model!$C$2:$CA$2,Model!$A81),'Tablica IO'!BO315*1)</f>
        <v>0</v>
      </c>
      <c r="BP81" s="222" cm="1">
        <f t="array" aca="1" ref="BP81" ca="1">'Tablica IO'!BP237*INDEX(Model!$C$93:$CA$93,Model!$A81) + IF(wplyw_cen_import_wlaczony,'Tablica IO'!BP315*INDEX(Model!$C$2:$CA$2,Model!$A81),'Tablica IO'!BP315*1)</f>
        <v>0</v>
      </c>
      <c r="BQ81" s="222" cm="1">
        <f t="array" aca="1" ref="BQ81" ca="1">'Tablica IO'!BQ237*INDEX(Model!$C$93:$CA$93,Model!$A81) + IF(wplyw_cen_import_wlaczony,'Tablica IO'!BQ315*INDEX(Model!$C$2:$CA$2,Model!$A81),'Tablica IO'!BQ315*1)</f>
        <v>0</v>
      </c>
      <c r="BR81" s="222" cm="1">
        <f t="array" aca="1" ref="BR81" ca="1">'Tablica IO'!BR237*INDEX(Model!$C$93:$CA$93,Model!$A81) + IF(wplyw_cen_import_wlaczony,'Tablica IO'!BR315*INDEX(Model!$C$2:$CA$2,Model!$A81),'Tablica IO'!BR315*1)</f>
        <v>0</v>
      </c>
      <c r="BS81" s="222" cm="1">
        <f t="array" aca="1" ref="BS81" ca="1">'Tablica IO'!BS237*INDEX(Model!$C$93:$CA$93,Model!$A81) + IF(wplyw_cen_import_wlaczony,'Tablica IO'!BS315*INDEX(Model!$C$2:$CA$2,Model!$A81),'Tablica IO'!BS315*1)</f>
        <v>0</v>
      </c>
      <c r="BT81" s="222" cm="1">
        <f t="array" aca="1" ref="BT81" ca="1">'Tablica IO'!BT237*INDEX(Model!$C$93:$CA$93,Model!$A81) + IF(wplyw_cen_import_wlaczony,'Tablica IO'!BT315*INDEX(Model!$C$2:$CA$2,Model!$A81),'Tablica IO'!BT315*1)</f>
        <v>0</v>
      </c>
      <c r="BU81" s="222" cm="1">
        <f t="array" aca="1" ref="BU81" ca="1">'Tablica IO'!BU237*INDEX(Model!$C$93:$CA$93,Model!$A81) + IF(wplyw_cen_import_wlaczony,'Tablica IO'!BU315*INDEX(Model!$C$2:$CA$2,Model!$A81),'Tablica IO'!BU315*1)</f>
        <v>0</v>
      </c>
      <c r="BV81" s="222" cm="1">
        <f t="array" aca="1" ref="BV81" ca="1">'Tablica IO'!BV237*INDEX(Model!$C$93:$CA$93,Model!$A81) + IF(wplyw_cen_import_wlaczony,'Tablica IO'!BV315*INDEX(Model!$C$2:$CA$2,Model!$A81),'Tablica IO'!BV315*1)</f>
        <v>0</v>
      </c>
      <c r="BW81" s="222" cm="1">
        <f t="array" aca="1" ref="BW81" ca="1">'Tablica IO'!BW237*INDEX(Model!$C$93:$CA$93,Model!$A81) + IF(wplyw_cen_import_wlaczony,'Tablica IO'!BW315*INDEX(Model!$C$2:$CA$2,Model!$A81),'Tablica IO'!BW315*1)</f>
        <v>0</v>
      </c>
      <c r="BX81" s="222" cm="1">
        <f t="array" aca="1" ref="BX81" ca="1">'Tablica IO'!BX237*INDEX(Model!$C$93:$CA$93,Model!$A81) + IF(wplyw_cen_import_wlaczony,'Tablica IO'!BX315*INDEX(Model!$C$2:$CA$2,Model!$A81),'Tablica IO'!BX315*1)</f>
        <v>0</v>
      </c>
      <c r="BY81" s="222" cm="1">
        <f t="array" aca="1" ref="BY81" ca="1">'Tablica IO'!BY237*INDEX(Model!$C$93:$CA$93,Model!$A81) + IF(wplyw_cen_import_wlaczony,'Tablica IO'!BY315*INDEX(Model!$C$2:$CA$2,Model!$A81),'Tablica IO'!BY315*1)</f>
        <v>0</v>
      </c>
      <c r="BZ81" s="222" cm="1">
        <f t="array" aca="1" ref="BZ81" ca="1">'Tablica IO'!BZ237*INDEX(Model!$C$93:$CA$93,Model!$A81) + IF(wplyw_cen_import_wlaczony,'Tablica IO'!BZ315*INDEX(Model!$C$2:$CA$2,Model!$A81),'Tablica IO'!BZ315*1)</f>
        <v>0</v>
      </c>
      <c r="CA81" s="222" cm="1">
        <f t="array" aca="1" ref="CA81" ca="1">'Tablica IO'!CA237*INDEX(Model!$C$93:$CA$93,Model!$A81) + IF(wplyw_cen_import_wlaczony,'Tablica IO'!CA315*INDEX(Model!$C$2:$CA$2,Model!$A81),'Tablica IO'!CA315*1)</f>
        <v>0</v>
      </c>
      <c r="CB81" s="247">
        <f ca="1">'Tablica IO'!CD237*INDEX(Model!$C$93:$CA$93,Model!$A81)+'Tablica IO'!CD315*INDEX(Model!$C$2:$CA$2,Model!$A81)</f>
        <v>6.5687444897309091E-3</v>
      </c>
      <c r="CC81" s="188">
        <f ca="1">'Tablica IO'!CE237*INDEX(Model!$C$93:$CA$93,Model!$A81)+'Tablica IO'!CE315*INDEX(Model!$C$2:$CA$2,Model!$A81)</f>
        <v>6.1156160895364839E-2</v>
      </c>
      <c r="CD81" s="188">
        <f ca="1">'Tablica IO'!CF237*INDEX(Model!$C$93:$CA$93,Model!$A81)+'Tablica IO'!CF315*INDEX(Model!$C$2:$CA$2,Model!$A81)</f>
        <v>3.5831703357282365E-6</v>
      </c>
      <c r="CE81" s="189">
        <f ca="1">'Tablica IO'!CG237*INDEX(Model!$C$93:$CA$93,Model!$A81)+'Tablica IO'!CG315*INDEX(Model!$C$2:$CA$2,Model!$A81)</f>
        <v>0</v>
      </c>
    </row>
    <row r="82" spans="1:83" x14ac:dyDescent="0.25">
      <c r="A82" s="164">
        <v>70</v>
      </c>
      <c r="B82" s="172" t="s">
        <v>69</v>
      </c>
      <c r="C82" s="221" cm="1">
        <f t="array" aca="1" ref="C82" ca="1">'Tablica IO'!C238*INDEX(Model!$C$93:$CA$93,Model!$A82) + IF(wplyw_cen_import_wlaczony,'Tablica IO'!C316*INDEX(Model!$C$2:$CA$2,Model!$A82),'Tablica IO'!C316*1)</f>
        <v>9.9756849712995107E-6</v>
      </c>
      <c r="D82" s="222" cm="1">
        <f t="array" aca="1" ref="D82" ca="1">'Tablica IO'!D238*INDEX(Model!$C$93:$CA$93,Model!$A82) + IF(wplyw_cen_import_wlaczony,'Tablica IO'!D316*INDEX(Model!$C$2:$CA$2,Model!$A82),'Tablica IO'!D316*1)</f>
        <v>5.2393094793041422E-5</v>
      </c>
      <c r="E82" s="222" cm="1">
        <f t="array" aca="1" ref="E82" ca="1">'Tablica IO'!E238*INDEX(Model!$C$93:$CA$93,Model!$A82) + IF(wplyw_cen_import_wlaczony,'Tablica IO'!E316*INDEX(Model!$C$2:$CA$2,Model!$A82),'Tablica IO'!E316*1)</f>
        <v>7.9575660042176838E-6</v>
      </c>
      <c r="F82" s="222" cm="1">
        <f t="array" aca="1" ref="F82" ca="1">'Tablica IO'!F238*INDEX(Model!$C$93:$CA$93,Model!$A82) + IF(wplyw_cen_import_wlaczony,'Tablica IO'!F316*INDEX(Model!$C$2:$CA$2,Model!$A82),'Tablica IO'!F316*1)</f>
        <v>5.635683563411386E-6</v>
      </c>
      <c r="G82" s="222" cm="1">
        <f t="array" aca="1" ref="G82" ca="1">'Tablica IO'!G238*INDEX(Model!$C$93:$CA$93,Model!$A82) + IF(wplyw_cen_import_wlaczony,'Tablica IO'!G316*INDEX(Model!$C$2:$CA$2,Model!$A82),'Tablica IO'!G316*1)</f>
        <v>2.3828477461663606E-5</v>
      </c>
      <c r="H82" s="222" cm="1">
        <f t="array" aca="1" ref="H82" ca="1">'Tablica IO'!H238*INDEX(Model!$C$93:$CA$93,Model!$A82) + IF(wplyw_cen_import_wlaczony,'Tablica IO'!H316*INDEX(Model!$C$2:$CA$2,Model!$A82),'Tablica IO'!H316*1)</f>
        <v>1.2508423665591532E-4</v>
      </c>
      <c r="I82" s="222" cm="1">
        <f t="array" aca="1" ref="I82" ca="1">'Tablica IO'!I238*INDEX(Model!$C$93:$CA$93,Model!$A82) + IF(wplyw_cen_import_wlaczony,'Tablica IO'!I316*INDEX(Model!$C$2:$CA$2,Model!$A82),'Tablica IO'!I316*1)</f>
        <v>4.9473705714551176E-8</v>
      </c>
      <c r="J82" s="222" cm="1">
        <f t="array" aca="1" ref="J82" ca="1">'Tablica IO'!J238*INDEX(Model!$C$93:$CA$93,Model!$A82) + IF(wplyw_cen_import_wlaczony,'Tablica IO'!J316*INDEX(Model!$C$2:$CA$2,Model!$A82),'Tablica IO'!J316*1)</f>
        <v>1.6986507360274483E-5</v>
      </c>
      <c r="K82" s="222" cm="1">
        <f t="array" aca="1" ref="K82" ca="1">'Tablica IO'!K238*INDEX(Model!$C$93:$CA$93,Model!$A82) + IF(wplyw_cen_import_wlaczony,'Tablica IO'!K316*INDEX(Model!$C$2:$CA$2,Model!$A82),'Tablica IO'!K316*1)</f>
        <v>1.2046138410599577E-5</v>
      </c>
      <c r="L82" s="222" cm="1">
        <f t="array" aca="1" ref="L82" ca="1">'Tablica IO'!L238*INDEX(Model!$C$93:$CA$93,Model!$A82) + IF(wplyw_cen_import_wlaczony,'Tablica IO'!L316*INDEX(Model!$C$2:$CA$2,Model!$A82),'Tablica IO'!L316*1)</f>
        <v>0</v>
      </c>
      <c r="M82" s="222" cm="1">
        <f t="array" aca="1" ref="M82" ca="1">'Tablica IO'!M238*INDEX(Model!$C$93:$CA$93,Model!$A82) + IF(wplyw_cen_import_wlaczony,'Tablica IO'!M316*INDEX(Model!$C$2:$CA$2,Model!$A82),'Tablica IO'!M316*1)</f>
        <v>4.4202385742119234E-6</v>
      </c>
      <c r="N82" s="222" cm="1">
        <f t="array" aca="1" ref="N82" ca="1">'Tablica IO'!N238*INDEX(Model!$C$93:$CA$93,Model!$A82) + IF(wplyw_cen_import_wlaczony,'Tablica IO'!N316*INDEX(Model!$C$2:$CA$2,Model!$A82),'Tablica IO'!N316*1)</f>
        <v>1.8023673217989236E-5</v>
      </c>
      <c r="O82" s="222" cm="1">
        <f t="array" aca="1" ref="O82" ca="1">'Tablica IO'!O238*INDEX(Model!$C$93:$CA$93,Model!$A82) + IF(wplyw_cen_import_wlaczony,'Tablica IO'!O316*INDEX(Model!$C$2:$CA$2,Model!$A82),'Tablica IO'!O316*1)</f>
        <v>7.8744485616375254E-5</v>
      </c>
      <c r="P82" s="222" cm="1">
        <f t="array" aca="1" ref="P82" ca="1">'Tablica IO'!P238*INDEX(Model!$C$93:$CA$93,Model!$A82) + IF(wplyw_cen_import_wlaczony,'Tablica IO'!P316*INDEX(Model!$C$2:$CA$2,Model!$A82),'Tablica IO'!P316*1)</f>
        <v>5.5244069418525102E-4</v>
      </c>
      <c r="Q82" s="222" cm="1">
        <f t="array" aca="1" ref="Q82" ca="1">'Tablica IO'!Q238*INDEX(Model!$C$93:$CA$93,Model!$A82) + IF(wplyw_cen_import_wlaczony,'Tablica IO'!Q316*INDEX(Model!$C$2:$CA$2,Model!$A82),'Tablica IO'!Q316*1)</f>
        <v>7.0368793853412776E-6</v>
      </c>
      <c r="R82" s="222" cm="1">
        <f t="array" aca="1" ref="R82" ca="1">'Tablica IO'!R238*INDEX(Model!$C$93:$CA$93,Model!$A82) + IF(wplyw_cen_import_wlaczony,'Tablica IO'!R316*INDEX(Model!$C$2:$CA$2,Model!$A82),'Tablica IO'!R316*1)</f>
        <v>4.4744954670612302E-5</v>
      </c>
      <c r="S82" s="222" cm="1">
        <f t="array" aca="1" ref="S82" ca="1">'Tablica IO'!S238*INDEX(Model!$C$93:$CA$93,Model!$A82) + IF(wplyw_cen_import_wlaczony,'Tablica IO'!S316*INDEX(Model!$C$2:$CA$2,Model!$A82),'Tablica IO'!S316*1)</f>
        <v>2.1458651216498459E-4</v>
      </c>
      <c r="T82" s="222" cm="1">
        <f t="array" aca="1" ref="T82" ca="1">'Tablica IO'!T238*INDEX(Model!$C$93:$CA$93,Model!$A82) + IF(wplyw_cen_import_wlaczony,'Tablica IO'!T316*INDEX(Model!$C$2:$CA$2,Model!$A82),'Tablica IO'!T316*1)</f>
        <v>6.4527096549543289E-6</v>
      </c>
      <c r="U82" s="222" cm="1">
        <f t="array" aca="1" ref="U82" ca="1">'Tablica IO'!U238*INDEX(Model!$C$93:$CA$93,Model!$A82) + IF(wplyw_cen_import_wlaczony,'Tablica IO'!U316*INDEX(Model!$C$2:$CA$2,Model!$A82),'Tablica IO'!U316*1)</f>
        <v>4.9459383994603866E-6</v>
      </c>
      <c r="V82" s="222" cm="1">
        <f t="array" aca="1" ref="V82" ca="1">'Tablica IO'!V238*INDEX(Model!$C$93:$CA$93,Model!$A82) + IF(wplyw_cen_import_wlaczony,'Tablica IO'!V316*INDEX(Model!$C$2:$CA$2,Model!$A82),'Tablica IO'!V316*1)</f>
        <v>1.9317414509504676E-7</v>
      </c>
      <c r="W82" s="222" cm="1">
        <f t="array" aca="1" ref="W82" ca="1">'Tablica IO'!W238*INDEX(Model!$C$93:$CA$93,Model!$A82) + IF(wplyw_cen_import_wlaczony,'Tablica IO'!W316*INDEX(Model!$C$2:$CA$2,Model!$A82),'Tablica IO'!W316*1)</f>
        <v>2.7637975302500213E-5</v>
      </c>
      <c r="X82" s="222" cm="1">
        <f t="array" aca="1" ref="X82" ca="1">'Tablica IO'!X238*INDEX(Model!$C$93:$CA$93,Model!$A82) + IF(wplyw_cen_import_wlaczony,'Tablica IO'!X316*INDEX(Model!$C$2:$CA$2,Model!$A82),'Tablica IO'!X316*1)</f>
        <v>6.5518783896723173E-6</v>
      </c>
      <c r="Y82" s="222" cm="1">
        <f t="array" aca="1" ref="Y82" ca="1">'Tablica IO'!Y238*INDEX(Model!$C$93:$CA$93,Model!$A82) + IF(wplyw_cen_import_wlaczony,'Tablica IO'!Y316*INDEX(Model!$C$2:$CA$2,Model!$A82),'Tablica IO'!Y316*1)</f>
        <v>8.7482961117480535E-6</v>
      </c>
      <c r="Z82" s="222" cm="1">
        <f t="array" aca="1" ref="Z82" ca="1">'Tablica IO'!Z238*INDEX(Model!$C$93:$CA$93,Model!$A82) + IF(wplyw_cen_import_wlaczony,'Tablica IO'!Z316*INDEX(Model!$C$2:$CA$2,Model!$A82),'Tablica IO'!Z316*1)</f>
        <v>3.1039627127595133E-5</v>
      </c>
      <c r="AA82" s="222" cm="1">
        <f t="array" aca="1" ref="AA82" ca="1">'Tablica IO'!AA238*INDEX(Model!$C$93:$CA$93,Model!$A82) + IF(wplyw_cen_import_wlaczony,'Tablica IO'!AA316*INDEX(Model!$C$2:$CA$2,Model!$A82),'Tablica IO'!AA316*1)</f>
        <v>1.2618386530667096E-6</v>
      </c>
      <c r="AB82" s="222" cm="1">
        <f t="array" aca="1" ref="AB82" ca="1">'Tablica IO'!AB238*INDEX(Model!$C$93:$CA$93,Model!$A82) + IF(wplyw_cen_import_wlaczony,'Tablica IO'!AB316*INDEX(Model!$C$2:$CA$2,Model!$A82),'Tablica IO'!AB316*1)</f>
        <v>5.2211529678433688E-4</v>
      </c>
      <c r="AC82" s="222" cm="1">
        <f t="array" aca="1" ref="AC82" ca="1">'Tablica IO'!AC238*INDEX(Model!$C$93:$CA$93,Model!$A82) + IF(wplyw_cen_import_wlaczony,'Tablica IO'!AC316*INDEX(Model!$C$2:$CA$2,Model!$A82),'Tablica IO'!AC316*1)</f>
        <v>4.7064263755593384E-5</v>
      </c>
      <c r="AD82" s="222" cm="1">
        <f t="array" aca="1" ref="AD82" ca="1">'Tablica IO'!AD238*INDEX(Model!$C$93:$CA$93,Model!$A82) + IF(wplyw_cen_import_wlaczony,'Tablica IO'!AD316*INDEX(Model!$C$2:$CA$2,Model!$A82),'Tablica IO'!AD316*1)</f>
        <v>6.171496276872276E-6</v>
      </c>
      <c r="AE82" s="222" cm="1">
        <f t="array" aca="1" ref="AE82" ca="1">'Tablica IO'!AE238*INDEX(Model!$C$93:$CA$93,Model!$A82) + IF(wplyw_cen_import_wlaczony,'Tablica IO'!AE316*INDEX(Model!$C$2:$CA$2,Model!$A82),'Tablica IO'!AE316*1)</f>
        <v>2.2259201717499002E-5</v>
      </c>
      <c r="AF82" s="222" cm="1">
        <f t="array" aca="1" ref="AF82" ca="1">'Tablica IO'!AF238*INDEX(Model!$C$93:$CA$93,Model!$A82) + IF(wplyw_cen_import_wlaczony,'Tablica IO'!AF316*INDEX(Model!$C$2:$CA$2,Model!$A82),'Tablica IO'!AF316*1)</f>
        <v>9.9177371151401983E-6</v>
      </c>
      <c r="AG82" s="222" cm="1">
        <f t="array" aca="1" ref="AG82" ca="1">'Tablica IO'!AG238*INDEX(Model!$C$93:$CA$93,Model!$A82) + IF(wplyw_cen_import_wlaczony,'Tablica IO'!AG316*INDEX(Model!$C$2:$CA$2,Model!$A82),'Tablica IO'!AG316*1)</f>
        <v>9.3420199927400302E-7</v>
      </c>
      <c r="AH82" s="222" cm="1">
        <f t="array" aca="1" ref="AH82" ca="1">'Tablica IO'!AH238*INDEX(Model!$C$93:$CA$93,Model!$A82) + IF(wplyw_cen_import_wlaczony,'Tablica IO'!AH316*INDEX(Model!$C$2:$CA$2,Model!$A82),'Tablica IO'!AH316*1)</f>
        <v>0</v>
      </c>
      <c r="AI82" s="222" cm="1">
        <f t="array" aca="1" ref="AI82" ca="1">'Tablica IO'!AI238*INDEX(Model!$C$93:$CA$93,Model!$A82) + IF(wplyw_cen_import_wlaczony,'Tablica IO'!AI316*INDEX(Model!$C$2:$CA$2,Model!$A82),'Tablica IO'!AI316*1)</f>
        <v>2.0648621136776778E-5</v>
      </c>
      <c r="AJ82" s="222" cm="1">
        <f t="array" aca="1" ref="AJ82" ca="1">'Tablica IO'!AJ238*INDEX(Model!$C$93:$CA$93,Model!$A82) + IF(wplyw_cen_import_wlaczony,'Tablica IO'!AJ316*INDEX(Model!$C$2:$CA$2,Model!$A82),'Tablica IO'!AJ316*1)</f>
        <v>5.5459401742631924E-5</v>
      </c>
      <c r="AK82" s="222" cm="1">
        <f t="array" aca="1" ref="AK82" ca="1">'Tablica IO'!AK238*INDEX(Model!$C$93:$CA$93,Model!$A82) + IF(wplyw_cen_import_wlaczony,'Tablica IO'!AK316*INDEX(Model!$C$2:$CA$2,Model!$A82),'Tablica IO'!AK316*1)</f>
        <v>8.915909791985116E-5</v>
      </c>
      <c r="AL82" s="222" cm="1">
        <f t="array" aca="1" ref="AL82" ca="1">'Tablica IO'!AL238*INDEX(Model!$C$93:$CA$93,Model!$A82) + IF(wplyw_cen_import_wlaczony,'Tablica IO'!AL316*INDEX(Model!$C$2:$CA$2,Model!$A82),'Tablica IO'!AL316*1)</f>
        <v>1.4013195080949124E-4</v>
      </c>
      <c r="AM82" s="222" cm="1">
        <f t="array" aca="1" ref="AM82" ca="1">'Tablica IO'!AM238*INDEX(Model!$C$93:$CA$93,Model!$A82) + IF(wplyw_cen_import_wlaczony,'Tablica IO'!AM316*INDEX(Model!$C$2:$CA$2,Model!$A82),'Tablica IO'!AM316*1)</f>
        <v>3.7458876336676334E-5</v>
      </c>
      <c r="AN82" s="222" cm="1">
        <f t="array" aca="1" ref="AN82" ca="1">'Tablica IO'!AN238*INDEX(Model!$C$93:$CA$93,Model!$A82) + IF(wplyw_cen_import_wlaczony,'Tablica IO'!AN316*INDEX(Model!$C$2:$CA$2,Model!$A82),'Tablica IO'!AN316*1)</f>
        <v>1.2915274438348815E-5</v>
      </c>
      <c r="AO82" s="222" cm="1">
        <f t="array" aca="1" ref="AO82" ca="1">'Tablica IO'!AO238*INDEX(Model!$C$93:$CA$93,Model!$A82) + IF(wplyw_cen_import_wlaczony,'Tablica IO'!AO316*INDEX(Model!$C$2:$CA$2,Model!$A82),'Tablica IO'!AO316*1)</f>
        <v>1.7098564951404231E-4</v>
      </c>
      <c r="AP82" s="222" cm="1">
        <f t="array" aca="1" ref="AP82" ca="1">'Tablica IO'!AP238*INDEX(Model!$C$93:$CA$93,Model!$A82) + IF(wplyw_cen_import_wlaczony,'Tablica IO'!AP316*INDEX(Model!$C$2:$CA$2,Model!$A82),'Tablica IO'!AP316*1)</f>
        <v>9.5580453973241651E-5</v>
      </c>
      <c r="AQ82" s="222" cm="1">
        <f t="array" aca="1" ref="AQ82" ca="1">'Tablica IO'!AQ238*INDEX(Model!$C$93:$CA$93,Model!$A82) + IF(wplyw_cen_import_wlaczony,'Tablica IO'!AQ316*INDEX(Model!$C$2:$CA$2,Model!$A82),'Tablica IO'!AQ316*1)</f>
        <v>1.1236532239177659E-3</v>
      </c>
      <c r="AR82" s="222" cm="1">
        <f t="array" aca="1" ref="AR82" ca="1">'Tablica IO'!AR238*INDEX(Model!$C$93:$CA$93,Model!$A82) + IF(wplyw_cen_import_wlaczony,'Tablica IO'!AR316*INDEX(Model!$C$2:$CA$2,Model!$A82),'Tablica IO'!AR316*1)</f>
        <v>5.1386781142197051E-4</v>
      </c>
      <c r="AS82" s="222" cm="1">
        <f t="array" aca="1" ref="AS82" ca="1">'Tablica IO'!AS238*INDEX(Model!$C$93:$CA$93,Model!$A82) + IF(wplyw_cen_import_wlaczony,'Tablica IO'!AS316*INDEX(Model!$C$2:$CA$2,Model!$A82),'Tablica IO'!AS316*1)</f>
        <v>1.8273806698751023E-6</v>
      </c>
      <c r="AT82" s="222" cm="1">
        <f t="array" aca="1" ref="AT82" ca="1">'Tablica IO'!AT238*INDEX(Model!$C$93:$CA$93,Model!$A82) + IF(wplyw_cen_import_wlaczony,'Tablica IO'!AT316*INDEX(Model!$C$2:$CA$2,Model!$A82),'Tablica IO'!AT316*1)</f>
        <v>5.318722573952734E-3</v>
      </c>
      <c r="AU82" s="222" cm="1">
        <f t="array" aca="1" ref="AU82" ca="1">'Tablica IO'!AU238*INDEX(Model!$C$93:$CA$93,Model!$A82) + IF(wplyw_cen_import_wlaczony,'Tablica IO'!AU316*INDEX(Model!$C$2:$CA$2,Model!$A82),'Tablica IO'!AU316*1)</f>
        <v>1.8415225252694288E-3</v>
      </c>
      <c r="AV82" s="222" cm="1">
        <f t="array" aca="1" ref="AV82" ca="1">'Tablica IO'!AV238*INDEX(Model!$C$93:$CA$93,Model!$A82) + IF(wplyw_cen_import_wlaczony,'Tablica IO'!AV316*INDEX(Model!$C$2:$CA$2,Model!$A82),'Tablica IO'!AV316*1)</f>
        <v>1.8997171387436186E-5</v>
      </c>
      <c r="AW82" s="222" cm="1">
        <f t="array" aca="1" ref="AW82" ca="1">'Tablica IO'!AW238*INDEX(Model!$C$93:$CA$93,Model!$A82) + IF(wplyw_cen_import_wlaczony,'Tablica IO'!AW316*INDEX(Model!$C$2:$CA$2,Model!$A82),'Tablica IO'!AW316*1)</f>
        <v>2.9663747609941259E-4</v>
      </c>
      <c r="AX82" s="222" cm="1">
        <f t="array" aca="1" ref="AX82" ca="1">'Tablica IO'!AX238*INDEX(Model!$C$93:$CA$93,Model!$A82) + IF(wplyw_cen_import_wlaczony,'Tablica IO'!AX316*INDEX(Model!$C$2:$CA$2,Model!$A82),'Tablica IO'!AX316*1)</f>
        <v>9.5466668925084852E-4</v>
      </c>
      <c r="AY82" s="222" cm="1">
        <f t="array" aca="1" ref="AY82" ca="1">'Tablica IO'!AY238*INDEX(Model!$C$93:$CA$93,Model!$A82) + IF(wplyw_cen_import_wlaczony,'Tablica IO'!AY316*INDEX(Model!$C$2:$CA$2,Model!$A82),'Tablica IO'!AY316*1)</f>
        <v>1.2322745748040393E-4</v>
      </c>
      <c r="AZ82" s="222" cm="1">
        <f t="array" aca="1" ref="AZ82" ca="1">'Tablica IO'!AZ238*INDEX(Model!$C$93:$CA$93,Model!$A82) + IF(wplyw_cen_import_wlaczony,'Tablica IO'!AZ316*INDEX(Model!$C$2:$CA$2,Model!$A82),'Tablica IO'!AZ316*1)</f>
        <v>0</v>
      </c>
      <c r="BA82" s="222" cm="1">
        <f t="array" aca="1" ref="BA82" ca="1">'Tablica IO'!BA238*INDEX(Model!$C$93:$CA$93,Model!$A82) + IF(wplyw_cen_import_wlaczony,'Tablica IO'!BA316*INDEX(Model!$C$2:$CA$2,Model!$A82),'Tablica IO'!BA316*1)</f>
        <v>3.5654662396920971E-6</v>
      </c>
      <c r="BB82" s="222" cm="1">
        <f t="array" aca="1" ref="BB82" ca="1">'Tablica IO'!BB238*INDEX(Model!$C$93:$CA$93,Model!$A82) + IF(wplyw_cen_import_wlaczony,'Tablica IO'!BB316*INDEX(Model!$C$2:$CA$2,Model!$A82),'Tablica IO'!BB316*1)</f>
        <v>7.3254492424873461E-5</v>
      </c>
      <c r="BC82" s="222" cm="1">
        <f t="array" aca="1" ref="BC82" ca="1">'Tablica IO'!BC238*INDEX(Model!$C$93:$CA$93,Model!$A82) + IF(wplyw_cen_import_wlaczony,'Tablica IO'!BC316*INDEX(Model!$C$2:$CA$2,Model!$A82),'Tablica IO'!BC316*1)</f>
        <v>9.967712354567002E-5</v>
      </c>
      <c r="BD82" s="222" cm="1">
        <f t="array" aca="1" ref="BD82" ca="1">'Tablica IO'!BD238*INDEX(Model!$C$93:$CA$93,Model!$A82) + IF(wplyw_cen_import_wlaczony,'Tablica IO'!BD316*INDEX(Model!$C$2:$CA$2,Model!$A82),'Tablica IO'!BD316*1)</f>
        <v>3.1691186253417761E-4</v>
      </c>
      <c r="BE82" s="222" cm="1">
        <f t="array" aca="1" ref="BE82" ca="1">'Tablica IO'!BE238*INDEX(Model!$C$93:$CA$93,Model!$A82) + IF(wplyw_cen_import_wlaczony,'Tablica IO'!BE316*INDEX(Model!$C$2:$CA$2,Model!$A82),'Tablica IO'!BE316*1)</f>
        <v>2.1172917994909875E-5</v>
      </c>
      <c r="BF82" s="222" cm="1">
        <f t="array" aca="1" ref="BF82" ca="1">'Tablica IO'!BF238*INDEX(Model!$C$93:$CA$93,Model!$A82) + IF(wplyw_cen_import_wlaczony,'Tablica IO'!BF316*INDEX(Model!$C$2:$CA$2,Model!$A82),'Tablica IO'!BF316*1)</f>
        <v>1.0073380560442797E-4</v>
      </c>
      <c r="BG82" s="222" cm="1">
        <f t="array" aca="1" ref="BG82" ca="1">'Tablica IO'!BG238*INDEX(Model!$C$93:$CA$93,Model!$A82) + IF(wplyw_cen_import_wlaczony,'Tablica IO'!BG316*INDEX(Model!$C$2:$CA$2,Model!$A82),'Tablica IO'!BG316*1)</f>
        <v>8.082262951890144E-4</v>
      </c>
      <c r="BH82" s="222" cm="1">
        <f t="array" aca="1" ref="BH82" ca="1">'Tablica IO'!BH238*INDEX(Model!$C$93:$CA$93,Model!$A82) + IF(wplyw_cen_import_wlaczony,'Tablica IO'!BH316*INDEX(Model!$C$2:$CA$2,Model!$A82),'Tablica IO'!BH316*1)</f>
        <v>1.8156279908577904E-4</v>
      </c>
      <c r="BI82" s="222" cm="1">
        <f t="array" aca="1" ref="BI82" ca="1">'Tablica IO'!BI238*INDEX(Model!$C$93:$CA$93,Model!$A82) + IF(wplyw_cen_import_wlaczony,'Tablica IO'!BI316*INDEX(Model!$C$2:$CA$2,Model!$A82),'Tablica IO'!BI316*1)</f>
        <v>0</v>
      </c>
      <c r="BJ82" s="222" cm="1">
        <f t="array" aca="1" ref="BJ82" ca="1">'Tablica IO'!BJ238*INDEX(Model!$C$93:$CA$93,Model!$A82) + IF(wplyw_cen_import_wlaczony,'Tablica IO'!BJ316*INDEX(Model!$C$2:$CA$2,Model!$A82),'Tablica IO'!BJ316*1)</f>
        <v>6.5157351549298696E-4</v>
      </c>
      <c r="BK82" s="222" cm="1">
        <f t="array" aca="1" ref="BK82" ca="1">'Tablica IO'!BK238*INDEX(Model!$C$93:$CA$93,Model!$A82) + IF(wplyw_cen_import_wlaczony,'Tablica IO'!BK316*INDEX(Model!$C$2:$CA$2,Model!$A82),'Tablica IO'!BK316*1)</f>
        <v>3.2904911853524812E-4</v>
      </c>
      <c r="BL82" s="222" cm="1">
        <f t="array" aca="1" ref="BL82" ca="1">'Tablica IO'!BL238*INDEX(Model!$C$93:$CA$93,Model!$A82) + IF(wplyw_cen_import_wlaczony,'Tablica IO'!BL316*INDEX(Model!$C$2:$CA$2,Model!$A82),'Tablica IO'!BL316*1)</f>
        <v>8.7641007600896951E-4</v>
      </c>
      <c r="BM82" s="222" cm="1">
        <f t="array" aca="1" ref="BM82" ca="1">'Tablica IO'!BM238*INDEX(Model!$C$93:$CA$93,Model!$A82) + IF(wplyw_cen_import_wlaczony,'Tablica IO'!BM316*INDEX(Model!$C$2:$CA$2,Model!$A82),'Tablica IO'!BM316*1)</f>
        <v>4.71182881221798E-5</v>
      </c>
      <c r="BN82" s="222" cm="1">
        <f t="array" aca="1" ref="BN82" ca="1">'Tablica IO'!BN238*INDEX(Model!$C$93:$CA$93,Model!$A82) + IF(wplyw_cen_import_wlaczony,'Tablica IO'!BN316*INDEX(Model!$C$2:$CA$2,Model!$A82),'Tablica IO'!BN316*1)</f>
        <v>5.6130698156223961E-5</v>
      </c>
      <c r="BO82" s="222" cm="1">
        <f t="array" aca="1" ref="BO82" ca="1">'Tablica IO'!BO238*INDEX(Model!$C$93:$CA$93,Model!$A82) + IF(wplyw_cen_import_wlaczony,'Tablica IO'!BO316*INDEX(Model!$C$2:$CA$2,Model!$A82),'Tablica IO'!BO316*1)</f>
        <v>9.1226525389565889E-5</v>
      </c>
      <c r="BP82" s="222" cm="1">
        <f t="array" aca="1" ref="BP82" ca="1">'Tablica IO'!BP238*INDEX(Model!$C$93:$CA$93,Model!$A82) + IF(wplyw_cen_import_wlaczony,'Tablica IO'!BP316*INDEX(Model!$C$2:$CA$2,Model!$A82),'Tablica IO'!BP316*1)</f>
        <v>1.2887383765249218E-4</v>
      </c>
      <c r="BQ82" s="222" cm="1">
        <f t="array" aca="1" ref="BQ82" ca="1">'Tablica IO'!BQ238*INDEX(Model!$C$93:$CA$93,Model!$A82) + IF(wplyw_cen_import_wlaczony,'Tablica IO'!BQ316*INDEX(Model!$C$2:$CA$2,Model!$A82),'Tablica IO'!BQ316*1)</f>
        <v>4.9141081113887261E-4</v>
      </c>
      <c r="BR82" s="222" cm="1">
        <f t="array" aca="1" ref="BR82" ca="1">'Tablica IO'!BR238*INDEX(Model!$C$93:$CA$93,Model!$A82) + IF(wplyw_cen_import_wlaczony,'Tablica IO'!BR316*INDEX(Model!$C$2:$CA$2,Model!$A82),'Tablica IO'!BR316*1)</f>
        <v>1.1322031260694713E-4</v>
      </c>
      <c r="BS82" s="222" cm="1">
        <f t="array" aca="1" ref="BS82" ca="1">'Tablica IO'!BS238*INDEX(Model!$C$93:$CA$93,Model!$A82) + IF(wplyw_cen_import_wlaczony,'Tablica IO'!BS316*INDEX(Model!$C$2:$CA$2,Model!$A82),'Tablica IO'!BS316*1)</f>
        <v>5.08344375399785E-5</v>
      </c>
      <c r="BT82" s="222" cm="1">
        <f t="array" aca="1" ref="BT82" ca="1">'Tablica IO'!BT238*INDEX(Model!$C$93:$CA$93,Model!$A82) + IF(wplyw_cen_import_wlaczony,'Tablica IO'!BT316*INDEX(Model!$C$2:$CA$2,Model!$A82),'Tablica IO'!BT316*1)</f>
        <v>0.14123455248642883</v>
      </c>
      <c r="BU82" s="222" cm="1">
        <f t="array" aca="1" ref="BU82" ca="1">'Tablica IO'!BU238*INDEX(Model!$C$93:$CA$93,Model!$A82) + IF(wplyw_cen_import_wlaczony,'Tablica IO'!BU316*INDEX(Model!$C$2:$CA$2,Model!$A82),'Tablica IO'!BU316*1)</f>
        <v>2.7863198672294372E-2</v>
      </c>
      <c r="BV82" s="222" cm="1">
        <f t="array" aca="1" ref="BV82" ca="1">'Tablica IO'!BV238*INDEX(Model!$C$93:$CA$93,Model!$A82) + IF(wplyw_cen_import_wlaczony,'Tablica IO'!BV316*INDEX(Model!$C$2:$CA$2,Model!$A82),'Tablica IO'!BV316*1)</f>
        <v>1.6480743317558684E-6</v>
      </c>
      <c r="BW82" s="222" cm="1">
        <f t="array" aca="1" ref="BW82" ca="1">'Tablica IO'!BW238*INDEX(Model!$C$93:$CA$93,Model!$A82) + IF(wplyw_cen_import_wlaczony,'Tablica IO'!BW316*INDEX(Model!$C$2:$CA$2,Model!$A82),'Tablica IO'!BW316*1)</f>
        <v>1.7837361332706501E-2</v>
      </c>
      <c r="BX82" s="222" cm="1">
        <f t="array" aca="1" ref="BX82" ca="1">'Tablica IO'!BX238*INDEX(Model!$C$93:$CA$93,Model!$A82) + IF(wplyw_cen_import_wlaczony,'Tablica IO'!BX316*INDEX(Model!$C$2:$CA$2,Model!$A82),'Tablica IO'!BX316*1)</f>
        <v>9.7179925050734346E-6</v>
      </c>
      <c r="BY82" s="222" cm="1">
        <f t="array" aca="1" ref="BY82" ca="1">'Tablica IO'!BY238*INDEX(Model!$C$93:$CA$93,Model!$A82) + IF(wplyw_cen_import_wlaczony,'Tablica IO'!BY316*INDEX(Model!$C$2:$CA$2,Model!$A82),'Tablica IO'!BY316*1)</f>
        <v>7.2918920307138174E-7</v>
      </c>
      <c r="BZ82" s="222" cm="1">
        <f t="array" aca="1" ref="BZ82" ca="1">'Tablica IO'!BZ238*INDEX(Model!$C$93:$CA$93,Model!$A82) + IF(wplyw_cen_import_wlaczony,'Tablica IO'!BZ316*INDEX(Model!$C$2:$CA$2,Model!$A82),'Tablica IO'!BZ316*1)</f>
        <v>2.7050687352945369E-4</v>
      </c>
      <c r="CA82" s="222" cm="1">
        <f t="array" aca="1" ref="CA82" ca="1">'Tablica IO'!CA238*INDEX(Model!$C$93:$CA$93,Model!$A82) + IF(wplyw_cen_import_wlaczony,'Tablica IO'!CA316*INDEX(Model!$C$2:$CA$2,Model!$A82),'Tablica IO'!CA316*1)</f>
        <v>0</v>
      </c>
      <c r="CB82" s="247">
        <f ca="1">'Tablica IO'!CD238*INDEX(Model!$C$93:$CA$93,Model!$A82)+'Tablica IO'!CD316*INDEX(Model!$C$2:$CA$2,Model!$A82)</f>
        <v>2.2131589475311896E-3</v>
      </c>
      <c r="CC82" s="188">
        <f ca="1">'Tablica IO'!CE238*INDEX(Model!$C$93:$CA$93,Model!$A82)+'Tablica IO'!CE316*INDEX(Model!$C$2:$CA$2,Model!$A82)</f>
        <v>2.1592245281937466E-2</v>
      </c>
      <c r="CD82" s="188">
        <f ca="1">'Tablica IO'!CF238*INDEX(Model!$C$93:$CA$93,Model!$A82)+'Tablica IO'!CF316*INDEX(Model!$C$2:$CA$2,Model!$A82)</f>
        <v>3.5320063875728344E-3</v>
      </c>
      <c r="CE82" s="189">
        <f ca="1">'Tablica IO'!CG238*INDEX(Model!$C$93:$CA$93,Model!$A82)+'Tablica IO'!CG316*INDEX(Model!$C$2:$CA$2,Model!$A82)</f>
        <v>4.0059188941479458E-4</v>
      </c>
    </row>
    <row r="83" spans="1:83" x14ac:dyDescent="0.25">
      <c r="A83" s="164">
        <v>71</v>
      </c>
      <c r="B83" s="172" t="s">
        <v>70</v>
      </c>
      <c r="C83" s="221" cm="1">
        <f t="array" aca="1" ref="C83" ca="1">'Tablica IO'!C239*INDEX(Model!$C$93:$CA$93,Model!$A83) + IF(wplyw_cen_import_wlaczony,'Tablica IO'!C317*INDEX(Model!$C$2:$CA$2,Model!$A83),'Tablica IO'!C317*1)</f>
        <v>1.9909747879523358E-5</v>
      </c>
      <c r="D83" s="222" cm="1">
        <f t="array" aca="1" ref="D83" ca="1">'Tablica IO'!D239*INDEX(Model!$C$93:$CA$93,Model!$A83) + IF(wplyw_cen_import_wlaczony,'Tablica IO'!D317*INDEX(Model!$C$2:$CA$2,Model!$A83),'Tablica IO'!D317*1)</f>
        <v>8.4449696105492398E-5</v>
      </c>
      <c r="E83" s="222" cm="1">
        <f t="array" aca="1" ref="E83" ca="1">'Tablica IO'!E239*INDEX(Model!$C$93:$CA$93,Model!$A83) + IF(wplyw_cen_import_wlaczony,'Tablica IO'!E317*INDEX(Model!$C$2:$CA$2,Model!$A83),'Tablica IO'!E317*1)</f>
        <v>3.9065566853394445E-6</v>
      </c>
      <c r="F83" s="222" cm="1">
        <f t="array" aca="1" ref="F83" ca="1">'Tablica IO'!F239*INDEX(Model!$C$93:$CA$93,Model!$A83) + IF(wplyw_cen_import_wlaczony,'Tablica IO'!F317*INDEX(Model!$C$2:$CA$2,Model!$A83),'Tablica IO'!F317*1)</f>
        <v>7.1450905907883365E-5</v>
      </c>
      <c r="G83" s="222" cm="1">
        <f t="array" aca="1" ref="G83" ca="1">'Tablica IO'!G239*INDEX(Model!$C$93:$CA$93,Model!$A83) + IF(wplyw_cen_import_wlaczony,'Tablica IO'!G317*INDEX(Model!$C$2:$CA$2,Model!$A83),'Tablica IO'!G317*1)</f>
        <v>7.4193506952478625E-5</v>
      </c>
      <c r="H83" s="222" cm="1">
        <f t="array" aca="1" ref="H83" ca="1">'Tablica IO'!H239*INDEX(Model!$C$93:$CA$93,Model!$A83) + IF(wplyw_cen_import_wlaczony,'Tablica IO'!H317*INDEX(Model!$C$2:$CA$2,Model!$A83),'Tablica IO'!H317*1)</f>
        <v>3.1814815064810401E-5</v>
      </c>
      <c r="I83" s="222" cm="1">
        <f t="array" aca="1" ref="I83" ca="1">'Tablica IO'!I239*INDEX(Model!$C$93:$CA$93,Model!$A83) + IF(wplyw_cen_import_wlaczony,'Tablica IO'!I317*INDEX(Model!$C$2:$CA$2,Model!$A83),'Tablica IO'!I317*1)</f>
        <v>2.0746705720647178E-5</v>
      </c>
      <c r="J83" s="222" cm="1">
        <f t="array" aca="1" ref="J83" ca="1">'Tablica IO'!J239*INDEX(Model!$C$93:$CA$93,Model!$A83) + IF(wplyw_cen_import_wlaczony,'Tablica IO'!J317*INDEX(Model!$C$2:$CA$2,Model!$A83),'Tablica IO'!J317*1)</f>
        <v>3.2297593780077867E-5</v>
      </c>
      <c r="K83" s="222" cm="1">
        <f t="array" aca="1" ref="K83" ca="1">'Tablica IO'!K239*INDEX(Model!$C$93:$CA$93,Model!$A83) + IF(wplyw_cen_import_wlaczony,'Tablica IO'!K317*INDEX(Model!$C$2:$CA$2,Model!$A83),'Tablica IO'!K317*1)</f>
        <v>5.3381316649689775E-5</v>
      </c>
      <c r="L83" s="222" cm="1">
        <f t="array" aca="1" ref="L83" ca="1">'Tablica IO'!L239*INDEX(Model!$C$93:$CA$93,Model!$A83) + IF(wplyw_cen_import_wlaczony,'Tablica IO'!L317*INDEX(Model!$C$2:$CA$2,Model!$A83),'Tablica IO'!L317*1)</f>
        <v>5.7169038779936938E-5</v>
      </c>
      <c r="M83" s="222" cm="1">
        <f t="array" aca="1" ref="M83" ca="1">'Tablica IO'!M239*INDEX(Model!$C$93:$CA$93,Model!$A83) + IF(wplyw_cen_import_wlaczony,'Tablica IO'!M317*INDEX(Model!$C$2:$CA$2,Model!$A83),'Tablica IO'!M317*1)</f>
        <v>5.9552082448146978E-5</v>
      </c>
      <c r="N83" s="222" cm="1">
        <f t="array" aca="1" ref="N83" ca="1">'Tablica IO'!N239*INDEX(Model!$C$93:$CA$93,Model!$A83) + IF(wplyw_cen_import_wlaczony,'Tablica IO'!N317*INDEX(Model!$C$2:$CA$2,Model!$A83),'Tablica IO'!N317*1)</f>
        <v>2.6389605646768201E-5</v>
      </c>
      <c r="O83" s="222" cm="1">
        <f t="array" aca="1" ref="O83" ca="1">'Tablica IO'!O239*INDEX(Model!$C$93:$CA$93,Model!$A83) + IF(wplyw_cen_import_wlaczony,'Tablica IO'!O317*INDEX(Model!$C$2:$CA$2,Model!$A83),'Tablica IO'!O317*1)</f>
        <v>4.4148088400106881E-5</v>
      </c>
      <c r="P83" s="222" cm="1">
        <f t="array" aca="1" ref="P83" ca="1">'Tablica IO'!P239*INDEX(Model!$C$93:$CA$93,Model!$A83) + IF(wplyw_cen_import_wlaczony,'Tablica IO'!P317*INDEX(Model!$C$2:$CA$2,Model!$A83),'Tablica IO'!P317*1)</f>
        <v>5.1603062893677625E-4</v>
      </c>
      <c r="Q83" s="222" cm="1">
        <f t="array" aca="1" ref="Q83" ca="1">'Tablica IO'!Q239*INDEX(Model!$C$93:$CA$93,Model!$A83) + IF(wplyw_cen_import_wlaczony,'Tablica IO'!Q317*INDEX(Model!$C$2:$CA$2,Model!$A83),'Tablica IO'!Q317*1)</f>
        <v>1.8482627201440781E-5</v>
      </c>
      <c r="R83" s="222" cm="1">
        <f t="array" aca="1" ref="R83" ca="1">'Tablica IO'!R239*INDEX(Model!$C$93:$CA$93,Model!$A83) + IF(wplyw_cen_import_wlaczony,'Tablica IO'!R317*INDEX(Model!$C$2:$CA$2,Model!$A83),'Tablica IO'!R317*1)</f>
        <v>3.9132209120239968E-5</v>
      </c>
      <c r="S83" s="222" cm="1">
        <f t="array" aca="1" ref="S83" ca="1">'Tablica IO'!S239*INDEX(Model!$C$93:$CA$93,Model!$A83) + IF(wplyw_cen_import_wlaczony,'Tablica IO'!S317*INDEX(Model!$C$2:$CA$2,Model!$A83),'Tablica IO'!S317*1)</f>
        <v>0</v>
      </c>
      <c r="T83" s="222" cm="1">
        <f t="array" aca="1" ref="T83" ca="1">'Tablica IO'!T239*INDEX(Model!$C$93:$CA$93,Model!$A83) + IF(wplyw_cen_import_wlaczony,'Tablica IO'!T317*INDEX(Model!$C$2:$CA$2,Model!$A83),'Tablica IO'!T317*1)</f>
        <v>3.4979772139461973E-5</v>
      </c>
      <c r="U83" s="222" cm="1">
        <f t="array" aca="1" ref="U83" ca="1">'Tablica IO'!U239*INDEX(Model!$C$93:$CA$93,Model!$A83) + IF(wplyw_cen_import_wlaczony,'Tablica IO'!U317*INDEX(Model!$C$2:$CA$2,Model!$A83),'Tablica IO'!U317*1)</f>
        <v>3.008969915425965E-5</v>
      </c>
      <c r="V83" s="222" cm="1">
        <f t="array" aca="1" ref="V83" ca="1">'Tablica IO'!V239*INDEX(Model!$C$93:$CA$93,Model!$A83) + IF(wplyw_cen_import_wlaczony,'Tablica IO'!V317*INDEX(Model!$C$2:$CA$2,Model!$A83),'Tablica IO'!V317*1)</f>
        <v>1.241788666876764E-5</v>
      </c>
      <c r="W83" s="222" cm="1">
        <f t="array" aca="1" ref="W83" ca="1">'Tablica IO'!W239*INDEX(Model!$C$93:$CA$93,Model!$A83) + IF(wplyw_cen_import_wlaczony,'Tablica IO'!W317*INDEX(Model!$C$2:$CA$2,Model!$A83),'Tablica IO'!W317*1)</f>
        <v>2.8918727990221142E-5</v>
      </c>
      <c r="X83" s="222" cm="1">
        <f t="array" aca="1" ref="X83" ca="1">'Tablica IO'!X239*INDEX(Model!$C$93:$CA$93,Model!$A83) + IF(wplyw_cen_import_wlaczony,'Tablica IO'!X317*INDEX(Model!$C$2:$CA$2,Model!$A83),'Tablica IO'!X317*1)</f>
        <v>7.9042361643501547E-7</v>
      </c>
      <c r="Y83" s="222" cm="1">
        <f t="array" aca="1" ref="Y83" ca="1">'Tablica IO'!Y239*INDEX(Model!$C$93:$CA$93,Model!$A83) + IF(wplyw_cen_import_wlaczony,'Tablica IO'!Y317*INDEX(Model!$C$2:$CA$2,Model!$A83),'Tablica IO'!Y317*1)</f>
        <v>3.8013135650698556E-5</v>
      </c>
      <c r="Z83" s="222" cm="1">
        <f t="array" aca="1" ref="Z83" ca="1">'Tablica IO'!Z239*INDEX(Model!$C$93:$CA$93,Model!$A83) + IF(wplyw_cen_import_wlaczony,'Tablica IO'!Z317*INDEX(Model!$C$2:$CA$2,Model!$A83),'Tablica IO'!Z317*1)</f>
        <v>1.6763810441548363E-5</v>
      </c>
      <c r="AA83" s="222" cm="1">
        <f t="array" aca="1" ref="AA83" ca="1">'Tablica IO'!AA239*INDEX(Model!$C$93:$CA$93,Model!$A83) + IF(wplyw_cen_import_wlaczony,'Tablica IO'!AA317*INDEX(Model!$C$2:$CA$2,Model!$A83),'Tablica IO'!AA317*1)</f>
        <v>1.785578244790238E-5</v>
      </c>
      <c r="AB83" s="222" cm="1">
        <f t="array" aca="1" ref="AB83" ca="1">'Tablica IO'!AB239*INDEX(Model!$C$93:$CA$93,Model!$A83) + IF(wplyw_cen_import_wlaczony,'Tablica IO'!AB317*INDEX(Model!$C$2:$CA$2,Model!$A83),'Tablica IO'!AB317*1)</f>
        <v>0</v>
      </c>
      <c r="AC83" s="222" cm="1">
        <f t="array" aca="1" ref="AC83" ca="1">'Tablica IO'!AC239*INDEX(Model!$C$93:$CA$93,Model!$A83) + IF(wplyw_cen_import_wlaczony,'Tablica IO'!AC317*INDEX(Model!$C$2:$CA$2,Model!$A83),'Tablica IO'!AC317*1)</f>
        <v>4.2265489761864205E-5</v>
      </c>
      <c r="AD83" s="222" cm="1">
        <f t="array" aca="1" ref="AD83" ca="1">'Tablica IO'!AD239*INDEX(Model!$C$93:$CA$93,Model!$A83) + IF(wplyw_cen_import_wlaczony,'Tablica IO'!AD317*INDEX(Model!$C$2:$CA$2,Model!$A83),'Tablica IO'!AD317*1)</f>
        <v>0</v>
      </c>
      <c r="AE83" s="222" cm="1">
        <f t="array" aca="1" ref="AE83" ca="1">'Tablica IO'!AE239*INDEX(Model!$C$93:$CA$93,Model!$A83) + IF(wplyw_cen_import_wlaczony,'Tablica IO'!AE317*INDEX(Model!$C$2:$CA$2,Model!$A83),'Tablica IO'!AE317*1)</f>
        <v>5.7662705061608292E-6</v>
      </c>
      <c r="AF83" s="222" cm="1">
        <f t="array" aca="1" ref="AF83" ca="1">'Tablica IO'!AF239*INDEX(Model!$C$93:$CA$93,Model!$A83) + IF(wplyw_cen_import_wlaczony,'Tablica IO'!AF317*INDEX(Model!$C$2:$CA$2,Model!$A83),'Tablica IO'!AF317*1)</f>
        <v>4.7670098186761818E-5</v>
      </c>
      <c r="AG83" s="222" cm="1">
        <f t="array" aca="1" ref="AG83" ca="1">'Tablica IO'!AG239*INDEX(Model!$C$93:$CA$93,Model!$A83) + IF(wplyw_cen_import_wlaczony,'Tablica IO'!AG317*INDEX(Model!$C$2:$CA$2,Model!$A83),'Tablica IO'!AG317*1)</f>
        <v>8.6437344640387666E-5</v>
      </c>
      <c r="AH83" s="222" cm="1">
        <f t="array" aca="1" ref="AH83" ca="1">'Tablica IO'!AH239*INDEX(Model!$C$93:$CA$93,Model!$A83) + IF(wplyw_cen_import_wlaczony,'Tablica IO'!AH317*INDEX(Model!$C$2:$CA$2,Model!$A83),'Tablica IO'!AH317*1)</f>
        <v>9.5527588937555579E-5</v>
      </c>
      <c r="AI83" s="222" cm="1">
        <f t="array" aca="1" ref="AI83" ca="1">'Tablica IO'!AI239*INDEX(Model!$C$93:$CA$93,Model!$A83) + IF(wplyw_cen_import_wlaczony,'Tablica IO'!AI317*INDEX(Model!$C$2:$CA$2,Model!$A83),'Tablica IO'!AI317*1)</f>
        <v>1.3760414465287251E-5</v>
      </c>
      <c r="AJ83" s="222" cm="1">
        <f t="array" aca="1" ref="AJ83" ca="1">'Tablica IO'!AJ239*INDEX(Model!$C$93:$CA$93,Model!$A83) + IF(wplyw_cen_import_wlaczony,'Tablica IO'!AJ317*INDEX(Model!$C$2:$CA$2,Model!$A83),'Tablica IO'!AJ317*1)</f>
        <v>1.2503993508884799E-5</v>
      </c>
      <c r="AK83" s="222" cm="1">
        <f t="array" aca="1" ref="AK83" ca="1">'Tablica IO'!AK239*INDEX(Model!$C$93:$CA$93,Model!$A83) + IF(wplyw_cen_import_wlaczony,'Tablica IO'!AK317*INDEX(Model!$C$2:$CA$2,Model!$A83),'Tablica IO'!AK317*1)</f>
        <v>1.4328979648994735E-5</v>
      </c>
      <c r="AL83" s="222" cm="1">
        <f t="array" aca="1" ref="AL83" ca="1">'Tablica IO'!AL239*INDEX(Model!$C$93:$CA$93,Model!$A83) + IF(wplyw_cen_import_wlaczony,'Tablica IO'!AL317*INDEX(Model!$C$2:$CA$2,Model!$A83),'Tablica IO'!AL317*1)</f>
        <v>2.0461381237599587E-5</v>
      </c>
      <c r="AM83" s="222" cm="1">
        <f t="array" aca="1" ref="AM83" ca="1">'Tablica IO'!AM239*INDEX(Model!$C$93:$CA$93,Model!$A83) + IF(wplyw_cen_import_wlaczony,'Tablica IO'!AM317*INDEX(Model!$C$2:$CA$2,Model!$A83),'Tablica IO'!AM317*1)</f>
        <v>1.3468711795435731E-5</v>
      </c>
      <c r="AN83" s="222" cm="1">
        <f t="array" aca="1" ref="AN83" ca="1">'Tablica IO'!AN239*INDEX(Model!$C$93:$CA$93,Model!$A83) + IF(wplyw_cen_import_wlaczony,'Tablica IO'!AN317*INDEX(Model!$C$2:$CA$2,Model!$A83),'Tablica IO'!AN317*1)</f>
        <v>6.5709236808837827E-6</v>
      </c>
      <c r="AO83" s="222" cm="1">
        <f t="array" aca="1" ref="AO83" ca="1">'Tablica IO'!AO239*INDEX(Model!$C$93:$CA$93,Model!$A83) + IF(wplyw_cen_import_wlaczony,'Tablica IO'!AO317*INDEX(Model!$C$2:$CA$2,Model!$A83),'Tablica IO'!AO317*1)</f>
        <v>6.8086273518829017E-5</v>
      </c>
      <c r="AP83" s="222" cm="1">
        <f t="array" aca="1" ref="AP83" ca="1">'Tablica IO'!AP239*INDEX(Model!$C$93:$CA$93,Model!$A83) + IF(wplyw_cen_import_wlaczony,'Tablica IO'!AP317*INDEX(Model!$C$2:$CA$2,Model!$A83),'Tablica IO'!AP317*1)</f>
        <v>3.3697066312597106E-6</v>
      </c>
      <c r="AQ83" s="222" cm="1">
        <f t="array" aca="1" ref="AQ83" ca="1">'Tablica IO'!AQ239*INDEX(Model!$C$93:$CA$93,Model!$A83) + IF(wplyw_cen_import_wlaczony,'Tablica IO'!AQ317*INDEX(Model!$C$2:$CA$2,Model!$A83),'Tablica IO'!AQ317*1)</f>
        <v>1.4255924097049882E-4</v>
      </c>
      <c r="AR83" s="222" cm="1">
        <f t="array" aca="1" ref="AR83" ca="1">'Tablica IO'!AR239*INDEX(Model!$C$93:$CA$93,Model!$A83) + IF(wplyw_cen_import_wlaczony,'Tablica IO'!AR317*INDEX(Model!$C$2:$CA$2,Model!$A83),'Tablica IO'!AR317*1)</f>
        <v>1.3562023933958624E-5</v>
      </c>
      <c r="AS83" s="222" cm="1">
        <f t="array" aca="1" ref="AS83" ca="1">'Tablica IO'!AS239*INDEX(Model!$C$93:$CA$93,Model!$A83) + IF(wplyw_cen_import_wlaczony,'Tablica IO'!AS317*INDEX(Model!$C$2:$CA$2,Model!$A83),'Tablica IO'!AS317*1)</f>
        <v>1.6724554891981436E-4</v>
      </c>
      <c r="AT83" s="222" cm="1">
        <f t="array" aca="1" ref="AT83" ca="1">'Tablica IO'!AT239*INDEX(Model!$C$93:$CA$93,Model!$A83) + IF(wplyw_cen_import_wlaczony,'Tablica IO'!AT317*INDEX(Model!$C$2:$CA$2,Model!$A83),'Tablica IO'!AT317*1)</f>
        <v>0</v>
      </c>
      <c r="AU83" s="222" cm="1">
        <f t="array" aca="1" ref="AU83" ca="1">'Tablica IO'!AU239*INDEX(Model!$C$93:$CA$93,Model!$A83) + IF(wplyw_cen_import_wlaczony,'Tablica IO'!AU317*INDEX(Model!$C$2:$CA$2,Model!$A83),'Tablica IO'!AU317*1)</f>
        <v>2.9445595456029585E-6</v>
      </c>
      <c r="AV83" s="222" cm="1">
        <f t="array" aca="1" ref="AV83" ca="1">'Tablica IO'!AV239*INDEX(Model!$C$93:$CA$93,Model!$A83) + IF(wplyw_cen_import_wlaczony,'Tablica IO'!AV317*INDEX(Model!$C$2:$CA$2,Model!$A83),'Tablica IO'!AV317*1)</f>
        <v>7.5259569577751868E-6</v>
      </c>
      <c r="AW83" s="222" cm="1">
        <f t="array" aca="1" ref="AW83" ca="1">'Tablica IO'!AW239*INDEX(Model!$C$93:$CA$93,Model!$A83) + IF(wplyw_cen_import_wlaczony,'Tablica IO'!AW317*INDEX(Model!$C$2:$CA$2,Model!$A83),'Tablica IO'!AW317*1)</f>
        <v>7.3342294291397972E-8</v>
      </c>
      <c r="AX83" s="222" cm="1">
        <f t="array" aca="1" ref="AX83" ca="1">'Tablica IO'!AX239*INDEX(Model!$C$93:$CA$93,Model!$A83) + IF(wplyw_cen_import_wlaczony,'Tablica IO'!AX317*INDEX(Model!$C$2:$CA$2,Model!$A83),'Tablica IO'!AX317*1)</f>
        <v>1.0842594257148951E-4</v>
      </c>
      <c r="AY83" s="222" cm="1">
        <f t="array" aca="1" ref="AY83" ca="1">'Tablica IO'!AY239*INDEX(Model!$C$93:$CA$93,Model!$A83) + IF(wplyw_cen_import_wlaczony,'Tablica IO'!AY317*INDEX(Model!$C$2:$CA$2,Model!$A83),'Tablica IO'!AY317*1)</f>
        <v>2.4593589925974122E-5</v>
      </c>
      <c r="AZ83" s="222" cm="1">
        <f t="array" aca="1" ref="AZ83" ca="1">'Tablica IO'!AZ239*INDEX(Model!$C$93:$CA$93,Model!$A83) + IF(wplyw_cen_import_wlaczony,'Tablica IO'!AZ317*INDEX(Model!$C$2:$CA$2,Model!$A83),'Tablica IO'!AZ317*1)</f>
        <v>4.3490343305426241E-5</v>
      </c>
      <c r="BA83" s="222" cm="1">
        <f t="array" aca="1" ref="BA83" ca="1">'Tablica IO'!BA239*INDEX(Model!$C$93:$CA$93,Model!$A83) + IF(wplyw_cen_import_wlaczony,'Tablica IO'!BA317*INDEX(Model!$C$2:$CA$2,Model!$A83),'Tablica IO'!BA317*1)</f>
        <v>1.6008997931919842E-5</v>
      </c>
      <c r="BB83" s="222" cm="1">
        <f t="array" aca="1" ref="BB83" ca="1">'Tablica IO'!BB239*INDEX(Model!$C$93:$CA$93,Model!$A83) + IF(wplyw_cen_import_wlaczony,'Tablica IO'!BB317*INDEX(Model!$C$2:$CA$2,Model!$A83),'Tablica IO'!BB317*1)</f>
        <v>8.6321412141309374E-6</v>
      </c>
      <c r="BC83" s="222" cm="1">
        <f t="array" aca="1" ref="BC83" ca="1">'Tablica IO'!BC239*INDEX(Model!$C$93:$CA$93,Model!$A83) + IF(wplyw_cen_import_wlaczony,'Tablica IO'!BC317*INDEX(Model!$C$2:$CA$2,Model!$A83),'Tablica IO'!BC317*1)</f>
        <v>6.2138938370531771E-5</v>
      </c>
      <c r="BD83" s="222" cm="1">
        <f t="array" aca="1" ref="BD83" ca="1">'Tablica IO'!BD239*INDEX(Model!$C$93:$CA$93,Model!$A83) + IF(wplyw_cen_import_wlaczony,'Tablica IO'!BD317*INDEX(Model!$C$2:$CA$2,Model!$A83),'Tablica IO'!BD317*1)</f>
        <v>8.0951468342889692E-4</v>
      </c>
      <c r="BE83" s="222" cm="1">
        <f t="array" aca="1" ref="BE83" ca="1">'Tablica IO'!BE239*INDEX(Model!$C$93:$CA$93,Model!$A83) + IF(wplyw_cen_import_wlaczony,'Tablica IO'!BE317*INDEX(Model!$C$2:$CA$2,Model!$A83),'Tablica IO'!BE317*1)</f>
        <v>2.6044802206984671E-5</v>
      </c>
      <c r="BF83" s="222" cm="1">
        <f t="array" aca="1" ref="BF83" ca="1">'Tablica IO'!BF239*INDEX(Model!$C$93:$CA$93,Model!$A83) + IF(wplyw_cen_import_wlaczony,'Tablica IO'!BF317*INDEX(Model!$C$2:$CA$2,Model!$A83),'Tablica IO'!BF317*1)</f>
        <v>1.6143186007950823E-4</v>
      </c>
      <c r="BG83" s="222" cm="1">
        <f t="array" aca="1" ref="BG83" ca="1">'Tablica IO'!BG239*INDEX(Model!$C$93:$CA$93,Model!$A83) + IF(wplyw_cen_import_wlaczony,'Tablica IO'!BG317*INDEX(Model!$C$2:$CA$2,Model!$A83),'Tablica IO'!BG317*1)</f>
        <v>2.2193141729265911E-4</v>
      </c>
      <c r="BH83" s="222" cm="1">
        <f t="array" aca="1" ref="BH83" ca="1">'Tablica IO'!BH239*INDEX(Model!$C$93:$CA$93,Model!$A83) + IF(wplyw_cen_import_wlaczony,'Tablica IO'!BH317*INDEX(Model!$C$2:$CA$2,Model!$A83),'Tablica IO'!BH317*1)</f>
        <v>1.8303587298985702E-6</v>
      </c>
      <c r="BI83" s="222" cm="1">
        <f t="array" aca="1" ref="BI83" ca="1">'Tablica IO'!BI239*INDEX(Model!$C$93:$CA$93,Model!$A83) + IF(wplyw_cen_import_wlaczony,'Tablica IO'!BI317*INDEX(Model!$C$2:$CA$2,Model!$A83),'Tablica IO'!BI317*1)</f>
        <v>0</v>
      </c>
      <c r="BJ83" s="222" cm="1">
        <f t="array" aca="1" ref="BJ83" ca="1">'Tablica IO'!BJ239*INDEX(Model!$C$93:$CA$93,Model!$A83) + IF(wplyw_cen_import_wlaczony,'Tablica IO'!BJ317*INDEX(Model!$C$2:$CA$2,Model!$A83),'Tablica IO'!BJ317*1)</f>
        <v>2.1338267484753118E-4</v>
      </c>
      <c r="BK83" s="222" cm="1">
        <f t="array" aca="1" ref="BK83" ca="1">'Tablica IO'!BK239*INDEX(Model!$C$93:$CA$93,Model!$A83) + IF(wplyw_cen_import_wlaczony,'Tablica IO'!BK317*INDEX(Model!$C$2:$CA$2,Model!$A83),'Tablica IO'!BK317*1)</f>
        <v>5.8664845747146889E-6</v>
      </c>
      <c r="BL83" s="222" cm="1">
        <f t="array" aca="1" ref="BL83" ca="1">'Tablica IO'!BL239*INDEX(Model!$C$93:$CA$93,Model!$A83) + IF(wplyw_cen_import_wlaczony,'Tablica IO'!BL317*INDEX(Model!$C$2:$CA$2,Model!$A83),'Tablica IO'!BL317*1)</f>
        <v>1.0163911359616928E-4</v>
      </c>
      <c r="BM83" s="222" cm="1">
        <f t="array" aca="1" ref="BM83" ca="1">'Tablica IO'!BM239*INDEX(Model!$C$93:$CA$93,Model!$A83) + IF(wplyw_cen_import_wlaczony,'Tablica IO'!BM317*INDEX(Model!$C$2:$CA$2,Model!$A83),'Tablica IO'!BM317*1)</f>
        <v>2.4574047274164782E-5</v>
      </c>
      <c r="BN83" s="222" cm="1">
        <f t="array" aca="1" ref="BN83" ca="1">'Tablica IO'!BN239*INDEX(Model!$C$93:$CA$93,Model!$A83) + IF(wplyw_cen_import_wlaczony,'Tablica IO'!BN317*INDEX(Model!$C$2:$CA$2,Model!$A83),'Tablica IO'!BN317*1)</f>
        <v>4.1180893301994446E-6</v>
      </c>
      <c r="BO83" s="222" cm="1">
        <f t="array" aca="1" ref="BO83" ca="1">'Tablica IO'!BO239*INDEX(Model!$C$93:$CA$93,Model!$A83) + IF(wplyw_cen_import_wlaczony,'Tablica IO'!BO317*INDEX(Model!$C$2:$CA$2,Model!$A83),'Tablica IO'!BO317*1)</f>
        <v>0</v>
      </c>
      <c r="BP83" s="222" cm="1">
        <f t="array" aca="1" ref="BP83" ca="1">'Tablica IO'!BP239*INDEX(Model!$C$93:$CA$93,Model!$A83) + IF(wplyw_cen_import_wlaczony,'Tablica IO'!BP317*INDEX(Model!$C$2:$CA$2,Model!$A83),'Tablica IO'!BP317*1)</f>
        <v>7.8444887653092695E-5</v>
      </c>
      <c r="BQ83" s="222" cm="1">
        <f t="array" aca="1" ref="BQ83" ca="1">'Tablica IO'!BQ239*INDEX(Model!$C$93:$CA$93,Model!$A83) + IF(wplyw_cen_import_wlaczony,'Tablica IO'!BQ317*INDEX(Model!$C$2:$CA$2,Model!$A83),'Tablica IO'!BQ317*1)</f>
        <v>9.5640168426743553E-5</v>
      </c>
      <c r="BR83" s="222" cm="1">
        <f t="array" aca="1" ref="BR83" ca="1">'Tablica IO'!BR239*INDEX(Model!$C$93:$CA$93,Model!$A83) + IF(wplyw_cen_import_wlaczony,'Tablica IO'!BR317*INDEX(Model!$C$2:$CA$2,Model!$A83),'Tablica IO'!BR317*1)</f>
        <v>6.0092945740841252E-5</v>
      </c>
      <c r="BS83" s="222" cm="1">
        <f t="array" aca="1" ref="BS83" ca="1">'Tablica IO'!BS239*INDEX(Model!$C$93:$CA$93,Model!$A83) + IF(wplyw_cen_import_wlaczony,'Tablica IO'!BS317*INDEX(Model!$C$2:$CA$2,Model!$A83),'Tablica IO'!BS317*1)</f>
        <v>8.1489547760383321E-5</v>
      </c>
      <c r="BT83" s="222" cm="1">
        <f t="array" aca="1" ref="BT83" ca="1">'Tablica IO'!BT239*INDEX(Model!$C$93:$CA$93,Model!$A83) + IF(wplyw_cen_import_wlaczony,'Tablica IO'!BT317*INDEX(Model!$C$2:$CA$2,Model!$A83),'Tablica IO'!BT317*1)</f>
        <v>1.9162769485852251E-3</v>
      </c>
      <c r="BU83" s="222" cm="1">
        <f t="array" aca="1" ref="BU83" ca="1">'Tablica IO'!BU239*INDEX(Model!$C$93:$CA$93,Model!$A83) + IF(wplyw_cen_import_wlaczony,'Tablica IO'!BU317*INDEX(Model!$C$2:$CA$2,Model!$A83),'Tablica IO'!BU317*1)</f>
        <v>3.4281303520898483E-2</v>
      </c>
      <c r="BV83" s="222" cm="1">
        <f t="array" aca="1" ref="BV83" ca="1">'Tablica IO'!BV239*INDEX(Model!$C$93:$CA$93,Model!$A83) + IF(wplyw_cen_import_wlaczony,'Tablica IO'!BV317*INDEX(Model!$C$2:$CA$2,Model!$A83),'Tablica IO'!BV317*1)</f>
        <v>5.6748459595531479E-5</v>
      </c>
      <c r="BW83" s="222" cm="1">
        <f t="array" aca="1" ref="BW83" ca="1">'Tablica IO'!BW239*INDEX(Model!$C$93:$CA$93,Model!$A83) + IF(wplyw_cen_import_wlaczony,'Tablica IO'!BW317*INDEX(Model!$C$2:$CA$2,Model!$A83),'Tablica IO'!BW317*1)</f>
        <v>1.7161691054696699E-4</v>
      </c>
      <c r="BX83" s="222" cm="1">
        <f t="array" aca="1" ref="BX83" ca="1">'Tablica IO'!BX239*INDEX(Model!$C$93:$CA$93,Model!$A83) + IF(wplyw_cen_import_wlaczony,'Tablica IO'!BX317*INDEX(Model!$C$2:$CA$2,Model!$A83),'Tablica IO'!BX317*1)</f>
        <v>0</v>
      </c>
      <c r="BY83" s="222" cm="1">
        <f t="array" aca="1" ref="BY83" ca="1">'Tablica IO'!BY239*INDEX(Model!$C$93:$CA$93,Model!$A83) + IF(wplyw_cen_import_wlaczony,'Tablica IO'!BY317*INDEX(Model!$C$2:$CA$2,Model!$A83),'Tablica IO'!BY317*1)</f>
        <v>0</v>
      </c>
      <c r="BZ83" s="222" cm="1">
        <f t="array" aca="1" ref="BZ83" ca="1">'Tablica IO'!BZ239*INDEX(Model!$C$93:$CA$93,Model!$A83) + IF(wplyw_cen_import_wlaczony,'Tablica IO'!BZ317*INDEX(Model!$C$2:$CA$2,Model!$A83),'Tablica IO'!BZ317*1)</f>
        <v>1.204509816711946E-4</v>
      </c>
      <c r="CA83" s="222" cm="1">
        <f t="array" aca="1" ref="CA83" ca="1">'Tablica IO'!CA239*INDEX(Model!$C$93:$CA$93,Model!$A83) + IF(wplyw_cen_import_wlaczony,'Tablica IO'!CA317*INDEX(Model!$C$2:$CA$2,Model!$A83),'Tablica IO'!CA317*1)</f>
        <v>0</v>
      </c>
      <c r="CB83" s="247">
        <f ca="1">'Tablica IO'!CD239*INDEX(Model!$C$93:$CA$93,Model!$A83)+'Tablica IO'!CD317*INDEX(Model!$C$2:$CA$2,Model!$A83)</f>
        <v>8.7808027988660418E-4</v>
      </c>
      <c r="CC83" s="188">
        <f ca="1">'Tablica IO'!CE239*INDEX(Model!$C$93:$CA$93,Model!$A83)+'Tablica IO'!CE317*INDEX(Model!$C$2:$CA$2,Model!$A83)</f>
        <v>3.5347971090121531E-3</v>
      </c>
      <c r="CD83" s="188">
        <f ca="1">'Tablica IO'!CF239*INDEX(Model!$C$93:$CA$93,Model!$A83)+'Tablica IO'!CF317*INDEX(Model!$C$2:$CA$2,Model!$A83)</f>
        <v>1.3028818336238082E-5</v>
      </c>
      <c r="CE83" s="189">
        <f ca="1">'Tablica IO'!CG239*INDEX(Model!$C$93:$CA$93,Model!$A83)+'Tablica IO'!CG317*INDEX(Model!$C$2:$CA$2,Model!$A83)</f>
        <v>3.8637498053760075E-5</v>
      </c>
    </row>
    <row r="84" spans="1:83" x14ac:dyDescent="0.25">
      <c r="A84" s="164">
        <v>72</v>
      </c>
      <c r="B84" s="172" t="s">
        <v>71</v>
      </c>
      <c r="C84" s="221" cm="1">
        <f t="array" aca="1" ref="C84" ca="1">'Tablica IO'!C240*INDEX(Model!$C$93:$CA$93,Model!$A84) + IF(wplyw_cen_import_wlaczony,'Tablica IO'!C318*INDEX(Model!$C$2:$CA$2,Model!$A84),'Tablica IO'!C318*1)</f>
        <v>0</v>
      </c>
      <c r="D84" s="222" cm="1">
        <f t="array" aca="1" ref="D84" ca="1">'Tablica IO'!D240*INDEX(Model!$C$93:$CA$93,Model!$A84) + IF(wplyw_cen_import_wlaczony,'Tablica IO'!D318*INDEX(Model!$C$2:$CA$2,Model!$A84),'Tablica IO'!D318*1)</f>
        <v>0</v>
      </c>
      <c r="E84" s="222" cm="1">
        <f t="array" aca="1" ref="E84" ca="1">'Tablica IO'!E240*INDEX(Model!$C$93:$CA$93,Model!$A84) + IF(wplyw_cen_import_wlaczony,'Tablica IO'!E318*INDEX(Model!$C$2:$CA$2,Model!$A84),'Tablica IO'!E318*1)</f>
        <v>0</v>
      </c>
      <c r="F84" s="222" cm="1">
        <f t="array" aca="1" ref="F84" ca="1">'Tablica IO'!F240*INDEX(Model!$C$93:$CA$93,Model!$A84) + IF(wplyw_cen_import_wlaczony,'Tablica IO'!F318*INDEX(Model!$C$2:$CA$2,Model!$A84),'Tablica IO'!F318*1)</f>
        <v>0</v>
      </c>
      <c r="G84" s="222" cm="1">
        <f t="array" aca="1" ref="G84" ca="1">'Tablica IO'!G240*INDEX(Model!$C$93:$CA$93,Model!$A84) + IF(wplyw_cen_import_wlaczony,'Tablica IO'!G318*INDEX(Model!$C$2:$CA$2,Model!$A84),'Tablica IO'!G318*1)</f>
        <v>0</v>
      </c>
      <c r="H84" s="222" cm="1">
        <f t="array" aca="1" ref="H84" ca="1">'Tablica IO'!H240*INDEX(Model!$C$93:$CA$93,Model!$A84) + IF(wplyw_cen_import_wlaczony,'Tablica IO'!H318*INDEX(Model!$C$2:$CA$2,Model!$A84),'Tablica IO'!H318*1)</f>
        <v>0</v>
      </c>
      <c r="I84" s="222" cm="1">
        <f t="array" aca="1" ref="I84" ca="1">'Tablica IO'!I240*INDEX(Model!$C$93:$CA$93,Model!$A84) + IF(wplyw_cen_import_wlaczony,'Tablica IO'!I318*INDEX(Model!$C$2:$CA$2,Model!$A84),'Tablica IO'!I318*1)</f>
        <v>0</v>
      </c>
      <c r="J84" s="222" cm="1">
        <f t="array" aca="1" ref="J84" ca="1">'Tablica IO'!J240*INDEX(Model!$C$93:$CA$93,Model!$A84) + IF(wplyw_cen_import_wlaczony,'Tablica IO'!J318*INDEX(Model!$C$2:$CA$2,Model!$A84),'Tablica IO'!J318*1)</f>
        <v>0</v>
      </c>
      <c r="K84" s="222" cm="1">
        <f t="array" aca="1" ref="K84" ca="1">'Tablica IO'!K240*INDEX(Model!$C$93:$CA$93,Model!$A84) + IF(wplyw_cen_import_wlaczony,'Tablica IO'!K318*INDEX(Model!$C$2:$CA$2,Model!$A84),'Tablica IO'!K318*1)</f>
        <v>0</v>
      </c>
      <c r="L84" s="222" cm="1">
        <f t="array" aca="1" ref="L84" ca="1">'Tablica IO'!L240*INDEX(Model!$C$93:$CA$93,Model!$A84) + IF(wplyw_cen_import_wlaczony,'Tablica IO'!L318*INDEX(Model!$C$2:$CA$2,Model!$A84),'Tablica IO'!L318*1)</f>
        <v>0</v>
      </c>
      <c r="M84" s="222" cm="1">
        <f t="array" aca="1" ref="M84" ca="1">'Tablica IO'!M240*INDEX(Model!$C$93:$CA$93,Model!$A84) + IF(wplyw_cen_import_wlaczony,'Tablica IO'!M318*INDEX(Model!$C$2:$CA$2,Model!$A84),'Tablica IO'!M318*1)</f>
        <v>0</v>
      </c>
      <c r="N84" s="222" cm="1">
        <f t="array" aca="1" ref="N84" ca="1">'Tablica IO'!N240*INDEX(Model!$C$93:$CA$93,Model!$A84) + IF(wplyw_cen_import_wlaczony,'Tablica IO'!N318*INDEX(Model!$C$2:$CA$2,Model!$A84),'Tablica IO'!N318*1)</f>
        <v>0</v>
      </c>
      <c r="O84" s="222" cm="1">
        <f t="array" aca="1" ref="O84" ca="1">'Tablica IO'!O240*INDEX(Model!$C$93:$CA$93,Model!$A84) + IF(wplyw_cen_import_wlaczony,'Tablica IO'!O318*INDEX(Model!$C$2:$CA$2,Model!$A84),'Tablica IO'!O318*1)</f>
        <v>0</v>
      </c>
      <c r="P84" s="222" cm="1">
        <f t="array" aca="1" ref="P84" ca="1">'Tablica IO'!P240*INDEX(Model!$C$93:$CA$93,Model!$A84) + IF(wplyw_cen_import_wlaczony,'Tablica IO'!P318*INDEX(Model!$C$2:$CA$2,Model!$A84),'Tablica IO'!P318*1)</f>
        <v>0</v>
      </c>
      <c r="Q84" s="222" cm="1">
        <f t="array" aca="1" ref="Q84" ca="1">'Tablica IO'!Q240*INDEX(Model!$C$93:$CA$93,Model!$A84) + IF(wplyw_cen_import_wlaczony,'Tablica IO'!Q318*INDEX(Model!$C$2:$CA$2,Model!$A84),'Tablica IO'!Q318*1)</f>
        <v>0</v>
      </c>
      <c r="R84" s="222" cm="1">
        <f t="array" aca="1" ref="R84" ca="1">'Tablica IO'!R240*INDEX(Model!$C$93:$CA$93,Model!$A84) + IF(wplyw_cen_import_wlaczony,'Tablica IO'!R318*INDEX(Model!$C$2:$CA$2,Model!$A84),'Tablica IO'!R318*1)</f>
        <v>0</v>
      </c>
      <c r="S84" s="222" cm="1">
        <f t="array" aca="1" ref="S84" ca="1">'Tablica IO'!S240*INDEX(Model!$C$93:$CA$93,Model!$A84) + IF(wplyw_cen_import_wlaczony,'Tablica IO'!S318*INDEX(Model!$C$2:$CA$2,Model!$A84),'Tablica IO'!S318*1)</f>
        <v>0</v>
      </c>
      <c r="T84" s="222" cm="1">
        <f t="array" aca="1" ref="T84" ca="1">'Tablica IO'!T240*INDEX(Model!$C$93:$CA$93,Model!$A84) + IF(wplyw_cen_import_wlaczony,'Tablica IO'!T318*INDEX(Model!$C$2:$CA$2,Model!$A84),'Tablica IO'!T318*1)</f>
        <v>0</v>
      </c>
      <c r="U84" s="222" cm="1">
        <f t="array" aca="1" ref="U84" ca="1">'Tablica IO'!U240*INDEX(Model!$C$93:$CA$93,Model!$A84) + IF(wplyw_cen_import_wlaczony,'Tablica IO'!U318*INDEX(Model!$C$2:$CA$2,Model!$A84),'Tablica IO'!U318*1)</f>
        <v>0</v>
      </c>
      <c r="V84" s="222" cm="1">
        <f t="array" aca="1" ref="V84" ca="1">'Tablica IO'!V240*INDEX(Model!$C$93:$CA$93,Model!$A84) + IF(wplyw_cen_import_wlaczony,'Tablica IO'!V318*INDEX(Model!$C$2:$CA$2,Model!$A84),'Tablica IO'!V318*1)</f>
        <v>0</v>
      </c>
      <c r="W84" s="222" cm="1">
        <f t="array" aca="1" ref="W84" ca="1">'Tablica IO'!W240*INDEX(Model!$C$93:$CA$93,Model!$A84) + IF(wplyw_cen_import_wlaczony,'Tablica IO'!W318*INDEX(Model!$C$2:$CA$2,Model!$A84),'Tablica IO'!W318*1)</f>
        <v>0</v>
      </c>
      <c r="X84" s="222" cm="1">
        <f t="array" aca="1" ref="X84" ca="1">'Tablica IO'!X240*INDEX(Model!$C$93:$CA$93,Model!$A84) + IF(wplyw_cen_import_wlaczony,'Tablica IO'!X318*INDEX(Model!$C$2:$CA$2,Model!$A84),'Tablica IO'!X318*1)</f>
        <v>0</v>
      </c>
      <c r="Y84" s="222" cm="1">
        <f t="array" aca="1" ref="Y84" ca="1">'Tablica IO'!Y240*INDEX(Model!$C$93:$CA$93,Model!$A84) + IF(wplyw_cen_import_wlaczony,'Tablica IO'!Y318*INDEX(Model!$C$2:$CA$2,Model!$A84),'Tablica IO'!Y318*1)</f>
        <v>0</v>
      </c>
      <c r="Z84" s="222" cm="1">
        <f t="array" aca="1" ref="Z84" ca="1">'Tablica IO'!Z240*INDEX(Model!$C$93:$CA$93,Model!$A84) + IF(wplyw_cen_import_wlaczony,'Tablica IO'!Z318*INDEX(Model!$C$2:$CA$2,Model!$A84),'Tablica IO'!Z318*1)</f>
        <v>0</v>
      </c>
      <c r="AA84" s="222" cm="1">
        <f t="array" aca="1" ref="AA84" ca="1">'Tablica IO'!AA240*INDEX(Model!$C$93:$CA$93,Model!$A84) + IF(wplyw_cen_import_wlaczony,'Tablica IO'!AA318*INDEX(Model!$C$2:$CA$2,Model!$A84),'Tablica IO'!AA318*1)</f>
        <v>0</v>
      </c>
      <c r="AB84" s="222" cm="1">
        <f t="array" aca="1" ref="AB84" ca="1">'Tablica IO'!AB240*INDEX(Model!$C$93:$CA$93,Model!$A84) + IF(wplyw_cen_import_wlaczony,'Tablica IO'!AB318*INDEX(Model!$C$2:$CA$2,Model!$A84),'Tablica IO'!AB318*1)</f>
        <v>0</v>
      </c>
      <c r="AC84" s="222" cm="1">
        <f t="array" aca="1" ref="AC84" ca="1">'Tablica IO'!AC240*INDEX(Model!$C$93:$CA$93,Model!$A84) + IF(wplyw_cen_import_wlaczony,'Tablica IO'!AC318*INDEX(Model!$C$2:$CA$2,Model!$A84),'Tablica IO'!AC318*1)</f>
        <v>0</v>
      </c>
      <c r="AD84" s="222" cm="1">
        <f t="array" aca="1" ref="AD84" ca="1">'Tablica IO'!AD240*INDEX(Model!$C$93:$CA$93,Model!$A84) + IF(wplyw_cen_import_wlaczony,'Tablica IO'!AD318*INDEX(Model!$C$2:$CA$2,Model!$A84),'Tablica IO'!AD318*1)</f>
        <v>0</v>
      </c>
      <c r="AE84" s="222" cm="1">
        <f t="array" aca="1" ref="AE84" ca="1">'Tablica IO'!AE240*INDEX(Model!$C$93:$CA$93,Model!$A84) + IF(wplyw_cen_import_wlaczony,'Tablica IO'!AE318*INDEX(Model!$C$2:$CA$2,Model!$A84),'Tablica IO'!AE318*1)</f>
        <v>0</v>
      </c>
      <c r="AF84" s="222" cm="1">
        <f t="array" aca="1" ref="AF84" ca="1">'Tablica IO'!AF240*INDEX(Model!$C$93:$CA$93,Model!$A84) + IF(wplyw_cen_import_wlaczony,'Tablica IO'!AF318*INDEX(Model!$C$2:$CA$2,Model!$A84),'Tablica IO'!AF318*1)</f>
        <v>0</v>
      </c>
      <c r="AG84" s="222" cm="1">
        <f t="array" aca="1" ref="AG84" ca="1">'Tablica IO'!AG240*INDEX(Model!$C$93:$CA$93,Model!$A84) + IF(wplyw_cen_import_wlaczony,'Tablica IO'!AG318*INDEX(Model!$C$2:$CA$2,Model!$A84),'Tablica IO'!AG318*1)</f>
        <v>0</v>
      </c>
      <c r="AH84" s="222" cm="1">
        <f t="array" aca="1" ref="AH84" ca="1">'Tablica IO'!AH240*INDEX(Model!$C$93:$CA$93,Model!$A84) + IF(wplyw_cen_import_wlaczony,'Tablica IO'!AH318*INDEX(Model!$C$2:$CA$2,Model!$A84),'Tablica IO'!AH318*1)</f>
        <v>0</v>
      </c>
      <c r="AI84" s="222" cm="1">
        <f t="array" aca="1" ref="AI84" ca="1">'Tablica IO'!AI240*INDEX(Model!$C$93:$CA$93,Model!$A84) + IF(wplyw_cen_import_wlaczony,'Tablica IO'!AI318*INDEX(Model!$C$2:$CA$2,Model!$A84),'Tablica IO'!AI318*1)</f>
        <v>0</v>
      </c>
      <c r="AJ84" s="222" cm="1">
        <f t="array" aca="1" ref="AJ84" ca="1">'Tablica IO'!AJ240*INDEX(Model!$C$93:$CA$93,Model!$A84) + IF(wplyw_cen_import_wlaczony,'Tablica IO'!AJ318*INDEX(Model!$C$2:$CA$2,Model!$A84),'Tablica IO'!AJ318*1)</f>
        <v>0</v>
      </c>
      <c r="AK84" s="222" cm="1">
        <f t="array" aca="1" ref="AK84" ca="1">'Tablica IO'!AK240*INDEX(Model!$C$93:$CA$93,Model!$A84) + IF(wplyw_cen_import_wlaczony,'Tablica IO'!AK318*INDEX(Model!$C$2:$CA$2,Model!$A84),'Tablica IO'!AK318*1)</f>
        <v>0</v>
      </c>
      <c r="AL84" s="222" cm="1">
        <f t="array" aca="1" ref="AL84" ca="1">'Tablica IO'!AL240*INDEX(Model!$C$93:$CA$93,Model!$A84) + IF(wplyw_cen_import_wlaczony,'Tablica IO'!AL318*INDEX(Model!$C$2:$CA$2,Model!$A84),'Tablica IO'!AL318*1)</f>
        <v>0</v>
      </c>
      <c r="AM84" s="222" cm="1">
        <f t="array" aca="1" ref="AM84" ca="1">'Tablica IO'!AM240*INDEX(Model!$C$93:$CA$93,Model!$A84) + IF(wplyw_cen_import_wlaczony,'Tablica IO'!AM318*INDEX(Model!$C$2:$CA$2,Model!$A84),'Tablica IO'!AM318*1)</f>
        <v>0</v>
      </c>
      <c r="AN84" s="222" cm="1">
        <f t="array" aca="1" ref="AN84" ca="1">'Tablica IO'!AN240*INDEX(Model!$C$93:$CA$93,Model!$A84) + IF(wplyw_cen_import_wlaczony,'Tablica IO'!AN318*INDEX(Model!$C$2:$CA$2,Model!$A84),'Tablica IO'!AN318*1)</f>
        <v>0</v>
      </c>
      <c r="AO84" s="222" cm="1">
        <f t="array" aca="1" ref="AO84" ca="1">'Tablica IO'!AO240*INDEX(Model!$C$93:$CA$93,Model!$A84) + IF(wplyw_cen_import_wlaczony,'Tablica IO'!AO318*INDEX(Model!$C$2:$CA$2,Model!$A84),'Tablica IO'!AO318*1)</f>
        <v>0</v>
      </c>
      <c r="AP84" s="222" cm="1">
        <f t="array" aca="1" ref="AP84" ca="1">'Tablica IO'!AP240*INDEX(Model!$C$93:$CA$93,Model!$A84) + IF(wplyw_cen_import_wlaczony,'Tablica IO'!AP318*INDEX(Model!$C$2:$CA$2,Model!$A84),'Tablica IO'!AP318*1)</f>
        <v>0</v>
      </c>
      <c r="AQ84" s="222" cm="1">
        <f t="array" aca="1" ref="AQ84" ca="1">'Tablica IO'!AQ240*INDEX(Model!$C$93:$CA$93,Model!$A84) + IF(wplyw_cen_import_wlaczony,'Tablica IO'!AQ318*INDEX(Model!$C$2:$CA$2,Model!$A84),'Tablica IO'!AQ318*1)</f>
        <v>0</v>
      </c>
      <c r="AR84" s="222" cm="1">
        <f t="array" aca="1" ref="AR84" ca="1">'Tablica IO'!AR240*INDEX(Model!$C$93:$CA$93,Model!$A84) + IF(wplyw_cen_import_wlaczony,'Tablica IO'!AR318*INDEX(Model!$C$2:$CA$2,Model!$A84),'Tablica IO'!AR318*1)</f>
        <v>0</v>
      </c>
      <c r="AS84" s="222" cm="1">
        <f t="array" aca="1" ref="AS84" ca="1">'Tablica IO'!AS240*INDEX(Model!$C$93:$CA$93,Model!$A84) + IF(wplyw_cen_import_wlaczony,'Tablica IO'!AS318*INDEX(Model!$C$2:$CA$2,Model!$A84),'Tablica IO'!AS318*1)</f>
        <v>0</v>
      </c>
      <c r="AT84" s="222" cm="1">
        <f t="array" aca="1" ref="AT84" ca="1">'Tablica IO'!AT240*INDEX(Model!$C$93:$CA$93,Model!$A84) + IF(wplyw_cen_import_wlaczony,'Tablica IO'!AT318*INDEX(Model!$C$2:$CA$2,Model!$A84),'Tablica IO'!AT318*1)</f>
        <v>0</v>
      </c>
      <c r="AU84" s="222" cm="1">
        <f t="array" aca="1" ref="AU84" ca="1">'Tablica IO'!AU240*INDEX(Model!$C$93:$CA$93,Model!$A84) + IF(wplyw_cen_import_wlaczony,'Tablica IO'!AU318*INDEX(Model!$C$2:$CA$2,Model!$A84),'Tablica IO'!AU318*1)</f>
        <v>0</v>
      </c>
      <c r="AV84" s="222" cm="1">
        <f t="array" aca="1" ref="AV84" ca="1">'Tablica IO'!AV240*INDEX(Model!$C$93:$CA$93,Model!$A84) + IF(wplyw_cen_import_wlaczony,'Tablica IO'!AV318*INDEX(Model!$C$2:$CA$2,Model!$A84),'Tablica IO'!AV318*1)</f>
        <v>0</v>
      </c>
      <c r="AW84" s="222" cm="1">
        <f t="array" aca="1" ref="AW84" ca="1">'Tablica IO'!AW240*INDEX(Model!$C$93:$CA$93,Model!$A84) + IF(wplyw_cen_import_wlaczony,'Tablica IO'!AW318*INDEX(Model!$C$2:$CA$2,Model!$A84),'Tablica IO'!AW318*1)</f>
        <v>0</v>
      </c>
      <c r="AX84" s="222" cm="1">
        <f t="array" aca="1" ref="AX84" ca="1">'Tablica IO'!AX240*INDEX(Model!$C$93:$CA$93,Model!$A84) + IF(wplyw_cen_import_wlaczony,'Tablica IO'!AX318*INDEX(Model!$C$2:$CA$2,Model!$A84),'Tablica IO'!AX318*1)</f>
        <v>0</v>
      </c>
      <c r="AY84" s="222" cm="1">
        <f t="array" aca="1" ref="AY84" ca="1">'Tablica IO'!AY240*INDEX(Model!$C$93:$CA$93,Model!$A84) + IF(wplyw_cen_import_wlaczony,'Tablica IO'!AY318*INDEX(Model!$C$2:$CA$2,Model!$A84),'Tablica IO'!AY318*1)</f>
        <v>0</v>
      </c>
      <c r="AZ84" s="222" cm="1">
        <f t="array" aca="1" ref="AZ84" ca="1">'Tablica IO'!AZ240*INDEX(Model!$C$93:$CA$93,Model!$A84) + IF(wplyw_cen_import_wlaczony,'Tablica IO'!AZ318*INDEX(Model!$C$2:$CA$2,Model!$A84),'Tablica IO'!AZ318*1)</f>
        <v>0</v>
      </c>
      <c r="BA84" s="222" cm="1">
        <f t="array" aca="1" ref="BA84" ca="1">'Tablica IO'!BA240*INDEX(Model!$C$93:$CA$93,Model!$A84) + IF(wplyw_cen_import_wlaczony,'Tablica IO'!BA318*INDEX(Model!$C$2:$CA$2,Model!$A84),'Tablica IO'!BA318*1)</f>
        <v>0</v>
      </c>
      <c r="BB84" s="222" cm="1">
        <f t="array" aca="1" ref="BB84" ca="1">'Tablica IO'!BB240*INDEX(Model!$C$93:$CA$93,Model!$A84) + IF(wplyw_cen_import_wlaczony,'Tablica IO'!BB318*INDEX(Model!$C$2:$CA$2,Model!$A84),'Tablica IO'!BB318*1)</f>
        <v>0</v>
      </c>
      <c r="BC84" s="222" cm="1">
        <f t="array" aca="1" ref="BC84" ca="1">'Tablica IO'!BC240*INDEX(Model!$C$93:$CA$93,Model!$A84) + IF(wplyw_cen_import_wlaczony,'Tablica IO'!BC318*INDEX(Model!$C$2:$CA$2,Model!$A84),'Tablica IO'!BC318*1)</f>
        <v>0</v>
      </c>
      <c r="BD84" s="222" cm="1">
        <f t="array" aca="1" ref="BD84" ca="1">'Tablica IO'!BD240*INDEX(Model!$C$93:$CA$93,Model!$A84) + IF(wplyw_cen_import_wlaczony,'Tablica IO'!BD318*INDEX(Model!$C$2:$CA$2,Model!$A84),'Tablica IO'!BD318*1)</f>
        <v>0</v>
      </c>
      <c r="BE84" s="222" cm="1">
        <f t="array" aca="1" ref="BE84" ca="1">'Tablica IO'!BE240*INDEX(Model!$C$93:$CA$93,Model!$A84) + IF(wplyw_cen_import_wlaczony,'Tablica IO'!BE318*INDEX(Model!$C$2:$CA$2,Model!$A84),'Tablica IO'!BE318*1)</f>
        <v>0</v>
      </c>
      <c r="BF84" s="222" cm="1">
        <f t="array" aca="1" ref="BF84" ca="1">'Tablica IO'!BF240*INDEX(Model!$C$93:$CA$93,Model!$A84) + IF(wplyw_cen_import_wlaczony,'Tablica IO'!BF318*INDEX(Model!$C$2:$CA$2,Model!$A84),'Tablica IO'!BF318*1)</f>
        <v>0</v>
      </c>
      <c r="BG84" s="222" cm="1">
        <f t="array" aca="1" ref="BG84" ca="1">'Tablica IO'!BG240*INDEX(Model!$C$93:$CA$93,Model!$A84) + IF(wplyw_cen_import_wlaczony,'Tablica IO'!BG318*INDEX(Model!$C$2:$CA$2,Model!$A84),'Tablica IO'!BG318*1)</f>
        <v>0</v>
      </c>
      <c r="BH84" s="222" cm="1">
        <f t="array" aca="1" ref="BH84" ca="1">'Tablica IO'!BH240*INDEX(Model!$C$93:$CA$93,Model!$A84) + IF(wplyw_cen_import_wlaczony,'Tablica IO'!BH318*INDEX(Model!$C$2:$CA$2,Model!$A84),'Tablica IO'!BH318*1)</f>
        <v>0</v>
      </c>
      <c r="BI84" s="222" cm="1">
        <f t="array" aca="1" ref="BI84" ca="1">'Tablica IO'!BI240*INDEX(Model!$C$93:$CA$93,Model!$A84) + IF(wplyw_cen_import_wlaczony,'Tablica IO'!BI318*INDEX(Model!$C$2:$CA$2,Model!$A84),'Tablica IO'!BI318*1)</f>
        <v>0</v>
      </c>
      <c r="BJ84" s="222" cm="1">
        <f t="array" aca="1" ref="BJ84" ca="1">'Tablica IO'!BJ240*INDEX(Model!$C$93:$CA$93,Model!$A84) + IF(wplyw_cen_import_wlaczony,'Tablica IO'!BJ318*INDEX(Model!$C$2:$CA$2,Model!$A84),'Tablica IO'!BJ318*1)</f>
        <v>0</v>
      </c>
      <c r="BK84" s="222" cm="1">
        <f t="array" aca="1" ref="BK84" ca="1">'Tablica IO'!BK240*INDEX(Model!$C$93:$CA$93,Model!$A84) + IF(wplyw_cen_import_wlaczony,'Tablica IO'!BK318*INDEX(Model!$C$2:$CA$2,Model!$A84),'Tablica IO'!BK318*1)</f>
        <v>0</v>
      </c>
      <c r="BL84" s="222" cm="1">
        <f t="array" aca="1" ref="BL84" ca="1">'Tablica IO'!BL240*INDEX(Model!$C$93:$CA$93,Model!$A84) + IF(wplyw_cen_import_wlaczony,'Tablica IO'!BL318*INDEX(Model!$C$2:$CA$2,Model!$A84),'Tablica IO'!BL318*1)</f>
        <v>0</v>
      </c>
      <c r="BM84" s="222" cm="1">
        <f t="array" aca="1" ref="BM84" ca="1">'Tablica IO'!BM240*INDEX(Model!$C$93:$CA$93,Model!$A84) + IF(wplyw_cen_import_wlaczony,'Tablica IO'!BM318*INDEX(Model!$C$2:$CA$2,Model!$A84),'Tablica IO'!BM318*1)</f>
        <v>0</v>
      </c>
      <c r="BN84" s="222" cm="1">
        <f t="array" aca="1" ref="BN84" ca="1">'Tablica IO'!BN240*INDEX(Model!$C$93:$CA$93,Model!$A84) + IF(wplyw_cen_import_wlaczony,'Tablica IO'!BN318*INDEX(Model!$C$2:$CA$2,Model!$A84),'Tablica IO'!BN318*1)</f>
        <v>0</v>
      </c>
      <c r="BO84" s="222" cm="1">
        <f t="array" aca="1" ref="BO84" ca="1">'Tablica IO'!BO240*INDEX(Model!$C$93:$CA$93,Model!$A84) + IF(wplyw_cen_import_wlaczony,'Tablica IO'!BO318*INDEX(Model!$C$2:$CA$2,Model!$A84),'Tablica IO'!BO318*1)</f>
        <v>0</v>
      </c>
      <c r="BP84" s="222" cm="1">
        <f t="array" aca="1" ref="BP84" ca="1">'Tablica IO'!BP240*INDEX(Model!$C$93:$CA$93,Model!$A84) + IF(wplyw_cen_import_wlaczony,'Tablica IO'!BP318*INDEX(Model!$C$2:$CA$2,Model!$A84),'Tablica IO'!BP318*1)</f>
        <v>0</v>
      </c>
      <c r="BQ84" s="222" cm="1">
        <f t="array" aca="1" ref="BQ84" ca="1">'Tablica IO'!BQ240*INDEX(Model!$C$93:$CA$93,Model!$A84) + IF(wplyw_cen_import_wlaczony,'Tablica IO'!BQ318*INDEX(Model!$C$2:$CA$2,Model!$A84),'Tablica IO'!BQ318*1)</f>
        <v>0</v>
      </c>
      <c r="BR84" s="222" cm="1">
        <f t="array" aca="1" ref="BR84" ca="1">'Tablica IO'!BR240*INDEX(Model!$C$93:$CA$93,Model!$A84) + IF(wplyw_cen_import_wlaczony,'Tablica IO'!BR318*INDEX(Model!$C$2:$CA$2,Model!$A84),'Tablica IO'!BR318*1)</f>
        <v>0</v>
      </c>
      <c r="BS84" s="222" cm="1">
        <f t="array" aca="1" ref="BS84" ca="1">'Tablica IO'!BS240*INDEX(Model!$C$93:$CA$93,Model!$A84) + IF(wplyw_cen_import_wlaczony,'Tablica IO'!BS318*INDEX(Model!$C$2:$CA$2,Model!$A84),'Tablica IO'!BS318*1)</f>
        <v>0</v>
      </c>
      <c r="BT84" s="222" cm="1">
        <f t="array" aca="1" ref="BT84" ca="1">'Tablica IO'!BT240*INDEX(Model!$C$93:$CA$93,Model!$A84) + IF(wplyw_cen_import_wlaczony,'Tablica IO'!BT318*INDEX(Model!$C$2:$CA$2,Model!$A84),'Tablica IO'!BT318*1)</f>
        <v>0</v>
      </c>
      <c r="BU84" s="222" cm="1">
        <f t="array" aca="1" ref="BU84" ca="1">'Tablica IO'!BU240*INDEX(Model!$C$93:$CA$93,Model!$A84) + IF(wplyw_cen_import_wlaczony,'Tablica IO'!BU318*INDEX(Model!$C$2:$CA$2,Model!$A84),'Tablica IO'!BU318*1)</f>
        <v>0</v>
      </c>
      <c r="BV84" s="222" cm="1">
        <f t="array" aca="1" ref="BV84" ca="1">'Tablica IO'!BV240*INDEX(Model!$C$93:$CA$93,Model!$A84) + IF(wplyw_cen_import_wlaczony,'Tablica IO'!BV318*INDEX(Model!$C$2:$CA$2,Model!$A84),'Tablica IO'!BV318*1)</f>
        <v>0.19828310838658225</v>
      </c>
      <c r="BW84" s="222" cm="1">
        <f t="array" aca="1" ref="BW84" ca="1">'Tablica IO'!BW240*INDEX(Model!$C$93:$CA$93,Model!$A84) + IF(wplyw_cen_import_wlaczony,'Tablica IO'!BW318*INDEX(Model!$C$2:$CA$2,Model!$A84),'Tablica IO'!BW318*1)</f>
        <v>1.4387539927610722E-3</v>
      </c>
      <c r="BX84" s="222" cm="1">
        <f t="array" aca="1" ref="BX84" ca="1">'Tablica IO'!BX240*INDEX(Model!$C$93:$CA$93,Model!$A84) + IF(wplyw_cen_import_wlaczony,'Tablica IO'!BX318*INDEX(Model!$C$2:$CA$2,Model!$A84),'Tablica IO'!BX318*1)</f>
        <v>0</v>
      </c>
      <c r="BY84" s="222" cm="1">
        <f t="array" aca="1" ref="BY84" ca="1">'Tablica IO'!BY240*INDEX(Model!$C$93:$CA$93,Model!$A84) + IF(wplyw_cen_import_wlaczony,'Tablica IO'!BY318*INDEX(Model!$C$2:$CA$2,Model!$A84),'Tablica IO'!BY318*1)</f>
        <v>0</v>
      </c>
      <c r="BZ84" s="222" cm="1">
        <f t="array" aca="1" ref="BZ84" ca="1">'Tablica IO'!BZ240*INDEX(Model!$C$93:$CA$93,Model!$A84) + IF(wplyw_cen_import_wlaczony,'Tablica IO'!BZ318*INDEX(Model!$C$2:$CA$2,Model!$A84),'Tablica IO'!BZ318*1)</f>
        <v>0</v>
      </c>
      <c r="CA84" s="222" cm="1">
        <f t="array" aca="1" ref="CA84" ca="1">'Tablica IO'!CA240*INDEX(Model!$C$93:$CA$93,Model!$A84) + IF(wplyw_cen_import_wlaczony,'Tablica IO'!CA318*INDEX(Model!$C$2:$CA$2,Model!$A84),'Tablica IO'!CA318*1)</f>
        <v>0</v>
      </c>
      <c r="CB84" s="247">
        <f ca="1">'Tablica IO'!CD240*INDEX(Model!$C$93:$CA$93,Model!$A84)+'Tablica IO'!CD318*INDEX(Model!$C$2:$CA$2,Model!$A84)</f>
        <v>1.835824367947936E-3</v>
      </c>
      <c r="CC84" s="188">
        <f ca="1">'Tablica IO'!CE240*INDEX(Model!$C$93:$CA$93,Model!$A84)+'Tablica IO'!CE318*INDEX(Model!$C$2:$CA$2,Model!$A84)</f>
        <v>0</v>
      </c>
      <c r="CD84" s="188">
        <f ca="1">'Tablica IO'!CF240*INDEX(Model!$C$93:$CA$93,Model!$A84)+'Tablica IO'!CF318*INDEX(Model!$C$2:$CA$2,Model!$A84)</f>
        <v>-1.1833871943067666E-6</v>
      </c>
      <c r="CE84" s="189">
        <f ca="1">'Tablica IO'!CG240*INDEX(Model!$C$93:$CA$93,Model!$A84)+'Tablica IO'!CG318*INDEX(Model!$C$2:$CA$2,Model!$A84)</f>
        <v>0</v>
      </c>
    </row>
    <row r="85" spans="1:83" x14ac:dyDescent="0.25">
      <c r="A85" s="164">
        <v>73</v>
      </c>
      <c r="B85" s="172" t="s">
        <v>72</v>
      </c>
      <c r="C85" s="221" cm="1">
        <f t="array" aca="1" ref="C85" ca="1">'Tablica IO'!C241*INDEX(Model!$C$93:$CA$93,Model!$A85) + IF(wplyw_cen_import_wlaczony,'Tablica IO'!C319*INDEX(Model!$C$2:$CA$2,Model!$A85),'Tablica IO'!C319*1)</f>
        <v>2.1826993502726408E-5</v>
      </c>
      <c r="D85" s="222" cm="1">
        <f t="array" aca="1" ref="D85" ca="1">'Tablica IO'!D241*INDEX(Model!$C$93:$CA$93,Model!$A85) + IF(wplyw_cen_import_wlaczony,'Tablica IO'!D319*INDEX(Model!$C$2:$CA$2,Model!$A85),'Tablica IO'!D319*1)</f>
        <v>7.5639732381350511E-5</v>
      </c>
      <c r="E85" s="222" cm="1">
        <f t="array" aca="1" ref="E85" ca="1">'Tablica IO'!E241*INDEX(Model!$C$93:$CA$93,Model!$A85) + IF(wplyw_cen_import_wlaczony,'Tablica IO'!E319*INDEX(Model!$C$2:$CA$2,Model!$A85),'Tablica IO'!E319*1)</f>
        <v>0</v>
      </c>
      <c r="F85" s="222" cm="1">
        <f t="array" aca="1" ref="F85" ca="1">'Tablica IO'!F241*INDEX(Model!$C$93:$CA$93,Model!$A85) + IF(wplyw_cen_import_wlaczony,'Tablica IO'!F319*INDEX(Model!$C$2:$CA$2,Model!$A85),'Tablica IO'!F319*1)</f>
        <v>6.1685937425785559E-4</v>
      </c>
      <c r="G85" s="222" cm="1">
        <f t="array" aca="1" ref="G85" ca="1">'Tablica IO'!G241*INDEX(Model!$C$93:$CA$93,Model!$A85) + IF(wplyw_cen_import_wlaczony,'Tablica IO'!G319*INDEX(Model!$C$2:$CA$2,Model!$A85),'Tablica IO'!G319*1)</f>
        <v>2.2149446978336899E-5</v>
      </c>
      <c r="H85" s="222" cm="1">
        <f t="array" aca="1" ref="H85" ca="1">'Tablica IO'!H241*INDEX(Model!$C$93:$CA$93,Model!$A85) + IF(wplyw_cen_import_wlaczony,'Tablica IO'!H319*INDEX(Model!$C$2:$CA$2,Model!$A85),'Tablica IO'!H319*1)</f>
        <v>1.1941550300306197E-4</v>
      </c>
      <c r="I85" s="222" cm="1">
        <f t="array" aca="1" ref="I85" ca="1">'Tablica IO'!I241*INDEX(Model!$C$93:$CA$93,Model!$A85) + IF(wplyw_cen_import_wlaczony,'Tablica IO'!I319*INDEX(Model!$C$2:$CA$2,Model!$A85),'Tablica IO'!I319*1)</f>
        <v>9.7483893321615999E-6</v>
      </c>
      <c r="J85" s="222" cm="1">
        <f t="array" aca="1" ref="J85" ca="1">'Tablica IO'!J241*INDEX(Model!$C$93:$CA$93,Model!$A85) + IF(wplyw_cen_import_wlaczony,'Tablica IO'!J319*INDEX(Model!$C$2:$CA$2,Model!$A85),'Tablica IO'!J319*1)</f>
        <v>1.6734947865947839E-4</v>
      </c>
      <c r="K85" s="222" cm="1">
        <f t="array" aca="1" ref="K85" ca="1">'Tablica IO'!K241*INDEX(Model!$C$93:$CA$93,Model!$A85) + IF(wplyw_cen_import_wlaczony,'Tablica IO'!K319*INDEX(Model!$C$2:$CA$2,Model!$A85),'Tablica IO'!K319*1)</f>
        <v>1.1036848918830863E-4</v>
      </c>
      <c r="L85" s="222" cm="1">
        <f t="array" aca="1" ref="L85" ca="1">'Tablica IO'!L241*INDEX(Model!$C$93:$CA$93,Model!$A85) + IF(wplyw_cen_import_wlaczony,'Tablica IO'!L319*INDEX(Model!$C$2:$CA$2,Model!$A85),'Tablica IO'!L319*1)</f>
        <v>3.9257596844707514E-5</v>
      </c>
      <c r="M85" s="222" cm="1">
        <f t="array" aca="1" ref="M85" ca="1">'Tablica IO'!M241*INDEX(Model!$C$93:$CA$93,Model!$A85) + IF(wplyw_cen_import_wlaczony,'Tablica IO'!M319*INDEX(Model!$C$2:$CA$2,Model!$A85),'Tablica IO'!M319*1)</f>
        <v>9.3048681044861505E-5</v>
      </c>
      <c r="N85" s="222" cm="1">
        <f t="array" aca="1" ref="N85" ca="1">'Tablica IO'!N241*INDEX(Model!$C$93:$CA$93,Model!$A85) + IF(wplyw_cen_import_wlaczony,'Tablica IO'!N319*INDEX(Model!$C$2:$CA$2,Model!$A85),'Tablica IO'!N319*1)</f>
        <v>8.9108177474152847E-5</v>
      </c>
      <c r="O85" s="222" cm="1">
        <f t="array" aca="1" ref="O85" ca="1">'Tablica IO'!O241*INDEX(Model!$C$93:$CA$93,Model!$A85) + IF(wplyw_cen_import_wlaczony,'Tablica IO'!O319*INDEX(Model!$C$2:$CA$2,Model!$A85),'Tablica IO'!O319*1)</f>
        <v>9.4473597602736653E-5</v>
      </c>
      <c r="P85" s="222" cm="1">
        <f t="array" aca="1" ref="P85" ca="1">'Tablica IO'!P241*INDEX(Model!$C$93:$CA$93,Model!$A85) + IF(wplyw_cen_import_wlaczony,'Tablica IO'!P319*INDEX(Model!$C$2:$CA$2,Model!$A85),'Tablica IO'!P319*1)</f>
        <v>2.8208013761856236E-4</v>
      </c>
      <c r="Q85" s="222" cm="1">
        <f t="array" aca="1" ref="Q85" ca="1">'Tablica IO'!Q241*INDEX(Model!$C$93:$CA$93,Model!$A85) + IF(wplyw_cen_import_wlaczony,'Tablica IO'!Q319*INDEX(Model!$C$2:$CA$2,Model!$A85),'Tablica IO'!Q319*1)</f>
        <v>2.1948418498922942E-5</v>
      </c>
      <c r="R85" s="222" cm="1">
        <f t="array" aca="1" ref="R85" ca="1">'Tablica IO'!R241*INDEX(Model!$C$93:$CA$93,Model!$A85) + IF(wplyw_cen_import_wlaczony,'Tablica IO'!R319*INDEX(Model!$C$2:$CA$2,Model!$A85),'Tablica IO'!R319*1)</f>
        <v>8.5934740758802924E-5</v>
      </c>
      <c r="S85" s="222" cm="1">
        <f t="array" aca="1" ref="S85" ca="1">'Tablica IO'!S241*INDEX(Model!$C$93:$CA$93,Model!$A85) + IF(wplyw_cen_import_wlaczony,'Tablica IO'!S319*INDEX(Model!$C$2:$CA$2,Model!$A85),'Tablica IO'!S319*1)</f>
        <v>2.935300229786782E-5</v>
      </c>
      <c r="T85" s="222" cm="1">
        <f t="array" aca="1" ref="T85" ca="1">'Tablica IO'!T241*INDEX(Model!$C$93:$CA$93,Model!$A85) + IF(wplyw_cen_import_wlaczony,'Tablica IO'!T319*INDEX(Model!$C$2:$CA$2,Model!$A85),'Tablica IO'!T319*1)</f>
        <v>9.6786517006612982E-5</v>
      </c>
      <c r="U85" s="222" cm="1">
        <f t="array" aca="1" ref="U85" ca="1">'Tablica IO'!U241*INDEX(Model!$C$93:$CA$93,Model!$A85) + IF(wplyw_cen_import_wlaczony,'Tablica IO'!U319*INDEX(Model!$C$2:$CA$2,Model!$A85),'Tablica IO'!U319*1)</f>
        <v>1.7784809860517411E-4</v>
      </c>
      <c r="V85" s="222" cm="1">
        <f t="array" aca="1" ref="V85" ca="1">'Tablica IO'!V241*INDEX(Model!$C$93:$CA$93,Model!$A85) + IF(wplyw_cen_import_wlaczony,'Tablica IO'!V319*INDEX(Model!$C$2:$CA$2,Model!$A85),'Tablica IO'!V319*1)</f>
        <v>6.8469708479631771E-5</v>
      </c>
      <c r="W85" s="222" cm="1">
        <f t="array" aca="1" ref="W85" ca="1">'Tablica IO'!W241*INDEX(Model!$C$93:$CA$93,Model!$A85) + IF(wplyw_cen_import_wlaczony,'Tablica IO'!W319*INDEX(Model!$C$2:$CA$2,Model!$A85),'Tablica IO'!W319*1)</f>
        <v>1.220263342083157E-4</v>
      </c>
      <c r="X85" s="222" cm="1">
        <f t="array" aca="1" ref="X85" ca="1">'Tablica IO'!X241*INDEX(Model!$C$93:$CA$93,Model!$A85) + IF(wplyw_cen_import_wlaczony,'Tablica IO'!X319*INDEX(Model!$C$2:$CA$2,Model!$A85),'Tablica IO'!X319*1)</f>
        <v>5.8583478806293663E-5</v>
      </c>
      <c r="Y85" s="222" cm="1">
        <f t="array" aca="1" ref="Y85" ca="1">'Tablica IO'!Y241*INDEX(Model!$C$93:$CA$93,Model!$A85) + IF(wplyw_cen_import_wlaczony,'Tablica IO'!Y319*INDEX(Model!$C$2:$CA$2,Model!$A85),'Tablica IO'!Y319*1)</f>
        <v>1.3066021674774004E-4</v>
      </c>
      <c r="Z85" s="222" cm="1">
        <f t="array" aca="1" ref="Z85" ca="1">'Tablica IO'!Z241*INDEX(Model!$C$93:$CA$93,Model!$A85) + IF(wplyw_cen_import_wlaczony,'Tablica IO'!Z319*INDEX(Model!$C$2:$CA$2,Model!$A85),'Tablica IO'!Z319*1)</f>
        <v>1.1878896515109986E-4</v>
      </c>
      <c r="AA85" s="222" cm="1">
        <f t="array" aca="1" ref="AA85" ca="1">'Tablica IO'!AA241*INDEX(Model!$C$93:$CA$93,Model!$A85) + IF(wplyw_cen_import_wlaczony,'Tablica IO'!AA319*INDEX(Model!$C$2:$CA$2,Model!$A85),'Tablica IO'!AA319*1)</f>
        <v>5.4246824163345726E-5</v>
      </c>
      <c r="AB85" s="222" cm="1">
        <f t="array" aca="1" ref="AB85" ca="1">'Tablica IO'!AB241*INDEX(Model!$C$93:$CA$93,Model!$A85) + IF(wplyw_cen_import_wlaczony,'Tablica IO'!AB319*INDEX(Model!$C$2:$CA$2,Model!$A85),'Tablica IO'!AB319*1)</f>
        <v>1.5847395094941514E-5</v>
      </c>
      <c r="AC85" s="222" cm="1">
        <f t="array" aca="1" ref="AC85" ca="1">'Tablica IO'!AC241*INDEX(Model!$C$93:$CA$93,Model!$A85) + IF(wplyw_cen_import_wlaczony,'Tablica IO'!AC319*INDEX(Model!$C$2:$CA$2,Model!$A85),'Tablica IO'!AC319*1)</f>
        <v>1.0395814887933182E-4</v>
      </c>
      <c r="AD85" s="222" cm="1">
        <f t="array" aca="1" ref="AD85" ca="1">'Tablica IO'!AD241*INDEX(Model!$C$93:$CA$93,Model!$A85) + IF(wplyw_cen_import_wlaczony,'Tablica IO'!AD319*INDEX(Model!$C$2:$CA$2,Model!$A85),'Tablica IO'!AD319*1)</f>
        <v>2.9433857220570854E-5</v>
      </c>
      <c r="AE85" s="222" cm="1">
        <f t="array" aca="1" ref="AE85" ca="1">'Tablica IO'!AE241*INDEX(Model!$C$93:$CA$93,Model!$A85) + IF(wplyw_cen_import_wlaczony,'Tablica IO'!AE319*INDEX(Model!$C$2:$CA$2,Model!$A85),'Tablica IO'!AE319*1)</f>
        <v>4.0267796279588449E-5</v>
      </c>
      <c r="AF85" s="222" cm="1">
        <f t="array" aca="1" ref="AF85" ca="1">'Tablica IO'!AF241*INDEX(Model!$C$93:$CA$93,Model!$A85) + IF(wplyw_cen_import_wlaczony,'Tablica IO'!AF319*INDEX(Model!$C$2:$CA$2,Model!$A85),'Tablica IO'!AF319*1)</f>
        <v>7.0413295365463958E-5</v>
      </c>
      <c r="AG85" s="222" cm="1">
        <f t="array" aca="1" ref="AG85" ca="1">'Tablica IO'!AG241*INDEX(Model!$C$93:$CA$93,Model!$A85) + IF(wplyw_cen_import_wlaczony,'Tablica IO'!AG319*INDEX(Model!$C$2:$CA$2,Model!$A85),'Tablica IO'!AG319*1)</f>
        <v>1.2088414983757239E-4</v>
      </c>
      <c r="AH85" s="222" cm="1">
        <f t="array" aca="1" ref="AH85" ca="1">'Tablica IO'!AH241*INDEX(Model!$C$93:$CA$93,Model!$A85) + IF(wplyw_cen_import_wlaczony,'Tablica IO'!AH319*INDEX(Model!$C$2:$CA$2,Model!$A85),'Tablica IO'!AH319*1)</f>
        <v>2.3353056048047014E-4</v>
      </c>
      <c r="AI85" s="222" cm="1">
        <f t="array" aca="1" ref="AI85" ca="1">'Tablica IO'!AI241*INDEX(Model!$C$93:$CA$93,Model!$A85) + IF(wplyw_cen_import_wlaczony,'Tablica IO'!AI319*INDEX(Model!$C$2:$CA$2,Model!$A85),'Tablica IO'!AI319*1)</f>
        <v>8.1960462897231743E-5</v>
      </c>
      <c r="AJ85" s="222" cm="1">
        <f t="array" aca="1" ref="AJ85" ca="1">'Tablica IO'!AJ241*INDEX(Model!$C$93:$CA$93,Model!$A85) + IF(wplyw_cen_import_wlaczony,'Tablica IO'!AJ319*INDEX(Model!$C$2:$CA$2,Model!$A85),'Tablica IO'!AJ319*1)</f>
        <v>9.8385764034667118E-5</v>
      </c>
      <c r="AK85" s="222" cm="1">
        <f t="array" aca="1" ref="AK85" ca="1">'Tablica IO'!AK241*INDEX(Model!$C$93:$CA$93,Model!$A85) + IF(wplyw_cen_import_wlaczony,'Tablica IO'!AK319*INDEX(Model!$C$2:$CA$2,Model!$A85),'Tablica IO'!AK319*1)</f>
        <v>3.3521689763286344E-4</v>
      </c>
      <c r="AL85" s="222" cm="1">
        <f t="array" aca="1" ref="AL85" ca="1">'Tablica IO'!AL241*INDEX(Model!$C$93:$CA$93,Model!$A85) + IF(wplyw_cen_import_wlaczony,'Tablica IO'!AL319*INDEX(Model!$C$2:$CA$2,Model!$A85),'Tablica IO'!AL319*1)</f>
        <v>1.8282807807071507E-4</v>
      </c>
      <c r="AM85" s="222" cm="1">
        <f t="array" aca="1" ref="AM85" ca="1">'Tablica IO'!AM241*INDEX(Model!$C$93:$CA$93,Model!$A85) + IF(wplyw_cen_import_wlaczony,'Tablica IO'!AM319*INDEX(Model!$C$2:$CA$2,Model!$A85),'Tablica IO'!AM319*1)</f>
        <v>9.4734045866941123E-5</v>
      </c>
      <c r="AN85" s="222" cm="1">
        <f t="array" aca="1" ref="AN85" ca="1">'Tablica IO'!AN241*INDEX(Model!$C$93:$CA$93,Model!$A85) + IF(wplyw_cen_import_wlaczony,'Tablica IO'!AN319*INDEX(Model!$C$2:$CA$2,Model!$A85),'Tablica IO'!AN319*1)</f>
        <v>5.0789107579112107E-5</v>
      </c>
      <c r="AO85" s="222" cm="1">
        <f t="array" aca="1" ref="AO85" ca="1">'Tablica IO'!AO241*INDEX(Model!$C$93:$CA$93,Model!$A85) + IF(wplyw_cen_import_wlaczony,'Tablica IO'!AO319*INDEX(Model!$C$2:$CA$2,Model!$A85),'Tablica IO'!AO319*1)</f>
        <v>5.594415474209991E-5</v>
      </c>
      <c r="AP85" s="222" cm="1">
        <f t="array" aca="1" ref="AP85" ca="1">'Tablica IO'!AP241*INDEX(Model!$C$93:$CA$93,Model!$A85) + IF(wplyw_cen_import_wlaczony,'Tablica IO'!AP319*INDEX(Model!$C$2:$CA$2,Model!$A85),'Tablica IO'!AP319*1)</f>
        <v>1.7970278399969496E-5</v>
      </c>
      <c r="AQ85" s="222" cm="1">
        <f t="array" aca="1" ref="AQ85" ca="1">'Tablica IO'!AQ241*INDEX(Model!$C$93:$CA$93,Model!$A85) + IF(wplyw_cen_import_wlaczony,'Tablica IO'!AQ319*INDEX(Model!$C$2:$CA$2,Model!$A85),'Tablica IO'!AQ319*1)</f>
        <v>1.6245330599986767E-3</v>
      </c>
      <c r="AR85" s="222" cm="1">
        <f t="array" aca="1" ref="AR85" ca="1">'Tablica IO'!AR241*INDEX(Model!$C$93:$CA$93,Model!$A85) + IF(wplyw_cen_import_wlaczony,'Tablica IO'!AR319*INDEX(Model!$C$2:$CA$2,Model!$A85),'Tablica IO'!AR319*1)</f>
        <v>4.1365053249585627E-4</v>
      </c>
      <c r="AS85" s="222" cm="1">
        <f t="array" aca="1" ref="AS85" ca="1">'Tablica IO'!AS241*INDEX(Model!$C$93:$CA$93,Model!$A85) + IF(wplyw_cen_import_wlaczony,'Tablica IO'!AS319*INDEX(Model!$C$2:$CA$2,Model!$A85),'Tablica IO'!AS319*1)</f>
        <v>6.7625333549446598E-5</v>
      </c>
      <c r="AT85" s="222" cm="1">
        <f t="array" aca="1" ref="AT85" ca="1">'Tablica IO'!AT241*INDEX(Model!$C$93:$CA$93,Model!$A85) + IF(wplyw_cen_import_wlaczony,'Tablica IO'!AT319*INDEX(Model!$C$2:$CA$2,Model!$A85),'Tablica IO'!AT319*1)</f>
        <v>1.4273456788723899E-3</v>
      </c>
      <c r="AU85" s="222" cm="1">
        <f t="array" aca="1" ref="AU85" ca="1">'Tablica IO'!AU241*INDEX(Model!$C$93:$CA$93,Model!$A85) + IF(wplyw_cen_import_wlaczony,'Tablica IO'!AU319*INDEX(Model!$C$2:$CA$2,Model!$A85),'Tablica IO'!AU319*1)</f>
        <v>3.6746194574889524E-6</v>
      </c>
      <c r="AV85" s="222" cm="1">
        <f t="array" aca="1" ref="AV85" ca="1">'Tablica IO'!AV241*INDEX(Model!$C$93:$CA$93,Model!$A85) + IF(wplyw_cen_import_wlaczony,'Tablica IO'!AV319*INDEX(Model!$C$2:$CA$2,Model!$A85),'Tablica IO'!AV319*1)</f>
        <v>6.3347650581484994E-5</v>
      </c>
      <c r="AW85" s="222" cm="1">
        <f t="array" aca="1" ref="AW85" ca="1">'Tablica IO'!AW241*INDEX(Model!$C$93:$CA$93,Model!$A85) + IF(wplyw_cen_import_wlaczony,'Tablica IO'!AW319*INDEX(Model!$C$2:$CA$2,Model!$A85),'Tablica IO'!AW319*1)</f>
        <v>4.8224925167552246E-4</v>
      </c>
      <c r="AX85" s="222" cm="1">
        <f t="array" aca="1" ref="AX85" ca="1">'Tablica IO'!AX241*INDEX(Model!$C$93:$CA$93,Model!$A85) + IF(wplyw_cen_import_wlaczony,'Tablica IO'!AX319*INDEX(Model!$C$2:$CA$2,Model!$A85),'Tablica IO'!AX319*1)</f>
        <v>7.3868076819836806E-5</v>
      </c>
      <c r="AY85" s="222" cm="1">
        <f t="array" aca="1" ref="AY85" ca="1">'Tablica IO'!AY241*INDEX(Model!$C$93:$CA$93,Model!$A85) + IF(wplyw_cen_import_wlaczony,'Tablica IO'!AY319*INDEX(Model!$C$2:$CA$2,Model!$A85),'Tablica IO'!AY319*1)</f>
        <v>8.4805794210725952E-5</v>
      </c>
      <c r="AZ85" s="222" cm="1">
        <f t="array" aca="1" ref="AZ85" ca="1">'Tablica IO'!AZ241*INDEX(Model!$C$93:$CA$93,Model!$A85) + IF(wplyw_cen_import_wlaczony,'Tablica IO'!AZ319*INDEX(Model!$C$2:$CA$2,Model!$A85),'Tablica IO'!AZ319*1)</f>
        <v>0</v>
      </c>
      <c r="BA85" s="222" cm="1">
        <f t="array" aca="1" ref="BA85" ca="1">'Tablica IO'!BA241*INDEX(Model!$C$93:$CA$93,Model!$A85) + IF(wplyw_cen_import_wlaczony,'Tablica IO'!BA319*INDEX(Model!$C$2:$CA$2,Model!$A85),'Tablica IO'!BA319*1)</f>
        <v>3.8686248004281881E-5</v>
      </c>
      <c r="BB85" s="222" cm="1">
        <f t="array" aca="1" ref="BB85" ca="1">'Tablica IO'!BB241*INDEX(Model!$C$93:$CA$93,Model!$A85) + IF(wplyw_cen_import_wlaczony,'Tablica IO'!BB319*INDEX(Model!$C$2:$CA$2,Model!$A85),'Tablica IO'!BB319*1)</f>
        <v>1.2119778031205103E-4</v>
      </c>
      <c r="BC85" s="222" cm="1">
        <f t="array" aca="1" ref="BC85" ca="1">'Tablica IO'!BC241*INDEX(Model!$C$93:$CA$93,Model!$A85) + IF(wplyw_cen_import_wlaczony,'Tablica IO'!BC319*INDEX(Model!$C$2:$CA$2,Model!$A85),'Tablica IO'!BC319*1)</f>
        <v>3.0821256902859435E-4</v>
      </c>
      <c r="BD85" s="222" cm="1">
        <f t="array" aca="1" ref="BD85" ca="1">'Tablica IO'!BD241*INDEX(Model!$C$93:$CA$93,Model!$A85) + IF(wplyw_cen_import_wlaczony,'Tablica IO'!BD319*INDEX(Model!$C$2:$CA$2,Model!$A85),'Tablica IO'!BD319*1)</f>
        <v>3.2411398199901076E-4</v>
      </c>
      <c r="BE85" s="222" cm="1">
        <f t="array" aca="1" ref="BE85" ca="1">'Tablica IO'!BE241*INDEX(Model!$C$93:$CA$93,Model!$A85) + IF(wplyw_cen_import_wlaczony,'Tablica IO'!BE319*INDEX(Model!$C$2:$CA$2,Model!$A85),'Tablica IO'!BE319*1)</f>
        <v>1.0790723135491263E-4</v>
      </c>
      <c r="BF85" s="222" cm="1">
        <f t="array" aca="1" ref="BF85" ca="1">'Tablica IO'!BF241*INDEX(Model!$C$93:$CA$93,Model!$A85) + IF(wplyw_cen_import_wlaczony,'Tablica IO'!BF319*INDEX(Model!$C$2:$CA$2,Model!$A85),'Tablica IO'!BF319*1)</f>
        <v>1.1123073377428285E-4</v>
      </c>
      <c r="BG85" s="222" cm="1">
        <f t="array" aca="1" ref="BG85" ca="1">'Tablica IO'!BG241*INDEX(Model!$C$93:$CA$93,Model!$A85) + IF(wplyw_cen_import_wlaczony,'Tablica IO'!BG319*INDEX(Model!$C$2:$CA$2,Model!$A85),'Tablica IO'!BG319*1)</f>
        <v>4.8138582383555564E-5</v>
      </c>
      <c r="BH85" s="222" cm="1">
        <f t="array" aca="1" ref="BH85" ca="1">'Tablica IO'!BH241*INDEX(Model!$C$93:$CA$93,Model!$A85) + IF(wplyw_cen_import_wlaczony,'Tablica IO'!BH319*INDEX(Model!$C$2:$CA$2,Model!$A85),'Tablica IO'!BH319*1)</f>
        <v>1.9676949959875444E-5</v>
      </c>
      <c r="BI85" s="222" cm="1">
        <f t="array" aca="1" ref="BI85" ca="1">'Tablica IO'!BI241*INDEX(Model!$C$93:$CA$93,Model!$A85) + IF(wplyw_cen_import_wlaczony,'Tablica IO'!BI319*INDEX(Model!$C$2:$CA$2,Model!$A85),'Tablica IO'!BI319*1)</f>
        <v>0</v>
      </c>
      <c r="BJ85" s="222" cm="1">
        <f t="array" aca="1" ref="BJ85" ca="1">'Tablica IO'!BJ241*INDEX(Model!$C$93:$CA$93,Model!$A85) + IF(wplyw_cen_import_wlaczony,'Tablica IO'!BJ319*INDEX(Model!$C$2:$CA$2,Model!$A85),'Tablica IO'!BJ319*1)</f>
        <v>5.56027632458926E-4</v>
      </c>
      <c r="BK85" s="222" cm="1">
        <f t="array" aca="1" ref="BK85" ca="1">'Tablica IO'!BK241*INDEX(Model!$C$93:$CA$93,Model!$A85) + IF(wplyw_cen_import_wlaczony,'Tablica IO'!BK319*INDEX(Model!$C$2:$CA$2,Model!$A85),'Tablica IO'!BK319*1)</f>
        <v>2.3364939409886934E-4</v>
      </c>
      <c r="BL85" s="222" cm="1">
        <f t="array" aca="1" ref="BL85" ca="1">'Tablica IO'!BL241*INDEX(Model!$C$93:$CA$93,Model!$A85) + IF(wplyw_cen_import_wlaczony,'Tablica IO'!BL319*INDEX(Model!$C$2:$CA$2,Model!$A85),'Tablica IO'!BL319*1)</f>
        <v>1.5517716523009064E-3</v>
      </c>
      <c r="BM85" s="222" cm="1">
        <f t="array" aca="1" ref="BM85" ca="1">'Tablica IO'!BM241*INDEX(Model!$C$93:$CA$93,Model!$A85) + IF(wplyw_cen_import_wlaczony,'Tablica IO'!BM319*INDEX(Model!$C$2:$CA$2,Model!$A85),'Tablica IO'!BM319*1)</f>
        <v>6.8534371461028513E-5</v>
      </c>
      <c r="BN85" s="222" cm="1">
        <f t="array" aca="1" ref="BN85" ca="1">'Tablica IO'!BN241*INDEX(Model!$C$93:$CA$93,Model!$A85) + IF(wplyw_cen_import_wlaczony,'Tablica IO'!BN319*INDEX(Model!$C$2:$CA$2,Model!$A85),'Tablica IO'!BN319*1)</f>
        <v>5.0491455685883797E-5</v>
      </c>
      <c r="BO85" s="222" cm="1">
        <f t="array" aca="1" ref="BO85" ca="1">'Tablica IO'!BO241*INDEX(Model!$C$93:$CA$93,Model!$A85) + IF(wplyw_cen_import_wlaczony,'Tablica IO'!BO319*INDEX(Model!$C$2:$CA$2,Model!$A85),'Tablica IO'!BO319*1)</f>
        <v>1.3061259153441862E-4</v>
      </c>
      <c r="BP85" s="222" cm="1">
        <f t="array" aca="1" ref="BP85" ca="1">'Tablica IO'!BP241*INDEX(Model!$C$93:$CA$93,Model!$A85) + IF(wplyw_cen_import_wlaczony,'Tablica IO'!BP319*INDEX(Model!$C$2:$CA$2,Model!$A85),'Tablica IO'!BP319*1)</f>
        <v>4.0704473312688224E-4</v>
      </c>
      <c r="BQ85" s="222" cm="1">
        <f t="array" aca="1" ref="BQ85" ca="1">'Tablica IO'!BQ241*INDEX(Model!$C$93:$CA$93,Model!$A85) + IF(wplyw_cen_import_wlaczony,'Tablica IO'!BQ319*INDEX(Model!$C$2:$CA$2,Model!$A85),'Tablica IO'!BQ319*1)</f>
        <v>1.4510143564309857E-4</v>
      </c>
      <c r="BR85" s="222" cm="1">
        <f t="array" aca="1" ref="BR85" ca="1">'Tablica IO'!BR241*INDEX(Model!$C$93:$CA$93,Model!$A85) + IF(wplyw_cen_import_wlaczony,'Tablica IO'!BR319*INDEX(Model!$C$2:$CA$2,Model!$A85),'Tablica IO'!BR319*1)</f>
        <v>1.2833058780795616E-4</v>
      </c>
      <c r="BS85" s="222" cm="1">
        <f t="array" aca="1" ref="BS85" ca="1">'Tablica IO'!BS241*INDEX(Model!$C$93:$CA$93,Model!$A85) + IF(wplyw_cen_import_wlaczony,'Tablica IO'!BS319*INDEX(Model!$C$2:$CA$2,Model!$A85),'Tablica IO'!BS319*1)</f>
        <v>2.1174761945956091E-4</v>
      </c>
      <c r="BT85" s="222" cm="1">
        <f t="array" aca="1" ref="BT85" ca="1">'Tablica IO'!BT241*INDEX(Model!$C$93:$CA$93,Model!$A85) + IF(wplyw_cen_import_wlaczony,'Tablica IO'!BT319*INDEX(Model!$C$2:$CA$2,Model!$A85),'Tablica IO'!BT319*1)</f>
        <v>3.4668625930642316E-3</v>
      </c>
      <c r="BU85" s="222" cm="1">
        <f t="array" aca="1" ref="BU85" ca="1">'Tablica IO'!BU241*INDEX(Model!$C$93:$CA$93,Model!$A85) + IF(wplyw_cen_import_wlaczony,'Tablica IO'!BU319*INDEX(Model!$C$2:$CA$2,Model!$A85),'Tablica IO'!BU319*1)</f>
        <v>2.185998056900387E-4</v>
      </c>
      <c r="BV85" s="222" cm="1">
        <f t="array" aca="1" ref="BV85" ca="1">'Tablica IO'!BV241*INDEX(Model!$C$93:$CA$93,Model!$A85) + IF(wplyw_cen_import_wlaczony,'Tablica IO'!BV319*INDEX(Model!$C$2:$CA$2,Model!$A85),'Tablica IO'!BV319*1)</f>
        <v>1.1567131384860549E-4</v>
      </c>
      <c r="BW85" s="222" cm="1">
        <f t="array" aca="1" ref="BW85" ca="1">'Tablica IO'!BW241*INDEX(Model!$C$93:$CA$93,Model!$A85) + IF(wplyw_cen_import_wlaczony,'Tablica IO'!BW319*INDEX(Model!$C$2:$CA$2,Model!$A85),'Tablica IO'!BW319*1)</f>
        <v>0.18070594976492851</v>
      </c>
      <c r="BX85" s="222" cm="1">
        <f t="array" aca="1" ref="BX85" ca="1">'Tablica IO'!BX241*INDEX(Model!$C$93:$CA$93,Model!$A85) + IF(wplyw_cen_import_wlaczony,'Tablica IO'!BX319*INDEX(Model!$C$2:$CA$2,Model!$A85),'Tablica IO'!BX319*1)</f>
        <v>1.849206196009693E-5</v>
      </c>
      <c r="BY85" s="222" cm="1">
        <f t="array" aca="1" ref="BY85" ca="1">'Tablica IO'!BY241*INDEX(Model!$C$93:$CA$93,Model!$A85) + IF(wplyw_cen_import_wlaczony,'Tablica IO'!BY319*INDEX(Model!$C$2:$CA$2,Model!$A85),'Tablica IO'!BY319*1)</f>
        <v>1.3486355954426627E-4</v>
      </c>
      <c r="BZ85" s="222" cm="1">
        <f t="array" aca="1" ref="BZ85" ca="1">'Tablica IO'!BZ241*INDEX(Model!$C$93:$CA$93,Model!$A85) + IF(wplyw_cen_import_wlaczony,'Tablica IO'!BZ319*INDEX(Model!$C$2:$CA$2,Model!$A85),'Tablica IO'!BZ319*1)</f>
        <v>1.0978197035355556E-2</v>
      </c>
      <c r="CA85" s="222" cm="1">
        <f t="array" aca="1" ref="CA85" ca="1">'Tablica IO'!CA241*INDEX(Model!$C$93:$CA$93,Model!$A85) + IF(wplyw_cen_import_wlaczony,'Tablica IO'!CA319*INDEX(Model!$C$2:$CA$2,Model!$A85),'Tablica IO'!CA319*1)</f>
        <v>0</v>
      </c>
      <c r="CB85" s="247">
        <f ca="1">'Tablica IO'!CD241*INDEX(Model!$C$93:$CA$93,Model!$A85)+'Tablica IO'!CD319*INDEX(Model!$C$2:$CA$2,Model!$A85)</f>
        <v>5.7684628832061968E-3</v>
      </c>
      <c r="CC85" s="188">
        <f ca="1">'Tablica IO'!CE241*INDEX(Model!$C$93:$CA$93,Model!$A85)+'Tablica IO'!CE319*INDEX(Model!$C$2:$CA$2,Model!$A85)</f>
        <v>5.4823052765826741E-3</v>
      </c>
      <c r="CD85" s="188">
        <f ca="1">'Tablica IO'!CF241*INDEX(Model!$C$93:$CA$93,Model!$A85)+'Tablica IO'!CF319*INDEX(Model!$C$2:$CA$2,Model!$A85)</f>
        <v>-1.0959063482314332E-6</v>
      </c>
      <c r="CE85" s="189">
        <f ca="1">'Tablica IO'!CG241*INDEX(Model!$C$93:$CA$93,Model!$A85)+'Tablica IO'!CG319*INDEX(Model!$C$2:$CA$2,Model!$A85)</f>
        <v>4.0822965485445183E-4</v>
      </c>
    </row>
    <row r="86" spans="1:83" x14ac:dyDescent="0.25">
      <c r="A86" s="164">
        <v>74</v>
      </c>
      <c r="B86" s="172" t="s">
        <v>73</v>
      </c>
      <c r="C86" s="221" cm="1">
        <f t="array" aca="1" ref="C86" ca="1">'Tablica IO'!C242*INDEX(Model!$C$93:$CA$93,Model!$A86) + IF(wplyw_cen_import_wlaczony,'Tablica IO'!C320*INDEX(Model!$C$2:$CA$2,Model!$A86),'Tablica IO'!C320*1)</f>
        <v>6.7436870883807586E-4</v>
      </c>
      <c r="D86" s="222" cm="1">
        <f t="array" aca="1" ref="D86" ca="1">'Tablica IO'!D242*INDEX(Model!$C$93:$CA$93,Model!$A86) + IF(wplyw_cen_import_wlaczony,'Tablica IO'!D320*INDEX(Model!$C$2:$CA$2,Model!$A86),'Tablica IO'!D320*1)</f>
        <v>2.2608520905422793E-6</v>
      </c>
      <c r="E86" s="222" cm="1">
        <f t="array" aca="1" ref="E86" ca="1">'Tablica IO'!E242*INDEX(Model!$C$93:$CA$93,Model!$A86) + IF(wplyw_cen_import_wlaczony,'Tablica IO'!E320*INDEX(Model!$C$2:$CA$2,Model!$A86),'Tablica IO'!E320*1)</f>
        <v>1.7752742626472338E-4</v>
      </c>
      <c r="F86" s="222" cm="1">
        <f t="array" aca="1" ref="F86" ca="1">'Tablica IO'!F242*INDEX(Model!$C$93:$CA$93,Model!$A86) + IF(wplyw_cen_import_wlaczony,'Tablica IO'!F320*INDEX(Model!$C$2:$CA$2,Model!$A86),'Tablica IO'!F320*1)</f>
        <v>3.4995737421815349E-7</v>
      </c>
      <c r="G86" s="222" cm="1">
        <f t="array" aca="1" ref="G86" ca="1">'Tablica IO'!G242*INDEX(Model!$C$93:$CA$93,Model!$A86) + IF(wplyw_cen_import_wlaczony,'Tablica IO'!G320*INDEX(Model!$C$2:$CA$2,Model!$A86),'Tablica IO'!G320*1)</f>
        <v>2.0304492519968248E-4</v>
      </c>
      <c r="H86" s="222" cm="1">
        <f t="array" aca="1" ref="H86" ca="1">'Tablica IO'!H242*INDEX(Model!$C$93:$CA$93,Model!$A86) + IF(wplyw_cen_import_wlaczony,'Tablica IO'!H320*INDEX(Model!$C$2:$CA$2,Model!$A86),'Tablica IO'!H320*1)</f>
        <v>1.5477303201138999E-4</v>
      </c>
      <c r="I86" s="222" cm="1">
        <f t="array" aca="1" ref="I86" ca="1">'Tablica IO'!I242*INDEX(Model!$C$93:$CA$93,Model!$A86) + IF(wplyw_cen_import_wlaczony,'Tablica IO'!I320*INDEX(Model!$C$2:$CA$2,Model!$A86),'Tablica IO'!I320*1)</f>
        <v>2.3465640348496489E-4</v>
      </c>
      <c r="J86" s="222" cm="1">
        <f t="array" aca="1" ref="J86" ca="1">'Tablica IO'!J242*INDEX(Model!$C$93:$CA$93,Model!$A86) + IF(wplyw_cen_import_wlaczony,'Tablica IO'!J320*INDEX(Model!$C$2:$CA$2,Model!$A86),'Tablica IO'!J320*1)</f>
        <v>5.8313362299394548E-5</v>
      </c>
      <c r="K86" s="222" cm="1">
        <f t="array" aca="1" ref="K86" ca="1">'Tablica IO'!K242*INDEX(Model!$C$93:$CA$93,Model!$A86) + IF(wplyw_cen_import_wlaczony,'Tablica IO'!K320*INDEX(Model!$C$2:$CA$2,Model!$A86),'Tablica IO'!K320*1)</f>
        <v>2.5187733593816575E-4</v>
      </c>
      <c r="L86" s="222" cm="1">
        <f t="array" aca="1" ref="L86" ca="1">'Tablica IO'!L242*INDEX(Model!$C$93:$CA$93,Model!$A86) + IF(wplyw_cen_import_wlaczony,'Tablica IO'!L320*INDEX(Model!$C$2:$CA$2,Model!$A86),'Tablica IO'!L320*1)</f>
        <v>1.6579475171753786E-4</v>
      </c>
      <c r="M86" s="222" cm="1">
        <f t="array" aca="1" ref="M86" ca="1">'Tablica IO'!M242*INDEX(Model!$C$93:$CA$93,Model!$A86) + IF(wplyw_cen_import_wlaczony,'Tablica IO'!M320*INDEX(Model!$C$2:$CA$2,Model!$A86),'Tablica IO'!M320*1)</f>
        <v>4.6499557952779701E-4</v>
      </c>
      <c r="N86" s="222" cm="1">
        <f t="array" aca="1" ref="N86" ca="1">'Tablica IO'!N242*INDEX(Model!$C$93:$CA$93,Model!$A86) + IF(wplyw_cen_import_wlaczony,'Tablica IO'!N320*INDEX(Model!$C$2:$CA$2,Model!$A86),'Tablica IO'!N320*1)</f>
        <v>8.0812270064435629E-5</v>
      </c>
      <c r="O86" s="222" cm="1">
        <f t="array" aca="1" ref="O86" ca="1">'Tablica IO'!O242*INDEX(Model!$C$93:$CA$93,Model!$A86) + IF(wplyw_cen_import_wlaczony,'Tablica IO'!O320*INDEX(Model!$C$2:$CA$2,Model!$A86),'Tablica IO'!O320*1)</f>
        <v>1.4545241333377931E-3</v>
      </c>
      <c r="P86" s="222" cm="1">
        <f t="array" aca="1" ref="P86" ca="1">'Tablica IO'!P242*INDEX(Model!$C$93:$CA$93,Model!$A86) + IF(wplyw_cen_import_wlaczony,'Tablica IO'!P320*INDEX(Model!$C$2:$CA$2,Model!$A86),'Tablica IO'!P320*1)</f>
        <v>4.9051168173114409E-4</v>
      </c>
      <c r="Q86" s="222" cm="1">
        <f t="array" aca="1" ref="Q86" ca="1">'Tablica IO'!Q242*INDEX(Model!$C$93:$CA$93,Model!$A86) + IF(wplyw_cen_import_wlaczony,'Tablica IO'!Q320*INDEX(Model!$C$2:$CA$2,Model!$A86),'Tablica IO'!Q320*1)</f>
        <v>3.657365978212263E-5</v>
      </c>
      <c r="R86" s="222" cm="1">
        <f t="array" aca="1" ref="R86" ca="1">'Tablica IO'!R242*INDEX(Model!$C$93:$CA$93,Model!$A86) + IF(wplyw_cen_import_wlaczony,'Tablica IO'!R320*INDEX(Model!$C$2:$CA$2,Model!$A86),'Tablica IO'!R320*1)</f>
        <v>5.4530062228642142E-5</v>
      </c>
      <c r="S86" s="222" cm="1">
        <f t="array" aca="1" ref="S86" ca="1">'Tablica IO'!S242*INDEX(Model!$C$93:$CA$93,Model!$A86) + IF(wplyw_cen_import_wlaczony,'Tablica IO'!S320*INDEX(Model!$C$2:$CA$2,Model!$A86),'Tablica IO'!S320*1)</f>
        <v>2.2539909607399968E-4</v>
      </c>
      <c r="T86" s="222" cm="1">
        <f t="array" aca="1" ref="T86" ca="1">'Tablica IO'!T242*INDEX(Model!$C$93:$CA$93,Model!$A86) + IF(wplyw_cen_import_wlaczony,'Tablica IO'!T320*INDEX(Model!$C$2:$CA$2,Model!$A86),'Tablica IO'!T320*1)</f>
        <v>8.3102028295709517E-5</v>
      </c>
      <c r="U86" s="222" cm="1">
        <f t="array" aca="1" ref="U86" ca="1">'Tablica IO'!U242*INDEX(Model!$C$93:$CA$93,Model!$A86) + IF(wplyw_cen_import_wlaczony,'Tablica IO'!U320*INDEX(Model!$C$2:$CA$2,Model!$A86),'Tablica IO'!U320*1)</f>
        <v>1.0742678982178368E-3</v>
      </c>
      <c r="V86" s="222" cm="1">
        <f t="array" aca="1" ref="V86" ca="1">'Tablica IO'!V242*INDEX(Model!$C$93:$CA$93,Model!$A86) + IF(wplyw_cen_import_wlaczony,'Tablica IO'!V320*INDEX(Model!$C$2:$CA$2,Model!$A86),'Tablica IO'!V320*1)</f>
        <v>2.8481446297880529E-5</v>
      </c>
      <c r="W86" s="222" cm="1">
        <f t="array" aca="1" ref="W86" ca="1">'Tablica IO'!W242*INDEX(Model!$C$93:$CA$93,Model!$A86) + IF(wplyw_cen_import_wlaczony,'Tablica IO'!W320*INDEX(Model!$C$2:$CA$2,Model!$A86),'Tablica IO'!W320*1)</f>
        <v>3.8645285429173434E-5</v>
      </c>
      <c r="X86" s="222" cm="1">
        <f t="array" aca="1" ref="X86" ca="1">'Tablica IO'!X242*INDEX(Model!$C$93:$CA$93,Model!$A86) + IF(wplyw_cen_import_wlaczony,'Tablica IO'!X320*INDEX(Model!$C$2:$CA$2,Model!$A86),'Tablica IO'!X320*1)</f>
        <v>4.1638438272271702E-5</v>
      </c>
      <c r="Y86" s="222" cm="1">
        <f t="array" aca="1" ref="Y86" ca="1">'Tablica IO'!Y242*INDEX(Model!$C$93:$CA$93,Model!$A86) + IF(wplyw_cen_import_wlaczony,'Tablica IO'!Y320*INDEX(Model!$C$2:$CA$2,Model!$A86),'Tablica IO'!Y320*1)</f>
        <v>4.9955247881066251E-5</v>
      </c>
      <c r="Z86" s="222" cm="1">
        <f t="array" aca="1" ref="Z86" ca="1">'Tablica IO'!Z242*INDEX(Model!$C$93:$CA$93,Model!$A86) + IF(wplyw_cen_import_wlaczony,'Tablica IO'!Z320*INDEX(Model!$C$2:$CA$2,Model!$A86),'Tablica IO'!Z320*1)</f>
        <v>4.1831322089536743E-5</v>
      </c>
      <c r="AA86" s="222" cm="1">
        <f t="array" aca="1" ref="AA86" ca="1">'Tablica IO'!AA242*INDEX(Model!$C$93:$CA$93,Model!$A86) + IF(wplyw_cen_import_wlaczony,'Tablica IO'!AA320*INDEX(Model!$C$2:$CA$2,Model!$A86),'Tablica IO'!AA320*1)</f>
        <v>3.0968080936141983E-5</v>
      </c>
      <c r="AB86" s="222" cm="1">
        <f t="array" aca="1" ref="AB86" ca="1">'Tablica IO'!AB242*INDEX(Model!$C$93:$CA$93,Model!$A86) + IF(wplyw_cen_import_wlaczony,'Tablica IO'!AB320*INDEX(Model!$C$2:$CA$2,Model!$A86),'Tablica IO'!AB320*1)</f>
        <v>3.5359580055062798E-5</v>
      </c>
      <c r="AC86" s="222" cm="1">
        <f t="array" aca="1" ref="AC86" ca="1">'Tablica IO'!AC242*INDEX(Model!$C$93:$CA$93,Model!$A86) + IF(wplyw_cen_import_wlaczony,'Tablica IO'!AC320*INDEX(Model!$C$2:$CA$2,Model!$A86),'Tablica IO'!AC320*1)</f>
        <v>4.5932939925473655E-5</v>
      </c>
      <c r="AD86" s="222" cm="1">
        <f t="array" aca="1" ref="AD86" ca="1">'Tablica IO'!AD242*INDEX(Model!$C$93:$CA$93,Model!$A86) + IF(wplyw_cen_import_wlaczony,'Tablica IO'!AD320*INDEX(Model!$C$2:$CA$2,Model!$A86),'Tablica IO'!AD320*1)</f>
        <v>4.6730374208196058E-6</v>
      </c>
      <c r="AE86" s="222" cm="1">
        <f t="array" aca="1" ref="AE86" ca="1">'Tablica IO'!AE242*INDEX(Model!$C$93:$CA$93,Model!$A86) + IF(wplyw_cen_import_wlaczony,'Tablica IO'!AE320*INDEX(Model!$C$2:$CA$2,Model!$A86),'Tablica IO'!AE320*1)</f>
        <v>2.7519080414443098E-5</v>
      </c>
      <c r="AF86" s="222" cm="1">
        <f t="array" aca="1" ref="AF86" ca="1">'Tablica IO'!AF242*INDEX(Model!$C$93:$CA$93,Model!$A86) + IF(wplyw_cen_import_wlaczony,'Tablica IO'!AF320*INDEX(Model!$C$2:$CA$2,Model!$A86),'Tablica IO'!AF320*1)</f>
        <v>8.1828791119088404E-4</v>
      </c>
      <c r="AG86" s="222" cm="1">
        <f t="array" aca="1" ref="AG86" ca="1">'Tablica IO'!AG242*INDEX(Model!$C$93:$CA$93,Model!$A86) + IF(wplyw_cen_import_wlaczony,'Tablica IO'!AG320*INDEX(Model!$C$2:$CA$2,Model!$A86),'Tablica IO'!AG320*1)</f>
        <v>2.0605940001138155E-4</v>
      </c>
      <c r="AH86" s="222" cm="1">
        <f t="array" aca="1" ref="AH86" ca="1">'Tablica IO'!AH242*INDEX(Model!$C$93:$CA$93,Model!$A86) + IF(wplyw_cen_import_wlaczony,'Tablica IO'!AH320*INDEX(Model!$C$2:$CA$2,Model!$A86),'Tablica IO'!AH320*1)</f>
        <v>1.3639282792131627E-4</v>
      </c>
      <c r="AI86" s="222" cm="1">
        <f t="array" aca="1" ref="AI86" ca="1">'Tablica IO'!AI242*INDEX(Model!$C$93:$CA$93,Model!$A86) + IF(wplyw_cen_import_wlaczony,'Tablica IO'!AI320*INDEX(Model!$C$2:$CA$2,Model!$A86),'Tablica IO'!AI320*1)</f>
        <v>5.9619587033253789E-6</v>
      </c>
      <c r="AJ86" s="222" cm="1">
        <f t="array" aca="1" ref="AJ86" ca="1">'Tablica IO'!AJ242*INDEX(Model!$C$93:$CA$93,Model!$A86) + IF(wplyw_cen_import_wlaczony,'Tablica IO'!AJ320*INDEX(Model!$C$2:$CA$2,Model!$A86),'Tablica IO'!AJ320*1)</f>
        <v>8.1499965882917444E-5</v>
      </c>
      <c r="AK86" s="222" cm="1">
        <f t="array" aca="1" ref="AK86" ca="1">'Tablica IO'!AK242*INDEX(Model!$C$93:$CA$93,Model!$A86) + IF(wplyw_cen_import_wlaczony,'Tablica IO'!AK320*INDEX(Model!$C$2:$CA$2,Model!$A86),'Tablica IO'!AK320*1)</f>
        <v>4.3737932540959409E-5</v>
      </c>
      <c r="AL86" s="222" cm="1">
        <f t="array" aca="1" ref="AL86" ca="1">'Tablica IO'!AL242*INDEX(Model!$C$93:$CA$93,Model!$A86) + IF(wplyw_cen_import_wlaczony,'Tablica IO'!AL320*INDEX(Model!$C$2:$CA$2,Model!$A86),'Tablica IO'!AL320*1)</f>
        <v>2.3673054122567302E-4</v>
      </c>
      <c r="AM86" s="222" cm="1">
        <f t="array" aca="1" ref="AM86" ca="1">'Tablica IO'!AM242*INDEX(Model!$C$93:$CA$93,Model!$A86) + IF(wplyw_cen_import_wlaczony,'Tablica IO'!AM320*INDEX(Model!$C$2:$CA$2,Model!$A86),'Tablica IO'!AM320*1)</f>
        <v>2.9966198662367702E-4</v>
      </c>
      <c r="AN86" s="222" cm="1">
        <f t="array" aca="1" ref="AN86" ca="1">'Tablica IO'!AN242*INDEX(Model!$C$93:$CA$93,Model!$A86) + IF(wplyw_cen_import_wlaczony,'Tablica IO'!AN320*INDEX(Model!$C$2:$CA$2,Model!$A86),'Tablica IO'!AN320*1)</f>
        <v>1.0808052676351233E-4</v>
      </c>
      <c r="AO86" s="222" cm="1">
        <f t="array" aca="1" ref="AO86" ca="1">'Tablica IO'!AO242*INDEX(Model!$C$93:$CA$93,Model!$A86) + IF(wplyw_cen_import_wlaczony,'Tablica IO'!AO320*INDEX(Model!$C$2:$CA$2,Model!$A86),'Tablica IO'!AO320*1)</f>
        <v>3.2116531770096668E-5</v>
      </c>
      <c r="AP86" s="222" cm="1">
        <f t="array" aca="1" ref="AP86" ca="1">'Tablica IO'!AP242*INDEX(Model!$C$93:$CA$93,Model!$A86) + IF(wplyw_cen_import_wlaczony,'Tablica IO'!AP320*INDEX(Model!$C$2:$CA$2,Model!$A86),'Tablica IO'!AP320*1)</f>
        <v>1.5454244244781967E-5</v>
      </c>
      <c r="AQ86" s="222" cm="1">
        <f t="array" aca="1" ref="AQ86" ca="1">'Tablica IO'!AQ242*INDEX(Model!$C$93:$CA$93,Model!$A86) + IF(wplyw_cen_import_wlaczony,'Tablica IO'!AQ320*INDEX(Model!$C$2:$CA$2,Model!$A86),'Tablica IO'!AQ320*1)</f>
        <v>5.9924159679620678E-4</v>
      </c>
      <c r="AR86" s="222" cm="1">
        <f t="array" aca="1" ref="AR86" ca="1">'Tablica IO'!AR242*INDEX(Model!$C$93:$CA$93,Model!$A86) + IF(wplyw_cen_import_wlaczony,'Tablica IO'!AR320*INDEX(Model!$C$2:$CA$2,Model!$A86),'Tablica IO'!AR320*1)</f>
        <v>5.1680870208582608E-5</v>
      </c>
      <c r="AS86" s="222" cm="1">
        <f t="array" aca="1" ref="AS86" ca="1">'Tablica IO'!AS242*INDEX(Model!$C$93:$CA$93,Model!$A86) + IF(wplyw_cen_import_wlaczony,'Tablica IO'!AS320*INDEX(Model!$C$2:$CA$2,Model!$A86),'Tablica IO'!AS320*1)</f>
        <v>7.2981032606076569E-5</v>
      </c>
      <c r="AT86" s="222" cm="1">
        <f t="array" aca="1" ref="AT86" ca="1">'Tablica IO'!AT242*INDEX(Model!$C$93:$CA$93,Model!$A86) + IF(wplyw_cen_import_wlaczony,'Tablica IO'!AT320*INDEX(Model!$C$2:$CA$2,Model!$A86),'Tablica IO'!AT320*1)</f>
        <v>0</v>
      </c>
      <c r="AU86" s="222" cm="1">
        <f t="array" aca="1" ref="AU86" ca="1">'Tablica IO'!AU242*INDEX(Model!$C$93:$CA$93,Model!$A86) + IF(wplyw_cen_import_wlaczony,'Tablica IO'!AU320*INDEX(Model!$C$2:$CA$2,Model!$A86),'Tablica IO'!AU320*1)</f>
        <v>2.5774729911507361E-3</v>
      </c>
      <c r="AV86" s="222" cm="1">
        <f t="array" aca="1" ref="AV86" ca="1">'Tablica IO'!AV242*INDEX(Model!$C$93:$CA$93,Model!$A86) + IF(wplyw_cen_import_wlaczony,'Tablica IO'!AV320*INDEX(Model!$C$2:$CA$2,Model!$A86),'Tablica IO'!AV320*1)</f>
        <v>4.7152912688253165E-4</v>
      </c>
      <c r="AW86" s="222" cm="1">
        <f t="array" aca="1" ref="AW86" ca="1">'Tablica IO'!AW242*INDEX(Model!$C$93:$CA$93,Model!$A86) + IF(wplyw_cen_import_wlaczony,'Tablica IO'!AW320*INDEX(Model!$C$2:$CA$2,Model!$A86),'Tablica IO'!AW320*1)</f>
        <v>1.1577400346594188E-4</v>
      </c>
      <c r="AX86" s="222" cm="1">
        <f t="array" aca="1" ref="AX86" ca="1">'Tablica IO'!AX242*INDEX(Model!$C$93:$CA$93,Model!$A86) + IF(wplyw_cen_import_wlaczony,'Tablica IO'!AX320*INDEX(Model!$C$2:$CA$2,Model!$A86),'Tablica IO'!AX320*1)</f>
        <v>9.4543307327391E-5</v>
      </c>
      <c r="AY86" s="222" cm="1">
        <f t="array" aca="1" ref="AY86" ca="1">'Tablica IO'!AY242*INDEX(Model!$C$93:$CA$93,Model!$A86) + IF(wplyw_cen_import_wlaczony,'Tablica IO'!AY320*INDEX(Model!$C$2:$CA$2,Model!$A86),'Tablica IO'!AY320*1)</f>
        <v>1.3963437302848569E-5</v>
      </c>
      <c r="AZ86" s="222" cm="1">
        <f t="array" aca="1" ref="AZ86" ca="1">'Tablica IO'!AZ242*INDEX(Model!$C$93:$CA$93,Model!$A86) + IF(wplyw_cen_import_wlaczony,'Tablica IO'!AZ320*INDEX(Model!$C$2:$CA$2,Model!$A86),'Tablica IO'!AZ320*1)</f>
        <v>1.8744906622309098E-3</v>
      </c>
      <c r="BA86" s="222" cm="1">
        <f t="array" aca="1" ref="BA86" ca="1">'Tablica IO'!BA242*INDEX(Model!$C$93:$CA$93,Model!$A86) + IF(wplyw_cen_import_wlaczony,'Tablica IO'!BA320*INDEX(Model!$C$2:$CA$2,Model!$A86),'Tablica IO'!BA320*1)</f>
        <v>1.3424175732285951E-4</v>
      </c>
      <c r="BB86" s="222" cm="1">
        <f t="array" aca="1" ref="BB86" ca="1">'Tablica IO'!BB242*INDEX(Model!$C$93:$CA$93,Model!$A86) + IF(wplyw_cen_import_wlaczony,'Tablica IO'!BB320*INDEX(Model!$C$2:$CA$2,Model!$A86),'Tablica IO'!BB320*1)</f>
        <v>6.9730563264549855E-5</v>
      </c>
      <c r="BC86" s="222" cm="1">
        <f t="array" aca="1" ref="BC86" ca="1">'Tablica IO'!BC242*INDEX(Model!$C$93:$CA$93,Model!$A86) + IF(wplyw_cen_import_wlaczony,'Tablica IO'!BC320*INDEX(Model!$C$2:$CA$2,Model!$A86),'Tablica IO'!BC320*1)</f>
        <v>1.8100731519878554E-3</v>
      </c>
      <c r="BD86" s="222" cm="1">
        <f t="array" aca="1" ref="BD86" ca="1">'Tablica IO'!BD242*INDEX(Model!$C$93:$CA$93,Model!$A86) + IF(wplyw_cen_import_wlaczony,'Tablica IO'!BD320*INDEX(Model!$C$2:$CA$2,Model!$A86),'Tablica IO'!BD320*1)</f>
        <v>2.3202166367221626E-4</v>
      </c>
      <c r="BE86" s="222" cm="1">
        <f t="array" aca="1" ref="BE86" ca="1">'Tablica IO'!BE242*INDEX(Model!$C$93:$CA$93,Model!$A86) + IF(wplyw_cen_import_wlaczony,'Tablica IO'!BE320*INDEX(Model!$C$2:$CA$2,Model!$A86),'Tablica IO'!BE320*1)</f>
        <v>5.1396761205978032E-5</v>
      </c>
      <c r="BF86" s="222" cm="1">
        <f t="array" aca="1" ref="BF86" ca="1">'Tablica IO'!BF242*INDEX(Model!$C$93:$CA$93,Model!$A86) + IF(wplyw_cen_import_wlaczony,'Tablica IO'!BF320*INDEX(Model!$C$2:$CA$2,Model!$A86),'Tablica IO'!BF320*1)</f>
        <v>5.5394392795380259E-5</v>
      </c>
      <c r="BG86" s="222" cm="1">
        <f t="array" aca="1" ref="BG86" ca="1">'Tablica IO'!BG242*INDEX(Model!$C$93:$CA$93,Model!$A86) + IF(wplyw_cen_import_wlaczony,'Tablica IO'!BG320*INDEX(Model!$C$2:$CA$2,Model!$A86),'Tablica IO'!BG320*1)</f>
        <v>8.1468245150401552E-5</v>
      </c>
      <c r="BH86" s="222" cm="1">
        <f t="array" aca="1" ref="BH86" ca="1">'Tablica IO'!BH242*INDEX(Model!$C$93:$CA$93,Model!$A86) + IF(wplyw_cen_import_wlaczony,'Tablica IO'!BH320*INDEX(Model!$C$2:$CA$2,Model!$A86),'Tablica IO'!BH320*1)</f>
        <v>2.7265376688146713E-5</v>
      </c>
      <c r="BI86" s="222" cm="1">
        <f t="array" aca="1" ref="BI86" ca="1">'Tablica IO'!BI242*INDEX(Model!$C$93:$CA$93,Model!$A86) + IF(wplyw_cen_import_wlaczony,'Tablica IO'!BI320*INDEX(Model!$C$2:$CA$2,Model!$A86),'Tablica IO'!BI320*1)</f>
        <v>0</v>
      </c>
      <c r="BJ86" s="222" cm="1">
        <f t="array" aca="1" ref="BJ86" ca="1">'Tablica IO'!BJ242*INDEX(Model!$C$93:$CA$93,Model!$A86) + IF(wplyw_cen_import_wlaczony,'Tablica IO'!BJ320*INDEX(Model!$C$2:$CA$2,Model!$A86),'Tablica IO'!BJ320*1)</f>
        <v>8.000875659365979E-5</v>
      </c>
      <c r="BK86" s="222" cm="1">
        <f t="array" aca="1" ref="BK86" ca="1">'Tablica IO'!BK242*INDEX(Model!$C$93:$CA$93,Model!$A86) + IF(wplyw_cen_import_wlaczony,'Tablica IO'!BK320*INDEX(Model!$C$2:$CA$2,Model!$A86),'Tablica IO'!BK320*1)</f>
        <v>9.677229142736488E-5</v>
      </c>
      <c r="BL86" s="222" cm="1">
        <f t="array" aca="1" ref="BL86" ca="1">'Tablica IO'!BL242*INDEX(Model!$C$93:$CA$93,Model!$A86) + IF(wplyw_cen_import_wlaczony,'Tablica IO'!BL320*INDEX(Model!$C$2:$CA$2,Model!$A86),'Tablica IO'!BL320*1)</f>
        <v>1.1045617397953461E-4</v>
      </c>
      <c r="BM86" s="222" cm="1">
        <f t="array" aca="1" ref="BM86" ca="1">'Tablica IO'!BM242*INDEX(Model!$C$93:$CA$93,Model!$A86) + IF(wplyw_cen_import_wlaczony,'Tablica IO'!BM320*INDEX(Model!$C$2:$CA$2,Model!$A86),'Tablica IO'!BM320*1)</f>
        <v>4.9102921871277833E-5</v>
      </c>
      <c r="BN86" s="222" cm="1">
        <f t="array" aca="1" ref="BN86" ca="1">'Tablica IO'!BN242*INDEX(Model!$C$93:$CA$93,Model!$A86) + IF(wplyw_cen_import_wlaczony,'Tablica IO'!BN320*INDEX(Model!$C$2:$CA$2,Model!$A86),'Tablica IO'!BN320*1)</f>
        <v>8.8758247034274052E-5</v>
      </c>
      <c r="BO86" s="222" cm="1">
        <f t="array" aca="1" ref="BO86" ca="1">'Tablica IO'!BO242*INDEX(Model!$C$93:$CA$93,Model!$A86) + IF(wplyw_cen_import_wlaczony,'Tablica IO'!BO320*INDEX(Model!$C$2:$CA$2,Model!$A86),'Tablica IO'!BO320*1)</f>
        <v>3.2966148310005176E-5</v>
      </c>
      <c r="BP86" s="222" cm="1">
        <f t="array" aca="1" ref="BP86" ca="1">'Tablica IO'!BP242*INDEX(Model!$C$93:$CA$93,Model!$A86) + IF(wplyw_cen_import_wlaczony,'Tablica IO'!BP320*INDEX(Model!$C$2:$CA$2,Model!$A86),'Tablica IO'!BP320*1)</f>
        <v>4.1975298923337753E-5</v>
      </c>
      <c r="BQ86" s="222" cm="1">
        <f t="array" aca="1" ref="BQ86" ca="1">'Tablica IO'!BQ242*INDEX(Model!$C$93:$CA$93,Model!$A86) + IF(wplyw_cen_import_wlaczony,'Tablica IO'!BQ320*INDEX(Model!$C$2:$CA$2,Model!$A86),'Tablica IO'!BQ320*1)</f>
        <v>1.608693839335281E-4</v>
      </c>
      <c r="BR86" s="222" cm="1">
        <f t="array" aca="1" ref="BR86" ca="1">'Tablica IO'!BR242*INDEX(Model!$C$93:$CA$93,Model!$A86) + IF(wplyw_cen_import_wlaczony,'Tablica IO'!BR320*INDEX(Model!$C$2:$CA$2,Model!$A86),'Tablica IO'!BR320*1)</f>
        <v>2.0064132090371746E-4</v>
      </c>
      <c r="BS86" s="222" cm="1">
        <f t="array" aca="1" ref="BS86" ca="1">'Tablica IO'!BS242*INDEX(Model!$C$93:$CA$93,Model!$A86) + IF(wplyw_cen_import_wlaczony,'Tablica IO'!BS320*INDEX(Model!$C$2:$CA$2,Model!$A86),'Tablica IO'!BS320*1)</f>
        <v>0</v>
      </c>
      <c r="BT86" s="222" cm="1">
        <f t="array" aca="1" ref="BT86" ca="1">'Tablica IO'!BT242*INDEX(Model!$C$93:$CA$93,Model!$A86) + IF(wplyw_cen_import_wlaczony,'Tablica IO'!BT320*INDEX(Model!$C$2:$CA$2,Model!$A86),'Tablica IO'!BT320*1)</f>
        <v>8.5050965996644621E-5</v>
      </c>
      <c r="BU86" s="222" cm="1">
        <f t="array" aca="1" ref="BU86" ca="1">'Tablica IO'!BU242*INDEX(Model!$C$93:$CA$93,Model!$A86) + IF(wplyw_cen_import_wlaczony,'Tablica IO'!BU320*INDEX(Model!$C$2:$CA$2,Model!$A86),'Tablica IO'!BU320*1)</f>
        <v>6.65447413103526E-5</v>
      </c>
      <c r="BV86" s="222" cm="1">
        <f t="array" aca="1" ref="BV86" ca="1">'Tablica IO'!BV242*INDEX(Model!$C$93:$CA$93,Model!$A86) + IF(wplyw_cen_import_wlaczony,'Tablica IO'!BV320*INDEX(Model!$C$2:$CA$2,Model!$A86),'Tablica IO'!BV320*1)</f>
        <v>1.5961008152543533E-5</v>
      </c>
      <c r="BW86" s="222" cm="1">
        <f t="array" aca="1" ref="BW86" ca="1">'Tablica IO'!BW242*INDEX(Model!$C$93:$CA$93,Model!$A86) + IF(wplyw_cen_import_wlaczony,'Tablica IO'!BW320*INDEX(Model!$C$2:$CA$2,Model!$A86),'Tablica IO'!BW320*1)</f>
        <v>4.9765125105123027E-5</v>
      </c>
      <c r="BX86" s="222" cm="1">
        <f t="array" aca="1" ref="BX86" ca="1">'Tablica IO'!BX242*INDEX(Model!$C$93:$CA$93,Model!$A86) + IF(wplyw_cen_import_wlaczony,'Tablica IO'!BX320*INDEX(Model!$C$2:$CA$2,Model!$A86),'Tablica IO'!BX320*1)</f>
        <v>1.6878389004238399E-4</v>
      </c>
      <c r="BY86" s="222" cm="1">
        <f t="array" aca="1" ref="BY86" ca="1">'Tablica IO'!BY242*INDEX(Model!$C$93:$CA$93,Model!$A86) + IF(wplyw_cen_import_wlaczony,'Tablica IO'!BY320*INDEX(Model!$C$2:$CA$2,Model!$A86),'Tablica IO'!BY320*1)</f>
        <v>5.1283103850454005E-6</v>
      </c>
      <c r="BZ86" s="222" cm="1">
        <f t="array" aca="1" ref="BZ86" ca="1">'Tablica IO'!BZ242*INDEX(Model!$C$93:$CA$93,Model!$A86) + IF(wplyw_cen_import_wlaczony,'Tablica IO'!BZ320*INDEX(Model!$C$2:$CA$2,Model!$A86),'Tablica IO'!BZ320*1)</f>
        <v>6.4793570385549191E-5</v>
      </c>
      <c r="CA86" s="222" cm="1">
        <f t="array" aca="1" ref="CA86" ca="1">'Tablica IO'!CA242*INDEX(Model!$C$93:$CA$93,Model!$A86) + IF(wplyw_cen_import_wlaczony,'Tablica IO'!CA320*INDEX(Model!$C$2:$CA$2,Model!$A86),'Tablica IO'!CA320*1)</f>
        <v>0</v>
      </c>
      <c r="CB86" s="247">
        <f ca="1">'Tablica IO'!CD242*INDEX(Model!$C$93:$CA$93,Model!$A86)+'Tablica IO'!CD320*INDEX(Model!$C$2:$CA$2,Model!$A86)</f>
        <v>5.0750054280876518E-3</v>
      </c>
      <c r="CC86" s="188">
        <f ca="1">'Tablica IO'!CE242*INDEX(Model!$C$93:$CA$93,Model!$A86)+'Tablica IO'!CE320*INDEX(Model!$C$2:$CA$2,Model!$A86)</f>
        <v>0</v>
      </c>
      <c r="CD86" s="188">
        <f ca="1">'Tablica IO'!CF242*INDEX(Model!$C$93:$CA$93,Model!$A86)+'Tablica IO'!CF320*INDEX(Model!$C$2:$CA$2,Model!$A86)</f>
        <v>0</v>
      </c>
      <c r="CE86" s="189">
        <f ca="1">'Tablica IO'!CG242*INDEX(Model!$C$93:$CA$93,Model!$A86)+'Tablica IO'!CG320*INDEX(Model!$C$2:$CA$2,Model!$A86)</f>
        <v>0</v>
      </c>
    </row>
    <row r="87" spans="1:83" x14ac:dyDescent="0.25">
      <c r="A87" s="164">
        <v>75</v>
      </c>
      <c r="B87" s="172" t="s">
        <v>74</v>
      </c>
      <c r="C87" s="221" cm="1">
        <f t="array" aca="1" ref="C87" ca="1">'Tablica IO'!C243*INDEX(Model!$C$93:$CA$93,Model!$A87) + IF(wplyw_cen_import_wlaczony,'Tablica IO'!C321*INDEX(Model!$C$2:$CA$2,Model!$A87),'Tablica IO'!C321*1)</f>
        <v>1.1886812508385307E-4</v>
      </c>
      <c r="D87" s="222" cm="1">
        <f t="array" aca="1" ref="D87" ca="1">'Tablica IO'!D243*INDEX(Model!$C$93:$CA$93,Model!$A87) + IF(wplyw_cen_import_wlaczony,'Tablica IO'!D321*INDEX(Model!$C$2:$CA$2,Model!$A87),'Tablica IO'!D321*1)</f>
        <v>2.920928455179659E-4</v>
      </c>
      <c r="E87" s="222" cm="1">
        <f t="array" aca="1" ref="E87" ca="1">'Tablica IO'!E243*INDEX(Model!$C$93:$CA$93,Model!$A87) + IF(wplyw_cen_import_wlaczony,'Tablica IO'!E321*INDEX(Model!$C$2:$CA$2,Model!$A87),'Tablica IO'!E321*1)</f>
        <v>1.0659395724505799E-4</v>
      </c>
      <c r="F87" s="222" cm="1">
        <f t="array" aca="1" ref="F87" ca="1">'Tablica IO'!F243*INDEX(Model!$C$93:$CA$93,Model!$A87) + IF(wplyw_cen_import_wlaczony,'Tablica IO'!F321*INDEX(Model!$C$2:$CA$2,Model!$A87),'Tablica IO'!F321*1)</f>
        <v>3.1131300121422438E-4</v>
      </c>
      <c r="G87" s="222" cm="1">
        <f t="array" aca="1" ref="G87" ca="1">'Tablica IO'!G243*INDEX(Model!$C$93:$CA$93,Model!$A87) + IF(wplyw_cen_import_wlaczony,'Tablica IO'!G321*INDEX(Model!$C$2:$CA$2,Model!$A87),'Tablica IO'!G321*1)</f>
        <v>2.4271366830120457E-3</v>
      </c>
      <c r="H87" s="222" cm="1">
        <f t="array" aca="1" ref="H87" ca="1">'Tablica IO'!H243*INDEX(Model!$C$93:$CA$93,Model!$A87) + IF(wplyw_cen_import_wlaczony,'Tablica IO'!H321*INDEX(Model!$C$2:$CA$2,Model!$A87),'Tablica IO'!H321*1)</f>
        <v>9.1478321338499236E-4</v>
      </c>
      <c r="I87" s="222" cm="1">
        <f t="array" aca="1" ref="I87" ca="1">'Tablica IO'!I243*INDEX(Model!$C$93:$CA$93,Model!$A87) + IF(wplyw_cen_import_wlaczony,'Tablica IO'!I321*INDEX(Model!$C$2:$CA$2,Model!$A87),'Tablica IO'!I321*1)</f>
        <v>1.9336817726710599E-4</v>
      </c>
      <c r="J87" s="222" cm="1">
        <f t="array" aca="1" ref="J87" ca="1">'Tablica IO'!J243*INDEX(Model!$C$93:$CA$93,Model!$A87) + IF(wplyw_cen_import_wlaczony,'Tablica IO'!J321*INDEX(Model!$C$2:$CA$2,Model!$A87),'Tablica IO'!J321*1)</f>
        <v>2.5801120167110118E-3</v>
      </c>
      <c r="K87" s="222" cm="1">
        <f t="array" aca="1" ref="K87" ca="1">'Tablica IO'!K243*INDEX(Model!$C$93:$CA$93,Model!$A87) + IF(wplyw_cen_import_wlaczony,'Tablica IO'!K321*INDEX(Model!$C$2:$CA$2,Model!$A87),'Tablica IO'!K321*1)</f>
        <v>1.8597006007893965E-3</v>
      </c>
      <c r="L87" s="222" cm="1">
        <f t="array" aca="1" ref="L87" ca="1">'Tablica IO'!L243*INDEX(Model!$C$93:$CA$93,Model!$A87) + IF(wplyw_cen_import_wlaczony,'Tablica IO'!L321*INDEX(Model!$C$2:$CA$2,Model!$A87),'Tablica IO'!L321*1)</f>
        <v>2.4496319422795437E-3</v>
      </c>
      <c r="M87" s="222" cm="1">
        <f t="array" aca="1" ref="M87" ca="1">'Tablica IO'!M243*INDEX(Model!$C$93:$CA$93,Model!$A87) + IF(wplyw_cen_import_wlaczony,'Tablica IO'!M321*INDEX(Model!$C$2:$CA$2,Model!$A87),'Tablica IO'!M321*1)</f>
        <v>2.5246702358527199E-3</v>
      </c>
      <c r="N87" s="222" cm="1">
        <f t="array" aca="1" ref="N87" ca="1">'Tablica IO'!N243*INDEX(Model!$C$93:$CA$93,Model!$A87) + IF(wplyw_cen_import_wlaczony,'Tablica IO'!N321*INDEX(Model!$C$2:$CA$2,Model!$A87),'Tablica IO'!N321*1)</f>
        <v>7.0881300551044874E-4</v>
      </c>
      <c r="O87" s="222" cm="1">
        <f t="array" aca="1" ref="O87" ca="1">'Tablica IO'!O243*INDEX(Model!$C$93:$CA$93,Model!$A87) + IF(wplyw_cen_import_wlaczony,'Tablica IO'!O321*INDEX(Model!$C$2:$CA$2,Model!$A87),'Tablica IO'!O321*1)</f>
        <v>5.4849055697879403E-4</v>
      </c>
      <c r="P87" s="222" cm="1">
        <f t="array" aca="1" ref="P87" ca="1">'Tablica IO'!P243*INDEX(Model!$C$93:$CA$93,Model!$A87) + IF(wplyw_cen_import_wlaczony,'Tablica IO'!P321*INDEX(Model!$C$2:$CA$2,Model!$A87),'Tablica IO'!P321*1)</f>
        <v>2.1563236705810763E-3</v>
      </c>
      <c r="Q87" s="222" cm="1">
        <f t="array" aca="1" ref="Q87" ca="1">'Tablica IO'!Q243*INDEX(Model!$C$93:$CA$93,Model!$A87) + IF(wplyw_cen_import_wlaczony,'Tablica IO'!Q321*INDEX(Model!$C$2:$CA$2,Model!$A87),'Tablica IO'!Q321*1)</f>
        <v>4.9619024926119545E-3</v>
      </c>
      <c r="R87" s="222" cm="1">
        <f t="array" aca="1" ref="R87" ca="1">'Tablica IO'!R243*INDEX(Model!$C$93:$CA$93,Model!$A87) + IF(wplyw_cen_import_wlaczony,'Tablica IO'!R321*INDEX(Model!$C$2:$CA$2,Model!$A87),'Tablica IO'!R321*1)</f>
        <v>8.2809797611389389E-4</v>
      </c>
      <c r="S87" s="222" cm="1">
        <f t="array" aca="1" ref="S87" ca="1">'Tablica IO'!S243*INDEX(Model!$C$93:$CA$93,Model!$A87) + IF(wplyw_cen_import_wlaczony,'Tablica IO'!S321*INDEX(Model!$C$2:$CA$2,Model!$A87),'Tablica IO'!S321*1)</f>
        <v>4.8997701966977455E-4</v>
      </c>
      <c r="T87" s="222" cm="1">
        <f t="array" aca="1" ref="T87" ca="1">'Tablica IO'!T243*INDEX(Model!$C$93:$CA$93,Model!$A87) + IF(wplyw_cen_import_wlaczony,'Tablica IO'!T321*INDEX(Model!$C$2:$CA$2,Model!$A87),'Tablica IO'!T321*1)</f>
        <v>2.4495176137025111E-3</v>
      </c>
      <c r="U87" s="222" cm="1">
        <f t="array" aca="1" ref="U87" ca="1">'Tablica IO'!U243*INDEX(Model!$C$93:$CA$93,Model!$A87) + IF(wplyw_cen_import_wlaczony,'Tablica IO'!U321*INDEX(Model!$C$2:$CA$2,Model!$A87),'Tablica IO'!U321*1)</f>
        <v>2.7260146983919663E-3</v>
      </c>
      <c r="V87" s="222" cm="1">
        <f t="array" aca="1" ref="V87" ca="1">'Tablica IO'!V243*INDEX(Model!$C$93:$CA$93,Model!$A87) + IF(wplyw_cen_import_wlaczony,'Tablica IO'!V321*INDEX(Model!$C$2:$CA$2,Model!$A87),'Tablica IO'!V321*1)</f>
        <v>9.8543602499144496E-5</v>
      </c>
      <c r="W87" s="222" cm="1">
        <f t="array" aca="1" ref="W87" ca="1">'Tablica IO'!W243*INDEX(Model!$C$93:$CA$93,Model!$A87) + IF(wplyw_cen_import_wlaczony,'Tablica IO'!W321*INDEX(Model!$C$2:$CA$2,Model!$A87),'Tablica IO'!W321*1)</f>
        <v>5.2266144190485798E-4</v>
      </c>
      <c r="X87" s="222" cm="1">
        <f t="array" aca="1" ref="X87" ca="1">'Tablica IO'!X243*INDEX(Model!$C$93:$CA$93,Model!$A87) + IF(wplyw_cen_import_wlaczony,'Tablica IO'!X321*INDEX(Model!$C$2:$CA$2,Model!$A87),'Tablica IO'!X321*1)</f>
        <v>2.0140659957896631E-4</v>
      </c>
      <c r="Y87" s="222" cm="1">
        <f t="array" aca="1" ref="Y87" ca="1">'Tablica IO'!Y243*INDEX(Model!$C$93:$CA$93,Model!$A87) + IF(wplyw_cen_import_wlaczony,'Tablica IO'!Y321*INDEX(Model!$C$2:$CA$2,Model!$A87),'Tablica IO'!Y321*1)</f>
        <v>1.5532996774602348E-3</v>
      </c>
      <c r="Z87" s="222" cm="1">
        <f t="array" aca="1" ref="Z87" ca="1">'Tablica IO'!Z243*INDEX(Model!$C$93:$CA$93,Model!$A87) + IF(wplyw_cen_import_wlaczony,'Tablica IO'!Z321*INDEX(Model!$C$2:$CA$2,Model!$A87),'Tablica IO'!Z321*1)</f>
        <v>2.2997719972298225E-3</v>
      </c>
      <c r="AA87" s="222" cm="1">
        <f t="array" aca="1" ref="AA87" ca="1">'Tablica IO'!AA243*INDEX(Model!$C$93:$CA$93,Model!$A87) + IF(wplyw_cen_import_wlaczony,'Tablica IO'!AA321*INDEX(Model!$C$2:$CA$2,Model!$A87),'Tablica IO'!AA321*1)</f>
        <v>3.7996603669324873E-4</v>
      </c>
      <c r="AB87" s="222" cm="1">
        <f t="array" aca="1" ref="AB87" ca="1">'Tablica IO'!AB243*INDEX(Model!$C$93:$CA$93,Model!$A87) + IF(wplyw_cen_import_wlaczony,'Tablica IO'!AB321*INDEX(Model!$C$2:$CA$2,Model!$A87),'Tablica IO'!AB321*1)</f>
        <v>4.9931364392620092E-4</v>
      </c>
      <c r="AC87" s="222" cm="1">
        <f t="array" aca="1" ref="AC87" ca="1">'Tablica IO'!AC243*INDEX(Model!$C$93:$CA$93,Model!$A87) + IF(wplyw_cen_import_wlaczony,'Tablica IO'!AC321*INDEX(Model!$C$2:$CA$2,Model!$A87),'Tablica IO'!AC321*1)</f>
        <v>2.6178798108965574E-3</v>
      </c>
      <c r="AD87" s="222" cm="1">
        <f t="array" aca="1" ref="AD87" ca="1">'Tablica IO'!AD243*INDEX(Model!$C$93:$CA$93,Model!$A87) + IF(wplyw_cen_import_wlaczony,'Tablica IO'!AD321*INDEX(Model!$C$2:$CA$2,Model!$A87),'Tablica IO'!AD321*1)</f>
        <v>6.8824500962245808E-4</v>
      </c>
      <c r="AE87" s="222" cm="1">
        <f t="array" aca="1" ref="AE87" ca="1">'Tablica IO'!AE243*INDEX(Model!$C$93:$CA$93,Model!$A87) + IF(wplyw_cen_import_wlaczony,'Tablica IO'!AE321*INDEX(Model!$C$2:$CA$2,Model!$A87),'Tablica IO'!AE321*1)</f>
        <v>1.1876317316117711E-3</v>
      </c>
      <c r="AF87" s="222" cm="1">
        <f t="array" aca="1" ref="AF87" ca="1">'Tablica IO'!AF243*INDEX(Model!$C$93:$CA$93,Model!$A87) + IF(wplyw_cen_import_wlaczony,'Tablica IO'!AF321*INDEX(Model!$C$2:$CA$2,Model!$A87),'Tablica IO'!AF321*1)</f>
        <v>3.2350971523445872E-4</v>
      </c>
      <c r="AG87" s="222" cm="1">
        <f t="array" aca="1" ref="AG87" ca="1">'Tablica IO'!AG243*INDEX(Model!$C$93:$CA$93,Model!$A87) + IF(wplyw_cen_import_wlaczony,'Tablica IO'!AG321*INDEX(Model!$C$2:$CA$2,Model!$A87),'Tablica IO'!AG321*1)</f>
        <v>5.7700514809126647E-4</v>
      </c>
      <c r="AH87" s="222" cm="1">
        <f t="array" aca="1" ref="AH87" ca="1">'Tablica IO'!AH243*INDEX(Model!$C$93:$CA$93,Model!$A87) + IF(wplyw_cen_import_wlaczony,'Tablica IO'!AH321*INDEX(Model!$C$2:$CA$2,Model!$A87),'Tablica IO'!AH321*1)</f>
        <v>3.1705397225374535E-3</v>
      </c>
      <c r="AI87" s="222" cm="1">
        <f t="array" aca="1" ref="AI87" ca="1">'Tablica IO'!AI243*INDEX(Model!$C$93:$CA$93,Model!$A87) + IF(wplyw_cen_import_wlaczony,'Tablica IO'!AI321*INDEX(Model!$C$2:$CA$2,Model!$A87),'Tablica IO'!AI321*1)</f>
        <v>2.8209323782911618E-4</v>
      </c>
      <c r="AJ87" s="222" cm="1">
        <f t="array" aca="1" ref="AJ87" ca="1">'Tablica IO'!AJ243*INDEX(Model!$C$93:$CA$93,Model!$A87) + IF(wplyw_cen_import_wlaczony,'Tablica IO'!AJ321*INDEX(Model!$C$2:$CA$2,Model!$A87),'Tablica IO'!AJ321*1)</f>
        <v>3.380722867326195E-4</v>
      </c>
      <c r="AK87" s="222" cm="1">
        <f t="array" aca="1" ref="AK87" ca="1">'Tablica IO'!AK243*INDEX(Model!$C$93:$CA$93,Model!$A87) + IF(wplyw_cen_import_wlaczony,'Tablica IO'!AK321*INDEX(Model!$C$2:$CA$2,Model!$A87),'Tablica IO'!AK321*1)</f>
        <v>9.6099059067256988E-4</v>
      </c>
      <c r="AL87" s="222" cm="1">
        <f t="array" aca="1" ref="AL87" ca="1">'Tablica IO'!AL243*INDEX(Model!$C$93:$CA$93,Model!$A87) + IF(wplyw_cen_import_wlaczony,'Tablica IO'!AL321*INDEX(Model!$C$2:$CA$2,Model!$A87),'Tablica IO'!AL321*1)</f>
        <v>1.05096629121618E-2</v>
      </c>
      <c r="AM87" s="222" cm="1">
        <f t="array" aca="1" ref="AM87" ca="1">'Tablica IO'!AM243*INDEX(Model!$C$93:$CA$93,Model!$A87) + IF(wplyw_cen_import_wlaczony,'Tablica IO'!AM321*INDEX(Model!$C$2:$CA$2,Model!$A87),'Tablica IO'!AM321*1)</f>
        <v>7.4076933414440093E-3</v>
      </c>
      <c r="AN87" s="222" cm="1">
        <f t="array" aca="1" ref="AN87" ca="1">'Tablica IO'!AN243*INDEX(Model!$C$93:$CA$93,Model!$A87) + IF(wplyw_cen_import_wlaczony,'Tablica IO'!AN321*INDEX(Model!$C$2:$CA$2,Model!$A87),'Tablica IO'!AN321*1)</f>
        <v>7.8227094757369491E-4</v>
      </c>
      <c r="AO87" s="222" cm="1">
        <f t="array" aca="1" ref="AO87" ca="1">'Tablica IO'!AO243*INDEX(Model!$C$93:$CA$93,Model!$A87) + IF(wplyw_cen_import_wlaczony,'Tablica IO'!AO321*INDEX(Model!$C$2:$CA$2,Model!$A87),'Tablica IO'!AO321*1)</f>
        <v>4.9054389777056381E-4</v>
      </c>
      <c r="AP87" s="222" cm="1">
        <f t="array" aca="1" ref="AP87" ca="1">'Tablica IO'!AP243*INDEX(Model!$C$93:$CA$93,Model!$A87) + IF(wplyw_cen_import_wlaczony,'Tablica IO'!AP321*INDEX(Model!$C$2:$CA$2,Model!$A87),'Tablica IO'!AP321*1)</f>
        <v>4.8887075349019111E-4</v>
      </c>
      <c r="AQ87" s="222" cm="1">
        <f t="array" aca="1" ref="AQ87" ca="1">'Tablica IO'!AQ243*INDEX(Model!$C$93:$CA$93,Model!$A87) + IF(wplyw_cen_import_wlaczony,'Tablica IO'!AQ321*INDEX(Model!$C$2:$CA$2,Model!$A87),'Tablica IO'!AQ321*1)</f>
        <v>1.5829211479733956E-3</v>
      </c>
      <c r="AR87" s="222" cm="1">
        <f t="array" aca="1" ref="AR87" ca="1">'Tablica IO'!AR243*INDEX(Model!$C$93:$CA$93,Model!$A87) + IF(wplyw_cen_import_wlaczony,'Tablica IO'!AR321*INDEX(Model!$C$2:$CA$2,Model!$A87),'Tablica IO'!AR321*1)</f>
        <v>4.3151683595886686E-4</v>
      </c>
      <c r="AS87" s="222" cm="1">
        <f t="array" aca="1" ref="AS87" ca="1">'Tablica IO'!AS243*INDEX(Model!$C$93:$CA$93,Model!$A87) + IF(wplyw_cen_import_wlaczony,'Tablica IO'!AS321*INDEX(Model!$C$2:$CA$2,Model!$A87),'Tablica IO'!AS321*1)</f>
        <v>1.5158045770379588E-4</v>
      </c>
      <c r="AT87" s="222" cm="1">
        <f t="array" aca="1" ref="AT87" ca="1">'Tablica IO'!AT243*INDEX(Model!$C$93:$CA$93,Model!$A87) + IF(wplyw_cen_import_wlaczony,'Tablica IO'!AT321*INDEX(Model!$C$2:$CA$2,Model!$A87),'Tablica IO'!AT321*1)</f>
        <v>1.8851558233282753E-3</v>
      </c>
      <c r="AU87" s="222" cm="1">
        <f t="array" aca="1" ref="AU87" ca="1">'Tablica IO'!AU243*INDEX(Model!$C$93:$CA$93,Model!$A87) + IF(wplyw_cen_import_wlaczony,'Tablica IO'!AU321*INDEX(Model!$C$2:$CA$2,Model!$A87),'Tablica IO'!AU321*1)</f>
        <v>3.1769771684148404E-4</v>
      </c>
      <c r="AV87" s="222" cm="1">
        <f t="array" aca="1" ref="AV87" ca="1">'Tablica IO'!AV243*INDEX(Model!$C$93:$CA$93,Model!$A87) + IF(wplyw_cen_import_wlaczony,'Tablica IO'!AV321*INDEX(Model!$C$2:$CA$2,Model!$A87),'Tablica IO'!AV321*1)</f>
        <v>1.0121181990941495E-2</v>
      </c>
      <c r="AW87" s="222" cm="1">
        <f t="array" aca="1" ref="AW87" ca="1">'Tablica IO'!AW243*INDEX(Model!$C$93:$CA$93,Model!$A87) + IF(wplyw_cen_import_wlaczony,'Tablica IO'!AW321*INDEX(Model!$C$2:$CA$2,Model!$A87),'Tablica IO'!AW321*1)</f>
        <v>8.7339167970347884E-3</v>
      </c>
      <c r="AX87" s="222" cm="1">
        <f t="array" aca="1" ref="AX87" ca="1">'Tablica IO'!AX243*INDEX(Model!$C$93:$CA$93,Model!$A87) + IF(wplyw_cen_import_wlaczony,'Tablica IO'!AX321*INDEX(Model!$C$2:$CA$2,Model!$A87),'Tablica IO'!AX321*1)</f>
        <v>7.1051349944264075E-3</v>
      </c>
      <c r="AY87" s="222" cm="1">
        <f t="array" aca="1" ref="AY87" ca="1">'Tablica IO'!AY243*INDEX(Model!$C$93:$CA$93,Model!$A87) + IF(wplyw_cen_import_wlaczony,'Tablica IO'!AY321*INDEX(Model!$C$2:$CA$2,Model!$A87),'Tablica IO'!AY321*1)</f>
        <v>6.8044273931075927E-4</v>
      </c>
      <c r="AZ87" s="222" cm="1">
        <f t="array" aca="1" ref="AZ87" ca="1">'Tablica IO'!AZ243*INDEX(Model!$C$93:$CA$93,Model!$A87) + IF(wplyw_cen_import_wlaczony,'Tablica IO'!AZ321*INDEX(Model!$C$2:$CA$2,Model!$A87),'Tablica IO'!AZ321*1)</f>
        <v>1.352352172163474E-3</v>
      </c>
      <c r="BA87" s="222" cm="1">
        <f t="array" aca="1" ref="BA87" ca="1">'Tablica IO'!BA243*INDEX(Model!$C$93:$CA$93,Model!$A87) + IF(wplyw_cen_import_wlaczony,'Tablica IO'!BA321*INDEX(Model!$C$2:$CA$2,Model!$A87),'Tablica IO'!BA321*1)</f>
        <v>8.7280030787390103E-4</v>
      </c>
      <c r="BB87" s="222" cm="1">
        <f t="array" aca="1" ref="BB87" ca="1">'Tablica IO'!BB243*INDEX(Model!$C$93:$CA$93,Model!$A87) + IF(wplyw_cen_import_wlaczony,'Tablica IO'!BB321*INDEX(Model!$C$2:$CA$2,Model!$A87),'Tablica IO'!BB321*1)</f>
        <v>2.5604511451135878E-4</v>
      </c>
      <c r="BC87" s="222" cm="1">
        <f t="array" aca="1" ref="BC87" ca="1">'Tablica IO'!BC243*INDEX(Model!$C$93:$CA$93,Model!$A87) + IF(wplyw_cen_import_wlaczony,'Tablica IO'!BC321*INDEX(Model!$C$2:$CA$2,Model!$A87),'Tablica IO'!BC321*1)</f>
        <v>2.018650330720692E-3</v>
      </c>
      <c r="BD87" s="222" cm="1">
        <f t="array" aca="1" ref="BD87" ca="1">'Tablica IO'!BD243*INDEX(Model!$C$93:$CA$93,Model!$A87) + IF(wplyw_cen_import_wlaczony,'Tablica IO'!BD321*INDEX(Model!$C$2:$CA$2,Model!$A87),'Tablica IO'!BD321*1)</f>
        <v>9.1552360274252606E-3</v>
      </c>
      <c r="BE87" s="222" cm="1">
        <f t="array" aca="1" ref="BE87" ca="1">'Tablica IO'!BE243*INDEX(Model!$C$93:$CA$93,Model!$A87) + IF(wplyw_cen_import_wlaczony,'Tablica IO'!BE321*INDEX(Model!$C$2:$CA$2,Model!$A87),'Tablica IO'!BE321*1)</f>
        <v>5.0032224207963497E-4</v>
      </c>
      <c r="BF87" s="222" cm="1">
        <f t="array" aca="1" ref="BF87" ca="1">'Tablica IO'!BF243*INDEX(Model!$C$93:$CA$93,Model!$A87) + IF(wplyw_cen_import_wlaczony,'Tablica IO'!BF321*INDEX(Model!$C$2:$CA$2,Model!$A87),'Tablica IO'!BF321*1)</f>
        <v>5.4313276455369909E-4</v>
      </c>
      <c r="BG87" s="222" cm="1">
        <f t="array" aca="1" ref="BG87" ca="1">'Tablica IO'!BG243*INDEX(Model!$C$93:$CA$93,Model!$A87) + IF(wplyw_cen_import_wlaczony,'Tablica IO'!BG321*INDEX(Model!$C$2:$CA$2,Model!$A87),'Tablica IO'!BG321*1)</f>
        <v>1.4465992937265105E-4</v>
      </c>
      <c r="BH87" s="222" cm="1">
        <f t="array" aca="1" ref="BH87" ca="1">'Tablica IO'!BH243*INDEX(Model!$C$93:$CA$93,Model!$A87) + IF(wplyw_cen_import_wlaczony,'Tablica IO'!BH321*INDEX(Model!$C$2:$CA$2,Model!$A87),'Tablica IO'!BH321*1)</f>
        <v>9.0027131150542086E-4</v>
      </c>
      <c r="BI87" s="222" cm="1">
        <f t="array" aca="1" ref="BI87" ca="1">'Tablica IO'!BI243*INDEX(Model!$C$93:$CA$93,Model!$A87) + IF(wplyw_cen_import_wlaczony,'Tablica IO'!BI321*INDEX(Model!$C$2:$CA$2,Model!$A87),'Tablica IO'!BI321*1)</f>
        <v>0</v>
      </c>
      <c r="BJ87" s="222" cm="1">
        <f t="array" aca="1" ref="BJ87" ca="1">'Tablica IO'!BJ243*INDEX(Model!$C$93:$CA$93,Model!$A87) + IF(wplyw_cen_import_wlaczony,'Tablica IO'!BJ321*INDEX(Model!$C$2:$CA$2,Model!$A87),'Tablica IO'!BJ321*1)</f>
        <v>3.4404687123891827E-3</v>
      </c>
      <c r="BK87" s="222" cm="1">
        <f t="array" aca="1" ref="BK87" ca="1">'Tablica IO'!BK243*INDEX(Model!$C$93:$CA$93,Model!$A87) + IF(wplyw_cen_import_wlaczony,'Tablica IO'!BK321*INDEX(Model!$C$2:$CA$2,Model!$A87),'Tablica IO'!BK321*1)</f>
        <v>7.5848293508166368E-4</v>
      </c>
      <c r="BL87" s="222" cm="1">
        <f t="array" aca="1" ref="BL87" ca="1">'Tablica IO'!BL243*INDEX(Model!$C$93:$CA$93,Model!$A87) + IF(wplyw_cen_import_wlaczony,'Tablica IO'!BL321*INDEX(Model!$C$2:$CA$2,Model!$A87),'Tablica IO'!BL321*1)</f>
        <v>3.7902206587990447E-4</v>
      </c>
      <c r="BM87" s="222" cm="1">
        <f t="array" aca="1" ref="BM87" ca="1">'Tablica IO'!BM243*INDEX(Model!$C$93:$CA$93,Model!$A87) + IF(wplyw_cen_import_wlaczony,'Tablica IO'!BM321*INDEX(Model!$C$2:$CA$2,Model!$A87),'Tablica IO'!BM321*1)</f>
        <v>1.0151061510907905E-3</v>
      </c>
      <c r="BN87" s="222" cm="1">
        <f t="array" aca="1" ref="BN87" ca="1">'Tablica IO'!BN243*INDEX(Model!$C$93:$CA$93,Model!$A87) + IF(wplyw_cen_import_wlaczony,'Tablica IO'!BN321*INDEX(Model!$C$2:$CA$2,Model!$A87),'Tablica IO'!BN321*1)</f>
        <v>8.4277981232062774E-4</v>
      </c>
      <c r="BO87" s="222" cm="1">
        <f t="array" aca="1" ref="BO87" ca="1">'Tablica IO'!BO243*INDEX(Model!$C$93:$CA$93,Model!$A87) + IF(wplyw_cen_import_wlaczony,'Tablica IO'!BO321*INDEX(Model!$C$2:$CA$2,Model!$A87),'Tablica IO'!BO321*1)</f>
        <v>2.0674873371235358E-4</v>
      </c>
      <c r="BP87" s="222" cm="1">
        <f t="array" aca="1" ref="BP87" ca="1">'Tablica IO'!BP243*INDEX(Model!$C$93:$CA$93,Model!$A87) + IF(wplyw_cen_import_wlaczony,'Tablica IO'!BP321*INDEX(Model!$C$2:$CA$2,Model!$A87),'Tablica IO'!BP321*1)</f>
        <v>1.9050545458094878E-4</v>
      </c>
      <c r="BQ87" s="222" cm="1">
        <f t="array" aca="1" ref="BQ87" ca="1">'Tablica IO'!BQ243*INDEX(Model!$C$93:$CA$93,Model!$A87) + IF(wplyw_cen_import_wlaczony,'Tablica IO'!BQ321*INDEX(Model!$C$2:$CA$2,Model!$A87),'Tablica IO'!BQ321*1)</f>
        <v>3.932798820077294E-4</v>
      </c>
      <c r="BR87" s="222" cm="1">
        <f t="array" aca="1" ref="BR87" ca="1">'Tablica IO'!BR243*INDEX(Model!$C$93:$CA$93,Model!$A87) + IF(wplyw_cen_import_wlaczony,'Tablica IO'!BR321*INDEX(Model!$C$2:$CA$2,Model!$A87),'Tablica IO'!BR321*1)</f>
        <v>4.7194103974331625E-4</v>
      </c>
      <c r="BS87" s="222" cm="1">
        <f t="array" aca="1" ref="BS87" ca="1">'Tablica IO'!BS243*INDEX(Model!$C$93:$CA$93,Model!$A87) + IF(wplyw_cen_import_wlaczony,'Tablica IO'!BS321*INDEX(Model!$C$2:$CA$2,Model!$A87),'Tablica IO'!BS321*1)</f>
        <v>3.348932030448785E-4</v>
      </c>
      <c r="BT87" s="222" cm="1">
        <f t="array" aca="1" ref="BT87" ca="1">'Tablica IO'!BT243*INDEX(Model!$C$93:$CA$93,Model!$A87) + IF(wplyw_cen_import_wlaczony,'Tablica IO'!BT321*INDEX(Model!$C$2:$CA$2,Model!$A87),'Tablica IO'!BT321*1)</f>
        <v>2.928272005713068E-3</v>
      </c>
      <c r="BU87" s="222" cm="1">
        <f t="array" aca="1" ref="BU87" ca="1">'Tablica IO'!BU243*INDEX(Model!$C$93:$CA$93,Model!$A87) + IF(wplyw_cen_import_wlaczony,'Tablica IO'!BU321*INDEX(Model!$C$2:$CA$2,Model!$A87),'Tablica IO'!BU321*1)</f>
        <v>3.5191590017218059E-3</v>
      </c>
      <c r="BV87" s="222" cm="1">
        <f t="array" aca="1" ref="BV87" ca="1">'Tablica IO'!BV243*INDEX(Model!$C$93:$CA$93,Model!$A87) + IF(wplyw_cen_import_wlaczony,'Tablica IO'!BV321*INDEX(Model!$C$2:$CA$2,Model!$A87),'Tablica IO'!BV321*1)</f>
        <v>9.472801672820616E-5</v>
      </c>
      <c r="BW87" s="222" cm="1">
        <f t="array" aca="1" ref="BW87" ca="1">'Tablica IO'!BW243*INDEX(Model!$C$93:$CA$93,Model!$A87) + IF(wplyw_cen_import_wlaczony,'Tablica IO'!BW321*INDEX(Model!$C$2:$CA$2,Model!$A87),'Tablica IO'!BW321*1)</f>
        <v>9.7597197179311642E-4</v>
      </c>
      <c r="BX87" s="222" cm="1">
        <f t="array" aca="1" ref="BX87" ca="1">'Tablica IO'!BX243*INDEX(Model!$C$93:$CA$93,Model!$A87) + IF(wplyw_cen_import_wlaczony,'Tablica IO'!BX321*INDEX(Model!$C$2:$CA$2,Model!$A87),'Tablica IO'!BX321*1)</f>
        <v>2.1434387150164021E-3</v>
      </c>
      <c r="BY87" s="222" cm="1">
        <f t="array" aca="1" ref="BY87" ca="1">'Tablica IO'!BY243*INDEX(Model!$C$93:$CA$93,Model!$A87) + IF(wplyw_cen_import_wlaczony,'Tablica IO'!BY321*INDEX(Model!$C$2:$CA$2,Model!$A87),'Tablica IO'!BY321*1)</f>
        <v>3.6739044484261837E-2</v>
      </c>
      <c r="BZ87" s="222" cm="1">
        <f t="array" aca="1" ref="BZ87" ca="1">'Tablica IO'!BZ243*INDEX(Model!$C$93:$CA$93,Model!$A87) + IF(wplyw_cen_import_wlaczony,'Tablica IO'!BZ321*INDEX(Model!$C$2:$CA$2,Model!$A87),'Tablica IO'!BZ321*1)</f>
        <v>3.7261470738013717E-3</v>
      </c>
      <c r="CA87" s="222" cm="1">
        <f t="array" aca="1" ref="CA87" ca="1">'Tablica IO'!CA243*INDEX(Model!$C$93:$CA$93,Model!$A87) + IF(wplyw_cen_import_wlaczony,'Tablica IO'!CA321*INDEX(Model!$C$2:$CA$2,Model!$A87),'Tablica IO'!CA321*1)</f>
        <v>0</v>
      </c>
      <c r="CB87" s="247">
        <f ca="1">'Tablica IO'!CD243*INDEX(Model!$C$93:$CA$93,Model!$A87)+'Tablica IO'!CD321*INDEX(Model!$C$2:$CA$2,Model!$A87)</f>
        <v>6.9812024080952604E-3</v>
      </c>
      <c r="CC87" s="188">
        <f ca="1">'Tablica IO'!CE243*INDEX(Model!$C$93:$CA$93,Model!$A87)+'Tablica IO'!CE321*INDEX(Model!$C$2:$CA$2,Model!$A87)</f>
        <v>0</v>
      </c>
      <c r="CD87" s="188">
        <f ca="1">'Tablica IO'!CF243*INDEX(Model!$C$93:$CA$93,Model!$A87)+'Tablica IO'!CF321*INDEX(Model!$C$2:$CA$2,Model!$A87)</f>
        <v>-5.46459436582446E-5</v>
      </c>
      <c r="CE87" s="189">
        <f ca="1">'Tablica IO'!CG243*INDEX(Model!$C$93:$CA$93,Model!$A87)+'Tablica IO'!CG321*INDEX(Model!$C$2:$CA$2,Model!$A87)</f>
        <v>2.5240361313700146E-4</v>
      </c>
    </row>
    <row r="88" spans="1:83" x14ac:dyDescent="0.25">
      <c r="A88" s="164">
        <v>76</v>
      </c>
      <c r="B88" s="172" t="s">
        <v>75</v>
      </c>
      <c r="C88" s="221" cm="1">
        <f t="array" aca="1" ref="C88" ca="1">'Tablica IO'!C244*INDEX(Model!$C$93:$CA$93,Model!$A88) + IF(wplyw_cen_import_wlaczony,'Tablica IO'!C322*INDEX(Model!$C$2:$CA$2,Model!$A88),'Tablica IO'!C322*1)</f>
        <v>1.0929719682422424E-4</v>
      </c>
      <c r="D88" s="222" cm="1">
        <f t="array" aca="1" ref="D88" ca="1">'Tablica IO'!D244*INDEX(Model!$C$93:$CA$93,Model!$A88) + IF(wplyw_cen_import_wlaczony,'Tablica IO'!D322*INDEX(Model!$C$2:$CA$2,Model!$A88),'Tablica IO'!D322*1)</f>
        <v>5.9903880447136613E-4</v>
      </c>
      <c r="E88" s="222" cm="1">
        <f t="array" aca="1" ref="E88" ca="1">'Tablica IO'!E244*INDEX(Model!$C$93:$CA$93,Model!$A88) + IF(wplyw_cen_import_wlaczony,'Tablica IO'!E322*INDEX(Model!$C$2:$CA$2,Model!$A88),'Tablica IO'!E322*1)</f>
        <v>5.9648620599982475E-4</v>
      </c>
      <c r="F88" s="222" cm="1">
        <f t="array" aca="1" ref="F88" ca="1">'Tablica IO'!F244*INDEX(Model!$C$93:$CA$93,Model!$A88) + IF(wplyw_cen_import_wlaczony,'Tablica IO'!F322*INDEX(Model!$C$2:$CA$2,Model!$A88),'Tablica IO'!F322*1)</f>
        <v>3.338944995384101E-3</v>
      </c>
      <c r="G88" s="222" cm="1">
        <f t="array" aca="1" ref="G88" ca="1">'Tablica IO'!G244*INDEX(Model!$C$93:$CA$93,Model!$A88) + IF(wplyw_cen_import_wlaczony,'Tablica IO'!G322*INDEX(Model!$C$2:$CA$2,Model!$A88),'Tablica IO'!G322*1)</f>
        <v>1.3893449446690316E-3</v>
      </c>
      <c r="H88" s="222" cm="1">
        <f t="array" aca="1" ref="H88" ca="1">'Tablica IO'!H244*INDEX(Model!$C$93:$CA$93,Model!$A88) + IF(wplyw_cen_import_wlaczony,'Tablica IO'!H322*INDEX(Model!$C$2:$CA$2,Model!$A88),'Tablica IO'!H322*1)</f>
        <v>1.0215882224757908E-3</v>
      </c>
      <c r="I88" s="222" cm="1">
        <f t="array" aca="1" ref="I88" ca="1">'Tablica IO'!I244*INDEX(Model!$C$93:$CA$93,Model!$A88) + IF(wplyw_cen_import_wlaczony,'Tablica IO'!I322*INDEX(Model!$C$2:$CA$2,Model!$A88),'Tablica IO'!I322*1)</f>
        <v>1.1232724583157148E-3</v>
      </c>
      <c r="J88" s="222" cm="1">
        <f t="array" aca="1" ref="J88" ca="1">'Tablica IO'!J244*INDEX(Model!$C$93:$CA$93,Model!$A88) + IF(wplyw_cen_import_wlaczony,'Tablica IO'!J322*INDEX(Model!$C$2:$CA$2,Model!$A88),'Tablica IO'!J322*1)</f>
        <v>2.0423160384684703E-3</v>
      </c>
      <c r="K88" s="222" cm="1">
        <f t="array" aca="1" ref="K88" ca="1">'Tablica IO'!K244*INDEX(Model!$C$93:$CA$93,Model!$A88) + IF(wplyw_cen_import_wlaczony,'Tablica IO'!K322*INDEX(Model!$C$2:$CA$2,Model!$A88),'Tablica IO'!K322*1)</f>
        <v>2.0341960979354521E-3</v>
      </c>
      <c r="L88" s="222" cm="1">
        <f t="array" aca="1" ref="L88" ca="1">'Tablica IO'!L244*INDEX(Model!$C$93:$CA$93,Model!$A88) + IF(wplyw_cen_import_wlaczony,'Tablica IO'!L322*INDEX(Model!$C$2:$CA$2,Model!$A88),'Tablica IO'!L322*1)</f>
        <v>1.6800995717654638E-3</v>
      </c>
      <c r="M88" s="222" cm="1">
        <f t="array" aca="1" ref="M88" ca="1">'Tablica IO'!M244*INDEX(Model!$C$93:$CA$93,Model!$A88) + IF(wplyw_cen_import_wlaczony,'Tablica IO'!M322*INDEX(Model!$C$2:$CA$2,Model!$A88),'Tablica IO'!M322*1)</f>
        <v>1.2524837227202155E-3</v>
      </c>
      <c r="N88" s="222" cm="1">
        <f t="array" aca="1" ref="N88" ca="1">'Tablica IO'!N244*INDEX(Model!$C$93:$CA$93,Model!$A88) + IF(wplyw_cen_import_wlaczony,'Tablica IO'!N322*INDEX(Model!$C$2:$CA$2,Model!$A88),'Tablica IO'!N322*1)</f>
        <v>9.6234177344917604E-4</v>
      </c>
      <c r="O88" s="222" cm="1">
        <f t="array" aca="1" ref="O88" ca="1">'Tablica IO'!O244*INDEX(Model!$C$93:$CA$93,Model!$A88) + IF(wplyw_cen_import_wlaczony,'Tablica IO'!O322*INDEX(Model!$C$2:$CA$2,Model!$A88),'Tablica IO'!O322*1)</f>
        <v>9.0601507598318852E-4</v>
      </c>
      <c r="P88" s="222" cm="1">
        <f t="array" aca="1" ref="P88" ca="1">'Tablica IO'!P244*INDEX(Model!$C$93:$CA$93,Model!$A88) + IF(wplyw_cen_import_wlaczony,'Tablica IO'!P322*INDEX(Model!$C$2:$CA$2,Model!$A88),'Tablica IO'!P322*1)</f>
        <v>4.181784324009185E-3</v>
      </c>
      <c r="Q88" s="222" cm="1">
        <f t="array" aca="1" ref="Q88" ca="1">'Tablica IO'!Q244*INDEX(Model!$C$93:$CA$93,Model!$A88) + IF(wplyw_cen_import_wlaczony,'Tablica IO'!Q322*INDEX(Model!$C$2:$CA$2,Model!$A88),'Tablica IO'!Q322*1)</f>
        <v>8.2217124191042725E-4</v>
      </c>
      <c r="R88" s="222" cm="1">
        <f t="array" aca="1" ref="R88" ca="1">'Tablica IO'!R244*INDEX(Model!$C$93:$CA$93,Model!$A88) + IF(wplyw_cen_import_wlaczony,'Tablica IO'!R322*INDEX(Model!$C$2:$CA$2,Model!$A88),'Tablica IO'!R322*1)</f>
        <v>6.2455184766376101E-4</v>
      </c>
      <c r="S88" s="222" cm="1">
        <f t="array" aca="1" ref="S88" ca="1">'Tablica IO'!S244*INDEX(Model!$C$93:$CA$93,Model!$A88) + IF(wplyw_cen_import_wlaczony,'Tablica IO'!S322*INDEX(Model!$C$2:$CA$2,Model!$A88),'Tablica IO'!S322*1)</f>
        <v>8.0427261580214916E-4</v>
      </c>
      <c r="T88" s="222" cm="1">
        <f t="array" aca="1" ref="T88" ca="1">'Tablica IO'!T244*INDEX(Model!$C$93:$CA$93,Model!$A88) + IF(wplyw_cen_import_wlaczony,'Tablica IO'!T322*INDEX(Model!$C$2:$CA$2,Model!$A88),'Tablica IO'!T322*1)</f>
        <v>7.4563142172329622E-4</v>
      </c>
      <c r="U88" s="222" cm="1">
        <f t="array" aca="1" ref="U88" ca="1">'Tablica IO'!U244*INDEX(Model!$C$93:$CA$93,Model!$A88) + IF(wplyw_cen_import_wlaczony,'Tablica IO'!U322*INDEX(Model!$C$2:$CA$2,Model!$A88),'Tablica IO'!U322*1)</f>
        <v>1.473262997845266E-3</v>
      </c>
      <c r="V88" s="222" cm="1">
        <f t="array" aca="1" ref="V88" ca="1">'Tablica IO'!V244*INDEX(Model!$C$93:$CA$93,Model!$A88) + IF(wplyw_cen_import_wlaczony,'Tablica IO'!V322*INDEX(Model!$C$2:$CA$2,Model!$A88),'Tablica IO'!V322*1)</f>
        <v>9.7021634818845656E-4</v>
      </c>
      <c r="W88" s="222" cm="1">
        <f t="array" aca="1" ref="W88" ca="1">'Tablica IO'!W244*INDEX(Model!$C$93:$CA$93,Model!$A88) + IF(wplyw_cen_import_wlaczony,'Tablica IO'!W322*INDEX(Model!$C$2:$CA$2,Model!$A88),'Tablica IO'!W322*1)</f>
        <v>1.7292707048914343E-3</v>
      </c>
      <c r="X88" s="222" cm="1">
        <f t="array" aca="1" ref="X88" ca="1">'Tablica IO'!X244*INDEX(Model!$C$93:$CA$93,Model!$A88) + IF(wplyw_cen_import_wlaczony,'Tablica IO'!X322*INDEX(Model!$C$2:$CA$2,Model!$A88),'Tablica IO'!X322*1)</f>
        <v>1.131212908274386E-3</v>
      </c>
      <c r="Y88" s="222" cm="1">
        <f t="array" aca="1" ref="Y88" ca="1">'Tablica IO'!Y244*INDEX(Model!$C$93:$CA$93,Model!$A88) + IF(wplyw_cen_import_wlaczony,'Tablica IO'!Y322*INDEX(Model!$C$2:$CA$2,Model!$A88),'Tablica IO'!Y322*1)</f>
        <v>8.8939426753998469E-4</v>
      </c>
      <c r="Z88" s="222" cm="1">
        <f t="array" aca="1" ref="Z88" ca="1">'Tablica IO'!Z244*INDEX(Model!$C$93:$CA$93,Model!$A88) + IF(wplyw_cen_import_wlaczony,'Tablica IO'!Z322*INDEX(Model!$C$2:$CA$2,Model!$A88),'Tablica IO'!Z322*1)</f>
        <v>1.061891798621119E-3</v>
      </c>
      <c r="AA88" s="222" cm="1">
        <f t="array" aca="1" ref="AA88" ca="1">'Tablica IO'!AA244*INDEX(Model!$C$93:$CA$93,Model!$A88) + IF(wplyw_cen_import_wlaczony,'Tablica IO'!AA322*INDEX(Model!$C$2:$CA$2,Model!$A88),'Tablica IO'!AA322*1)</f>
        <v>4.6338611960629989E-4</v>
      </c>
      <c r="AB88" s="222" cm="1">
        <f t="array" aca="1" ref="AB88" ca="1">'Tablica IO'!AB244*INDEX(Model!$C$93:$CA$93,Model!$A88) + IF(wplyw_cen_import_wlaczony,'Tablica IO'!AB322*INDEX(Model!$C$2:$CA$2,Model!$A88),'Tablica IO'!AB322*1)</f>
        <v>1.0651155858109897E-3</v>
      </c>
      <c r="AC88" s="222" cm="1">
        <f t="array" aca="1" ref="AC88" ca="1">'Tablica IO'!AC244*INDEX(Model!$C$93:$CA$93,Model!$A88) + IF(wplyw_cen_import_wlaczony,'Tablica IO'!AC322*INDEX(Model!$C$2:$CA$2,Model!$A88),'Tablica IO'!AC322*1)</f>
        <v>9.0504472986628864E-4</v>
      </c>
      <c r="AD88" s="222" cm="1">
        <f t="array" aca="1" ref="AD88" ca="1">'Tablica IO'!AD244*INDEX(Model!$C$93:$CA$93,Model!$A88) + IF(wplyw_cen_import_wlaczony,'Tablica IO'!AD322*INDEX(Model!$C$2:$CA$2,Model!$A88),'Tablica IO'!AD322*1)</f>
        <v>8.7133986200630688E-4</v>
      </c>
      <c r="AE88" s="222" cm="1">
        <f t="array" aca="1" ref="AE88" ca="1">'Tablica IO'!AE244*INDEX(Model!$C$93:$CA$93,Model!$A88) + IF(wplyw_cen_import_wlaczony,'Tablica IO'!AE322*INDEX(Model!$C$2:$CA$2,Model!$A88),'Tablica IO'!AE322*1)</f>
        <v>1.0579036339304715E-3</v>
      </c>
      <c r="AF88" s="222" cm="1">
        <f t="array" aca="1" ref="AF88" ca="1">'Tablica IO'!AF244*INDEX(Model!$C$93:$CA$93,Model!$A88) + IF(wplyw_cen_import_wlaczony,'Tablica IO'!AF322*INDEX(Model!$C$2:$CA$2,Model!$A88),'Tablica IO'!AF322*1)</f>
        <v>2.0019690360478887E-4</v>
      </c>
      <c r="AG88" s="222" cm="1">
        <f t="array" aca="1" ref="AG88" ca="1">'Tablica IO'!AG244*INDEX(Model!$C$93:$CA$93,Model!$A88) + IF(wplyw_cen_import_wlaczony,'Tablica IO'!AG322*INDEX(Model!$C$2:$CA$2,Model!$A88),'Tablica IO'!AG322*1)</f>
        <v>9.1867251176835029E-4</v>
      </c>
      <c r="AH88" s="222" cm="1">
        <f t="array" aca="1" ref="AH88" ca="1">'Tablica IO'!AH244*INDEX(Model!$C$93:$CA$93,Model!$A88) + IF(wplyw_cen_import_wlaczony,'Tablica IO'!AH322*INDEX(Model!$C$2:$CA$2,Model!$A88),'Tablica IO'!AH322*1)</f>
        <v>2.5013753830815705E-3</v>
      </c>
      <c r="AI88" s="222" cm="1">
        <f t="array" aca="1" ref="AI88" ca="1">'Tablica IO'!AI244*INDEX(Model!$C$93:$CA$93,Model!$A88) + IF(wplyw_cen_import_wlaczony,'Tablica IO'!AI322*INDEX(Model!$C$2:$CA$2,Model!$A88),'Tablica IO'!AI322*1)</f>
        <v>1.6367943552950985E-3</v>
      </c>
      <c r="AJ88" s="222" cm="1">
        <f t="array" aca="1" ref="AJ88" ca="1">'Tablica IO'!AJ244*INDEX(Model!$C$93:$CA$93,Model!$A88) + IF(wplyw_cen_import_wlaczony,'Tablica IO'!AJ322*INDEX(Model!$C$2:$CA$2,Model!$A88),'Tablica IO'!AJ322*1)</f>
        <v>4.4833505131917033E-4</v>
      </c>
      <c r="AK88" s="222" cm="1">
        <f t="array" aca="1" ref="AK88" ca="1">'Tablica IO'!AK244*INDEX(Model!$C$93:$CA$93,Model!$A88) + IF(wplyw_cen_import_wlaczony,'Tablica IO'!AK322*INDEX(Model!$C$2:$CA$2,Model!$A88),'Tablica IO'!AK322*1)</f>
        <v>6.777864212717358E-4</v>
      </c>
      <c r="AL88" s="222" cm="1">
        <f t="array" aca="1" ref="AL88" ca="1">'Tablica IO'!AL244*INDEX(Model!$C$93:$CA$93,Model!$A88) + IF(wplyw_cen_import_wlaczony,'Tablica IO'!AL322*INDEX(Model!$C$2:$CA$2,Model!$A88),'Tablica IO'!AL322*1)</f>
        <v>1.1832070745499362E-3</v>
      </c>
      <c r="AM88" s="222" cm="1">
        <f t="array" aca="1" ref="AM88" ca="1">'Tablica IO'!AM244*INDEX(Model!$C$93:$CA$93,Model!$A88) + IF(wplyw_cen_import_wlaczony,'Tablica IO'!AM322*INDEX(Model!$C$2:$CA$2,Model!$A88),'Tablica IO'!AM322*1)</f>
        <v>2.7204997755028639E-4</v>
      </c>
      <c r="AN88" s="222" cm="1">
        <f t="array" aca="1" ref="AN88" ca="1">'Tablica IO'!AN244*INDEX(Model!$C$93:$CA$93,Model!$A88) + IF(wplyw_cen_import_wlaczony,'Tablica IO'!AN322*INDEX(Model!$C$2:$CA$2,Model!$A88),'Tablica IO'!AN322*1)</f>
        <v>4.0657255533419102E-4</v>
      </c>
      <c r="AO88" s="222" cm="1">
        <f t="array" aca="1" ref="AO88" ca="1">'Tablica IO'!AO244*INDEX(Model!$C$93:$CA$93,Model!$A88) + IF(wplyw_cen_import_wlaczony,'Tablica IO'!AO322*INDEX(Model!$C$2:$CA$2,Model!$A88),'Tablica IO'!AO322*1)</f>
        <v>1.2797237799441207E-4</v>
      </c>
      <c r="AP88" s="222" cm="1">
        <f t="array" aca="1" ref="AP88" ca="1">'Tablica IO'!AP244*INDEX(Model!$C$93:$CA$93,Model!$A88) + IF(wplyw_cen_import_wlaczony,'Tablica IO'!AP322*INDEX(Model!$C$2:$CA$2,Model!$A88),'Tablica IO'!AP322*1)</f>
        <v>4.9946236053591893E-4</v>
      </c>
      <c r="AQ88" s="222" cm="1">
        <f t="array" aca="1" ref="AQ88" ca="1">'Tablica IO'!AQ244*INDEX(Model!$C$93:$CA$93,Model!$A88) + IF(wplyw_cen_import_wlaczony,'Tablica IO'!AQ322*INDEX(Model!$C$2:$CA$2,Model!$A88),'Tablica IO'!AQ322*1)</f>
        <v>7.4054585266251968E-3</v>
      </c>
      <c r="AR88" s="222" cm="1">
        <f t="array" aca="1" ref="AR88" ca="1">'Tablica IO'!AR244*INDEX(Model!$C$93:$CA$93,Model!$A88) + IF(wplyw_cen_import_wlaczony,'Tablica IO'!AR322*INDEX(Model!$C$2:$CA$2,Model!$A88),'Tablica IO'!AR322*1)</f>
        <v>5.6106999607827383E-3</v>
      </c>
      <c r="AS88" s="222" cm="1">
        <f t="array" aca="1" ref="AS88" ca="1">'Tablica IO'!AS244*INDEX(Model!$C$93:$CA$93,Model!$A88) + IF(wplyw_cen_import_wlaczony,'Tablica IO'!AS322*INDEX(Model!$C$2:$CA$2,Model!$A88),'Tablica IO'!AS322*1)</f>
        <v>1.5347934577955669E-3</v>
      </c>
      <c r="AT88" s="222" cm="1">
        <f t="array" aca="1" ref="AT88" ca="1">'Tablica IO'!AT244*INDEX(Model!$C$93:$CA$93,Model!$A88) + IF(wplyw_cen_import_wlaczony,'Tablica IO'!AT322*INDEX(Model!$C$2:$CA$2,Model!$A88),'Tablica IO'!AT322*1)</f>
        <v>4.0150883751447286E-3</v>
      </c>
      <c r="AU88" s="222" cm="1">
        <f t="array" aca="1" ref="AU88" ca="1">'Tablica IO'!AU244*INDEX(Model!$C$93:$CA$93,Model!$A88) + IF(wplyw_cen_import_wlaczony,'Tablica IO'!AU322*INDEX(Model!$C$2:$CA$2,Model!$A88),'Tablica IO'!AU322*1)</f>
        <v>4.6934027648472881E-3</v>
      </c>
      <c r="AV88" s="222" cm="1">
        <f t="array" aca="1" ref="AV88" ca="1">'Tablica IO'!AV244*INDEX(Model!$C$93:$CA$93,Model!$A88) + IF(wplyw_cen_import_wlaczony,'Tablica IO'!AV322*INDEX(Model!$C$2:$CA$2,Model!$A88),'Tablica IO'!AV322*1)</f>
        <v>8.8367894066595999E-4</v>
      </c>
      <c r="AW88" s="222" cm="1">
        <f t="array" aca="1" ref="AW88" ca="1">'Tablica IO'!AW244*INDEX(Model!$C$93:$CA$93,Model!$A88) + IF(wplyw_cen_import_wlaczony,'Tablica IO'!AW322*INDEX(Model!$C$2:$CA$2,Model!$A88),'Tablica IO'!AW322*1)</f>
        <v>8.648428859275788E-4</v>
      </c>
      <c r="AX88" s="222" cm="1">
        <f t="array" aca="1" ref="AX88" ca="1">'Tablica IO'!AX244*INDEX(Model!$C$93:$CA$93,Model!$A88) + IF(wplyw_cen_import_wlaczony,'Tablica IO'!AX322*INDEX(Model!$C$2:$CA$2,Model!$A88),'Tablica IO'!AX322*1)</f>
        <v>1.1630806246961303E-3</v>
      </c>
      <c r="AY88" s="222" cm="1">
        <f t="array" aca="1" ref="AY88" ca="1">'Tablica IO'!AY244*INDEX(Model!$C$93:$CA$93,Model!$A88) + IF(wplyw_cen_import_wlaczony,'Tablica IO'!AY322*INDEX(Model!$C$2:$CA$2,Model!$A88),'Tablica IO'!AY322*1)</f>
        <v>2.000975336734646E-4</v>
      </c>
      <c r="AZ88" s="222" cm="1">
        <f t="array" aca="1" ref="AZ88" ca="1">'Tablica IO'!AZ244*INDEX(Model!$C$93:$CA$93,Model!$A88) + IF(wplyw_cen_import_wlaczony,'Tablica IO'!AZ322*INDEX(Model!$C$2:$CA$2,Model!$A88),'Tablica IO'!AZ322*1)</f>
        <v>0</v>
      </c>
      <c r="BA88" s="222" cm="1">
        <f t="array" aca="1" ref="BA88" ca="1">'Tablica IO'!BA244*INDEX(Model!$C$93:$CA$93,Model!$A88) + IF(wplyw_cen_import_wlaczony,'Tablica IO'!BA322*INDEX(Model!$C$2:$CA$2,Model!$A88),'Tablica IO'!BA322*1)</f>
        <v>2.4369023143596025E-3</v>
      </c>
      <c r="BB88" s="222" cm="1">
        <f t="array" aca="1" ref="BB88" ca="1">'Tablica IO'!BB244*INDEX(Model!$C$93:$CA$93,Model!$A88) + IF(wplyw_cen_import_wlaczony,'Tablica IO'!BB322*INDEX(Model!$C$2:$CA$2,Model!$A88),'Tablica IO'!BB322*1)</f>
        <v>5.2948580656154455E-4</v>
      </c>
      <c r="BC88" s="222" cm="1">
        <f t="array" aca="1" ref="BC88" ca="1">'Tablica IO'!BC244*INDEX(Model!$C$93:$CA$93,Model!$A88) + IF(wplyw_cen_import_wlaczony,'Tablica IO'!BC322*INDEX(Model!$C$2:$CA$2,Model!$A88),'Tablica IO'!BC322*1)</f>
        <v>6.5475722995856668E-4</v>
      </c>
      <c r="BD88" s="222" cm="1">
        <f t="array" aca="1" ref="BD88" ca="1">'Tablica IO'!BD244*INDEX(Model!$C$93:$CA$93,Model!$A88) + IF(wplyw_cen_import_wlaczony,'Tablica IO'!BD322*INDEX(Model!$C$2:$CA$2,Model!$A88),'Tablica IO'!BD322*1)</f>
        <v>1.0578528172242897E-3</v>
      </c>
      <c r="BE88" s="222" cm="1">
        <f t="array" aca="1" ref="BE88" ca="1">'Tablica IO'!BE244*INDEX(Model!$C$93:$CA$93,Model!$A88) + IF(wplyw_cen_import_wlaczony,'Tablica IO'!BE322*INDEX(Model!$C$2:$CA$2,Model!$A88),'Tablica IO'!BE322*1)</f>
        <v>8.6048595060004359E-4</v>
      </c>
      <c r="BF88" s="222" cm="1">
        <f t="array" aca="1" ref="BF88" ca="1">'Tablica IO'!BF244*INDEX(Model!$C$93:$CA$93,Model!$A88) + IF(wplyw_cen_import_wlaczony,'Tablica IO'!BF322*INDEX(Model!$C$2:$CA$2,Model!$A88),'Tablica IO'!BF322*1)</f>
        <v>8.4635482663584691E-4</v>
      </c>
      <c r="BG88" s="222" cm="1">
        <f t="array" aca="1" ref="BG88" ca="1">'Tablica IO'!BG244*INDEX(Model!$C$93:$CA$93,Model!$A88) + IF(wplyw_cen_import_wlaczony,'Tablica IO'!BG322*INDEX(Model!$C$2:$CA$2,Model!$A88),'Tablica IO'!BG322*1)</f>
        <v>5.2717450656052328E-4</v>
      </c>
      <c r="BH88" s="222" cm="1">
        <f t="array" aca="1" ref="BH88" ca="1">'Tablica IO'!BH244*INDEX(Model!$C$93:$CA$93,Model!$A88) + IF(wplyw_cen_import_wlaczony,'Tablica IO'!BH322*INDEX(Model!$C$2:$CA$2,Model!$A88),'Tablica IO'!BH322*1)</f>
        <v>5.7529594040413496E-4</v>
      </c>
      <c r="BI88" s="222" cm="1">
        <f t="array" aca="1" ref="BI88" ca="1">'Tablica IO'!BI244*INDEX(Model!$C$93:$CA$93,Model!$A88) + IF(wplyw_cen_import_wlaczony,'Tablica IO'!BI322*INDEX(Model!$C$2:$CA$2,Model!$A88),'Tablica IO'!BI322*1)</f>
        <v>6.2727419474022453E-3</v>
      </c>
      <c r="BJ88" s="222" cm="1">
        <f t="array" aca="1" ref="BJ88" ca="1">'Tablica IO'!BJ244*INDEX(Model!$C$93:$CA$93,Model!$A88) + IF(wplyw_cen_import_wlaczony,'Tablica IO'!BJ322*INDEX(Model!$C$2:$CA$2,Model!$A88),'Tablica IO'!BJ322*1)</f>
        <v>6.7667675507936012E-4</v>
      </c>
      <c r="BK88" s="222" cm="1">
        <f t="array" aca="1" ref="BK88" ca="1">'Tablica IO'!BK244*INDEX(Model!$C$93:$CA$93,Model!$A88) + IF(wplyw_cen_import_wlaczony,'Tablica IO'!BK322*INDEX(Model!$C$2:$CA$2,Model!$A88),'Tablica IO'!BK322*1)</f>
        <v>4.0689864346166816E-4</v>
      </c>
      <c r="BL88" s="222" cm="1">
        <f t="array" aca="1" ref="BL88" ca="1">'Tablica IO'!BL244*INDEX(Model!$C$93:$CA$93,Model!$A88) + IF(wplyw_cen_import_wlaczony,'Tablica IO'!BL322*INDEX(Model!$C$2:$CA$2,Model!$A88),'Tablica IO'!BL322*1)</f>
        <v>8.4653919453397811E-4</v>
      </c>
      <c r="BM88" s="222" cm="1">
        <f t="array" aca="1" ref="BM88" ca="1">'Tablica IO'!BM244*INDEX(Model!$C$93:$CA$93,Model!$A88) + IF(wplyw_cen_import_wlaczony,'Tablica IO'!BM322*INDEX(Model!$C$2:$CA$2,Model!$A88),'Tablica IO'!BM322*1)</f>
        <v>7.23069499853682E-4</v>
      </c>
      <c r="BN88" s="222" cm="1">
        <f t="array" aca="1" ref="BN88" ca="1">'Tablica IO'!BN244*INDEX(Model!$C$93:$CA$93,Model!$A88) + IF(wplyw_cen_import_wlaczony,'Tablica IO'!BN322*INDEX(Model!$C$2:$CA$2,Model!$A88),'Tablica IO'!BN322*1)</f>
        <v>1.0167166760541903E-3</v>
      </c>
      <c r="BO88" s="222" cm="1">
        <f t="array" aca="1" ref="BO88" ca="1">'Tablica IO'!BO244*INDEX(Model!$C$93:$CA$93,Model!$A88) + IF(wplyw_cen_import_wlaczony,'Tablica IO'!BO322*INDEX(Model!$C$2:$CA$2,Model!$A88),'Tablica IO'!BO322*1)</f>
        <v>6.5424366388803883E-4</v>
      </c>
      <c r="BP88" s="222" cm="1">
        <f t="array" aca="1" ref="BP88" ca="1">'Tablica IO'!BP244*INDEX(Model!$C$93:$CA$93,Model!$A88) + IF(wplyw_cen_import_wlaczony,'Tablica IO'!BP322*INDEX(Model!$C$2:$CA$2,Model!$A88),'Tablica IO'!BP322*1)</f>
        <v>1.2205211389650665E-4</v>
      </c>
      <c r="BQ88" s="222" cm="1">
        <f t="array" aca="1" ref="BQ88" ca="1">'Tablica IO'!BQ244*INDEX(Model!$C$93:$CA$93,Model!$A88) + IF(wplyw_cen_import_wlaczony,'Tablica IO'!BQ322*INDEX(Model!$C$2:$CA$2,Model!$A88),'Tablica IO'!BQ322*1)</f>
        <v>4.9423055328652067E-4</v>
      </c>
      <c r="BR88" s="222" cm="1">
        <f t="array" aca="1" ref="BR88" ca="1">'Tablica IO'!BR244*INDEX(Model!$C$93:$CA$93,Model!$A88) + IF(wplyw_cen_import_wlaczony,'Tablica IO'!BR322*INDEX(Model!$C$2:$CA$2,Model!$A88),'Tablica IO'!BR322*1)</f>
        <v>5.404693364291612E-3</v>
      </c>
      <c r="BS88" s="222" cm="1">
        <f t="array" aca="1" ref="BS88" ca="1">'Tablica IO'!BS244*INDEX(Model!$C$93:$CA$93,Model!$A88) + IF(wplyw_cen_import_wlaczony,'Tablica IO'!BS322*INDEX(Model!$C$2:$CA$2,Model!$A88),'Tablica IO'!BS322*1)</f>
        <v>1.2195934480151557E-3</v>
      </c>
      <c r="BT88" s="222" cm="1">
        <f t="array" aca="1" ref="BT88" ca="1">'Tablica IO'!BT244*INDEX(Model!$C$93:$CA$93,Model!$A88) + IF(wplyw_cen_import_wlaczony,'Tablica IO'!BT322*INDEX(Model!$C$2:$CA$2,Model!$A88),'Tablica IO'!BT322*1)</f>
        <v>4.6800006601230111E-3</v>
      </c>
      <c r="BU88" s="222" cm="1">
        <f t="array" aca="1" ref="BU88" ca="1">'Tablica IO'!BU244*INDEX(Model!$C$93:$CA$93,Model!$A88) + IF(wplyw_cen_import_wlaczony,'Tablica IO'!BU322*INDEX(Model!$C$2:$CA$2,Model!$A88),'Tablica IO'!BU322*1)</f>
        <v>1.2303296434765011E-3</v>
      </c>
      <c r="BV88" s="222" cm="1">
        <f t="array" aca="1" ref="BV88" ca="1">'Tablica IO'!BV244*INDEX(Model!$C$93:$CA$93,Model!$A88) + IF(wplyw_cen_import_wlaczony,'Tablica IO'!BV322*INDEX(Model!$C$2:$CA$2,Model!$A88),'Tablica IO'!BV322*1)</f>
        <v>1.6736412870780866E-4</v>
      </c>
      <c r="BW88" s="222" cm="1">
        <f t="array" aca="1" ref="BW88" ca="1">'Tablica IO'!BW244*INDEX(Model!$C$93:$CA$93,Model!$A88) + IF(wplyw_cen_import_wlaczony,'Tablica IO'!BW322*INDEX(Model!$C$2:$CA$2,Model!$A88),'Tablica IO'!BW322*1)</f>
        <v>1.7134376563774643E-3</v>
      </c>
      <c r="BX88" s="222" cm="1">
        <f t="array" aca="1" ref="BX88" ca="1">'Tablica IO'!BX244*INDEX(Model!$C$93:$CA$93,Model!$A88) + IF(wplyw_cen_import_wlaczony,'Tablica IO'!BX322*INDEX(Model!$C$2:$CA$2,Model!$A88),'Tablica IO'!BX322*1)</f>
        <v>3.703919561517618E-5</v>
      </c>
      <c r="BY88" s="222" cm="1">
        <f t="array" aca="1" ref="BY88" ca="1">'Tablica IO'!BY244*INDEX(Model!$C$93:$CA$93,Model!$A88) + IF(wplyw_cen_import_wlaczony,'Tablica IO'!BY322*INDEX(Model!$C$2:$CA$2,Model!$A88),'Tablica IO'!BY322*1)</f>
        <v>6.3544071026285897E-4</v>
      </c>
      <c r="BZ88" s="222" cm="1">
        <f t="array" aca="1" ref="BZ88" ca="1">'Tablica IO'!BZ244*INDEX(Model!$C$93:$CA$93,Model!$A88) + IF(wplyw_cen_import_wlaczony,'Tablica IO'!BZ322*INDEX(Model!$C$2:$CA$2,Model!$A88),'Tablica IO'!BZ322*1)</f>
        <v>9.322041887502179E-3</v>
      </c>
      <c r="CA88" s="222" cm="1">
        <f t="array" aca="1" ref="CA88" ca="1">'Tablica IO'!CA244*INDEX(Model!$C$93:$CA$93,Model!$A88) + IF(wplyw_cen_import_wlaczony,'Tablica IO'!CA322*INDEX(Model!$C$2:$CA$2,Model!$A88),'Tablica IO'!CA322*1)</f>
        <v>0</v>
      </c>
      <c r="CB88" s="247">
        <f ca="1">'Tablica IO'!CD244*INDEX(Model!$C$93:$CA$93,Model!$A88)+'Tablica IO'!CD322*INDEX(Model!$C$2:$CA$2,Model!$A88)</f>
        <v>1.6286697356171415E-2</v>
      </c>
      <c r="CC88" s="188">
        <f ca="1">'Tablica IO'!CE244*INDEX(Model!$C$93:$CA$93,Model!$A88)+'Tablica IO'!CE322*INDEX(Model!$C$2:$CA$2,Model!$A88)</f>
        <v>3.6961160662431707E-4</v>
      </c>
      <c r="CD88" s="188">
        <f ca="1">'Tablica IO'!CF244*INDEX(Model!$C$93:$CA$93,Model!$A88)+'Tablica IO'!CF322*INDEX(Model!$C$2:$CA$2,Model!$A88)</f>
        <v>1.418057654669892E-5</v>
      </c>
      <c r="CE88" s="189">
        <f ca="1">'Tablica IO'!CG244*INDEX(Model!$C$93:$CA$93,Model!$A88)+'Tablica IO'!CG322*INDEX(Model!$C$2:$CA$2,Model!$A88)</f>
        <v>1.2065549053967103E-8</v>
      </c>
    </row>
    <row r="89" spans="1:83" ht="14.4" thickBot="1" x14ac:dyDescent="0.3">
      <c r="A89" s="164">
        <v>77</v>
      </c>
      <c r="B89" s="173" t="s">
        <v>76</v>
      </c>
      <c r="C89" s="223" cm="1">
        <f t="array" aca="1" ref="C89" ca="1">'Tablica IO'!C245*INDEX(Model!$C$93:$CA$93,Model!$A89) + IF(wplyw_cen_import_wlaczony,'Tablica IO'!C323*INDEX(Model!$C$2:$CA$2,Model!$A89),'Tablica IO'!C323*1)</f>
        <v>0</v>
      </c>
      <c r="D89" s="224" cm="1">
        <f t="array" aca="1" ref="D89" ca="1">'Tablica IO'!D245*INDEX(Model!$C$93:$CA$93,Model!$A89) + IF(wplyw_cen_import_wlaczony,'Tablica IO'!D323*INDEX(Model!$C$2:$CA$2,Model!$A89),'Tablica IO'!D323*1)</f>
        <v>0</v>
      </c>
      <c r="E89" s="224" cm="1">
        <f t="array" aca="1" ref="E89" ca="1">'Tablica IO'!E245*INDEX(Model!$C$93:$CA$93,Model!$A89) + IF(wplyw_cen_import_wlaczony,'Tablica IO'!E323*INDEX(Model!$C$2:$CA$2,Model!$A89),'Tablica IO'!E323*1)</f>
        <v>0</v>
      </c>
      <c r="F89" s="224" cm="1">
        <f t="array" aca="1" ref="F89" ca="1">'Tablica IO'!F245*INDEX(Model!$C$93:$CA$93,Model!$A89) + IF(wplyw_cen_import_wlaczony,'Tablica IO'!F323*INDEX(Model!$C$2:$CA$2,Model!$A89),'Tablica IO'!F323*1)</f>
        <v>0</v>
      </c>
      <c r="G89" s="224" cm="1">
        <f t="array" aca="1" ref="G89" ca="1">'Tablica IO'!G245*INDEX(Model!$C$93:$CA$93,Model!$A89) + IF(wplyw_cen_import_wlaczony,'Tablica IO'!G323*INDEX(Model!$C$2:$CA$2,Model!$A89),'Tablica IO'!G323*1)</f>
        <v>0</v>
      </c>
      <c r="H89" s="224" cm="1">
        <f t="array" aca="1" ref="H89" ca="1">'Tablica IO'!H245*INDEX(Model!$C$93:$CA$93,Model!$A89) + IF(wplyw_cen_import_wlaczony,'Tablica IO'!H323*INDEX(Model!$C$2:$CA$2,Model!$A89),'Tablica IO'!H323*1)</f>
        <v>0</v>
      </c>
      <c r="I89" s="224" cm="1">
        <f t="array" aca="1" ref="I89" ca="1">'Tablica IO'!I245*INDEX(Model!$C$93:$CA$93,Model!$A89) + IF(wplyw_cen_import_wlaczony,'Tablica IO'!I323*INDEX(Model!$C$2:$CA$2,Model!$A89),'Tablica IO'!I323*1)</f>
        <v>0</v>
      </c>
      <c r="J89" s="224" cm="1">
        <f t="array" aca="1" ref="J89" ca="1">'Tablica IO'!J245*INDEX(Model!$C$93:$CA$93,Model!$A89) + IF(wplyw_cen_import_wlaczony,'Tablica IO'!J323*INDEX(Model!$C$2:$CA$2,Model!$A89),'Tablica IO'!J323*1)</f>
        <v>0</v>
      </c>
      <c r="K89" s="224" cm="1">
        <f t="array" aca="1" ref="K89" ca="1">'Tablica IO'!K245*INDEX(Model!$C$93:$CA$93,Model!$A89) + IF(wplyw_cen_import_wlaczony,'Tablica IO'!K323*INDEX(Model!$C$2:$CA$2,Model!$A89),'Tablica IO'!K323*1)</f>
        <v>0</v>
      </c>
      <c r="L89" s="224" cm="1">
        <f t="array" aca="1" ref="L89" ca="1">'Tablica IO'!L245*INDEX(Model!$C$93:$CA$93,Model!$A89) + IF(wplyw_cen_import_wlaczony,'Tablica IO'!L323*INDEX(Model!$C$2:$CA$2,Model!$A89),'Tablica IO'!L323*1)</f>
        <v>0</v>
      </c>
      <c r="M89" s="224" cm="1">
        <f t="array" aca="1" ref="M89" ca="1">'Tablica IO'!M245*INDEX(Model!$C$93:$CA$93,Model!$A89) + IF(wplyw_cen_import_wlaczony,'Tablica IO'!M323*INDEX(Model!$C$2:$CA$2,Model!$A89),'Tablica IO'!M323*1)</f>
        <v>0</v>
      </c>
      <c r="N89" s="224" cm="1">
        <f t="array" aca="1" ref="N89" ca="1">'Tablica IO'!N245*INDEX(Model!$C$93:$CA$93,Model!$A89) + IF(wplyw_cen_import_wlaczony,'Tablica IO'!N323*INDEX(Model!$C$2:$CA$2,Model!$A89),'Tablica IO'!N323*1)</f>
        <v>0</v>
      </c>
      <c r="O89" s="224" cm="1">
        <f t="array" aca="1" ref="O89" ca="1">'Tablica IO'!O245*INDEX(Model!$C$93:$CA$93,Model!$A89) + IF(wplyw_cen_import_wlaczony,'Tablica IO'!O323*INDEX(Model!$C$2:$CA$2,Model!$A89),'Tablica IO'!O323*1)</f>
        <v>0</v>
      </c>
      <c r="P89" s="224" cm="1">
        <f t="array" aca="1" ref="P89" ca="1">'Tablica IO'!P245*INDEX(Model!$C$93:$CA$93,Model!$A89) + IF(wplyw_cen_import_wlaczony,'Tablica IO'!P323*INDEX(Model!$C$2:$CA$2,Model!$A89),'Tablica IO'!P323*1)</f>
        <v>0</v>
      </c>
      <c r="Q89" s="224" cm="1">
        <f t="array" aca="1" ref="Q89" ca="1">'Tablica IO'!Q245*INDEX(Model!$C$93:$CA$93,Model!$A89) + IF(wplyw_cen_import_wlaczony,'Tablica IO'!Q323*INDEX(Model!$C$2:$CA$2,Model!$A89),'Tablica IO'!Q323*1)</f>
        <v>0</v>
      </c>
      <c r="R89" s="224" cm="1">
        <f t="array" aca="1" ref="R89" ca="1">'Tablica IO'!R245*INDEX(Model!$C$93:$CA$93,Model!$A89) + IF(wplyw_cen_import_wlaczony,'Tablica IO'!R323*INDEX(Model!$C$2:$CA$2,Model!$A89),'Tablica IO'!R323*1)</f>
        <v>0</v>
      </c>
      <c r="S89" s="224" cm="1">
        <f t="array" aca="1" ref="S89" ca="1">'Tablica IO'!S245*INDEX(Model!$C$93:$CA$93,Model!$A89) + IF(wplyw_cen_import_wlaczony,'Tablica IO'!S323*INDEX(Model!$C$2:$CA$2,Model!$A89),'Tablica IO'!S323*1)</f>
        <v>0</v>
      </c>
      <c r="T89" s="224" cm="1">
        <f t="array" aca="1" ref="T89" ca="1">'Tablica IO'!T245*INDEX(Model!$C$93:$CA$93,Model!$A89) + IF(wplyw_cen_import_wlaczony,'Tablica IO'!T323*INDEX(Model!$C$2:$CA$2,Model!$A89),'Tablica IO'!T323*1)</f>
        <v>0</v>
      </c>
      <c r="U89" s="224" cm="1">
        <f t="array" aca="1" ref="U89" ca="1">'Tablica IO'!U245*INDEX(Model!$C$93:$CA$93,Model!$A89) + IF(wplyw_cen_import_wlaczony,'Tablica IO'!U323*INDEX(Model!$C$2:$CA$2,Model!$A89),'Tablica IO'!U323*1)</f>
        <v>0</v>
      </c>
      <c r="V89" s="224" cm="1">
        <f t="array" aca="1" ref="V89" ca="1">'Tablica IO'!V245*INDEX(Model!$C$93:$CA$93,Model!$A89) + IF(wplyw_cen_import_wlaczony,'Tablica IO'!V323*INDEX(Model!$C$2:$CA$2,Model!$A89),'Tablica IO'!V323*1)</f>
        <v>0</v>
      </c>
      <c r="W89" s="224" cm="1">
        <f t="array" aca="1" ref="W89" ca="1">'Tablica IO'!W245*INDEX(Model!$C$93:$CA$93,Model!$A89) + IF(wplyw_cen_import_wlaczony,'Tablica IO'!W323*INDEX(Model!$C$2:$CA$2,Model!$A89),'Tablica IO'!W323*1)</f>
        <v>0</v>
      </c>
      <c r="X89" s="224" cm="1">
        <f t="array" aca="1" ref="X89" ca="1">'Tablica IO'!X245*INDEX(Model!$C$93:$CA$93,Model!$A89) + IF(wplyw_cen_import_wlaczony,'Tablica IO'!X323*INDEX(Model!$C$2:$CA$2,Model!$A89),'Tablica IO'!X323*1)</f>
        <v>0</v>
      </c>
      <c r="Y89" s="224" cm="1">
        <f t="array" aca="1" ref="Y89" ca="1">'Tablica IO'!Y245*INDEX(Model!$C$93:$CA$93,Model!$A89) + IF(wplyw_cen_import_wlaczony,'Tablica IO'!Y323*INDEX(Model!$C$2:$CA$2,Model!$A89),'Tablica IO'!Y323*1)</f>
        <v>0</v>
      </c>
      <c r="Z89" s="224" cm="1">
        <f t="array" aca="1" ref="Z89" ca="1">'Tablica IO'!Z245*INDEX(Model!$C$93:$CA$93,Model!$A89) + IF(wplyw_cen_import_wlaczony,'Tablica IO'!Z323*INDEX(Model!$C$2:$CA$2,Model!$A89),'Tablica IO'!Z323*1)</f>
        <v>0</v>
      </c>
      <c r="AA89" s="224" cm="1">
        <f t="array" aca="1" ref="AA89" ca="1">'Tablica IO'!AA245*INDEX(Model!$C$93:$CA$93,Model!$A89) + IF(wplyw_cen_import_wlaczony,'Tablica IO'!AA323*INDEX(Model!$C$2:$CA$2,Model!$A89),'Tablica IO'!AA323*1)</f>
        <v>0</v>
      </c>
      <c r="AB89" s="224" cm="1">
        <f t="array" aca="1" ref="AB89" ca="1">'Tablica IO'!AB245*INDEX(Model!$C$93:$CA$93,Model!$A89) + IF(wplyw_cen_import_wlaczony,'Tablica IO'!AB323*INDEX(Model!$C$2:$CA$2,Model!$A89),'Tablica IO'!AB323*1)</f>
        <v>0</v>
      </c>
      <c r="AC89" s="224" cm="1">
        <f t="array" aca="1" ref="AC89" ca="1">'Tablica IO'!AC245*INDEX(Model!$C$93:$CA$93,Model!$A89) + IF(wplyw_cen_import_wlaczony,'Tablica IO'!AC323*INDEX(Model!$C$2:$CA$2,Model!$A89),'Tablica IO'!AC323*1)</f>
        <v>0</v>
      </c>
      <c r="AD89" s="224" cm="1">
        <f t="array" aca="1" ref="AD89" ca="1">'Tablica IO'!AD245*INDEX(Model!$C$93:$CA$93,Model!$A89) + IF(wplyw_cen_import_wlaczony,'Tablica IO'!AD323*INDEX(Model!$C$2:$CA$2,Model!$A89),'Tablica IO'!AD323*1)</f>
        <v>0</v>
      </c>
      <c r="AE89" s="224" cm="1">
        <f t="array" aca="1" ref="AE89" ca="1">'Tablica IO'!AE245*INDEX(Model!$C$93:$CA$93,Model!$A89) + IF(wplyw_cen_import_wlaczony,'Tablica IO'!AE323*INDEX(Model!$C$2:$CA$2,Model!$A89),'Tablica IO'!AE323*1)</f>
        <v>0</v>
      </c>
      <c r="AF89" s="224" cm="1">
        <f t="array" aca="1" ref="AF89" ca="1">'Tablica IO'!AF245*INDEX(Model!$C$93:$CA$93,Model!$A89) + IF(wplyw_cen_import_wlaczony,'Tablica IO'!AF323*INDEX(Model!$C$2:$CA$2,Model!$A89),'Tablica IO'!AF323*1)</f>
        <v>0</v>
      </c>
      <c r="AG89" s="224" cm="1">
        <f t="array" aca="1" ref="AG89" ca="1">'Tablica IO'!AG245*INDEX(Model!$C$93:$CA$93,Model!$A89) + IF(wplyw_cen_import_wlaczony,'Tablica IO'!AG323*INDEX(Model!$C$2:$CA$2,Model!$A89),'Tablica IO'!AG323*1)</f>
        <v>0</v>
      </c>
      <c r="AH89" s="224" cm="1">
        <f t="array" aca="1" ref="AH89" ca="1">'Tablica IO'!AH245*INDEX(Model!$C$93:$CA$93,Model!$A89) + IF(wplyw_cen_import_wlaczony,'Tablica IO'!AH323*INDEX(Model!$C$2:$CA$2,Model!$A89),'Tablica IO'!AH323*1)</f>
        <v>0</v>
      </c>
      <c r="AI89" s="224" cm="1">
        <f t="array" aca="1" ref="AI89" ca="1">'Tablica IO'!AI245*INDEX(Model!$C$93:$CA$93,Model!$A89) + IF(wplyw_cen_import_wlaczony,'Tablica IO'!AI323*INDEX(Model!$C$2:$CA$2,Model!$A89),'Tablica IO'!AI323*1)</f>
        <v>0</v>
      </c>
      <c r="AJ89" s="224" cm="1">
        <f t="array" aca="1" ref="AJ89" ca="1">'Tablica IO'!AJ245*INDEX(Model!$C$93:$CA$93,Model!$A89) + IF(wplyw_cen_import_wlaczony,'Tablica IO'!AJ323*INDEX(Model!$C$2:$CA$2,Model!$A89),'Tablica IO'!AJ323*1)</f>
        <v>0</v>
      </c>
      <c r="AK89" s="224" cm="1">
        <f t="array" aca="1" ref="AK89" ca="1">'Tablica IO'!AK245*INDEX(Model!$C$93:$CA$93,Model!$A89) + IF(wplyw_cen_import_wlaczony,'Tablica IO'!AK323*INDEX(Model!$C$2:$CA$2,Model!$A89),'Tablica IO'!AK323*1)</f>
        <v>0</v>
      </c>
      <c r="AL89" s="224" cm="1">
        <f t="array" aca="1" ref="AL89" ca="1">'Tablica IO'!AL245*INDEX(Model!$C$93:$CA$93,Model!$A89) + IF(wplyw_cen_import_wlaczony,'Tablica IO'!AL323*INDEX(Model!$C$2:$CA$2,Model!$A89),'Tablica IO'!AL323*1)</f>
        <v>0</v>
      </c>
      <c r="AM89" s="224" cm="1">
        <f t="array" aca="1" ref="AM89" ca="1">'Tablica IO'!AM245*INDEX(Model!$C$93:$CA$93,Model!$A89) + IF(wplyw_cen_import_wlaczony,'Tablica IO'!AM323*INDEX(Model!$C$2:$CA$2,Model!$A89),'Tablica IO'!AM323*1)</f>
        <v>0</v>
      </c>
      <c r="AN89" s="224" cm="1">
        <f t="array" aca="1" ref="AN89" ca="1">'Tablica IO'!AN245*INDEX(Model!$C$93:$CA$93,Model!$A89) + IF(wplyw_cen_import_wlaczony,'Tablica IO'!AN323*INDEX(Model!$C$2:$CA$2,Model!$A89),'Tablica IO'!AN323*1)</f>
        <v>0</v>
      </c>
      <c r="AO89" s="224" cm="1">
        <f t="array" aca="1" ref="AO89" ca="1">'Tablica IO'!AO245*INDEX(Model!$C$93:$CA$93,Model!$A89) + IF(wplyw_cen_import_wlaczony,'Tablica IO'!AO323*INDEX(Model!$C$2:$CA$2,Model!$A89),'Tablica IO'!AO323*1)</f>
        <v>0</v>
      </c>
      <c r="AP89" s="224" cm="1">
        <f t="array" aca="1" ref="AP89" ca="1">'Tablica IO'!AP245*INDEX(Model!$C$93:$CA$93,Model!$A89) + IF(wplyw_cen_import_wlaczony,'Tablica IO'!AP323*INDEX(Model!$C$2:$CA$2,Model!$A89),'Tablica IO'!AP323*1)</f>
        <v>0</v>
      </c>
      <c r="AQ89" s="224" cm="1">
        <f t="array" aca="1" ref="AQ89" ca="1">'Tablica IO'!AQ245*INDEX(Model!$C$93:$CA$93,Model!$A89) + IF(wplyw_cen_import_wlaczony,'Tablica IO'!AQ323*INDEX(Model!$C$2:$CA$2,Model!$A89),'Tablica IO'!AQ323*1)</f>
        <v>0</v>
      </c>
      <c r="AR89" s="224" cm="1">
        <f t="array" aca="1" ref="AR89" ca="1">'Tablica IO'!AR245*INDEX(Model!$C$93:$CA$93,Model!$A89) + IF(wplyw_cen_import_wlaczony,'Tablica IO'!AR323*INDEX(Model!$C$2:$CA$2,Model!$A89),'Tablica IO'!AR323*1)</f>
        <v>0</v>
      </c>
      <c r="AS89" s="224" cm="1">
        <f t="array" aca="1" ref="AS89" ca="1">'Tablica IO'!AS245*INDEX(Model!$C$93:$CA$93,Model!$A89) + IF(wplyw_cen_import_wlaczony,'Tablica IO'!AS323*INDEX(Model!$C$2:$CA$2,Model!$A89),'Tablica IO'!AS323*1)</f>
        <v>0</v>
      </c>
      <c r="AT89" s="224" cm="1">
        <f t="array" aca="1" ref="AT89" ca="1">'Tablica IO'!AT245*INDEX(Model!$C$93:$CA$93,Model!$A89) + IF(wplyw_cen_import_wlaczony,'Tablica IO'!AT323*INDEX(Model!$C$2:$CA$2,Model!$A89),'Tablica IO'!AT323*1)</f>
        <v>0</v>
      </c>
      <c r="AU89" s="224" cm="1">
        <f t="array" aca="1" ref="AU89" ca="1">'Tablica IO'!AU245*INDEX(Model!$C$93:$CA$93,Model!$A89) + IF(wplyw_cen_import_wlaczony,'Tablica IO'!AU323*INDEX(Model!$C$2:$CA$2,Model!$A89),'Tablica IO'!AU323*1)</f>
        <v>0</v>
      </c>
      <c r="AV89" s="224" cm="1">
        <f t="array" aca="1" ref="AV89" ca="1">'Tablica IO'!AV245*INDEX(Model!$C$93:$CA$93,Model!$A89) + IF(wplyw_cen_import_wlaczony,'Tablica IO'!AV323*INDEX(Model!$C$2:$CA$2,Model!$A89),'Tablica IO'!AV323*1)</f>
        <v>0</v>
      </c>
      <c r="AW89" s="224" cm="1">
        <f t="array" aca="1" ref="AW89" ca="1">'Tablica IO'!AW245*INDEX(Model!$C$93:$CA$93,Model!$A89) + IF(wplyw_cen_import_wlaczony,'Tablica IO'!AW323*INDEX(Model!$C$2:$CA$2,Model!$A89),'Tablica IO'!AW323*1)</f>
        <v>0</v>
      </c>
      <c r="AX89" s="224" cm="1">
        <f t="array" aca="1" ref="AX89" ca="1">'Tablica IO'!AX245*INDEX(Model!$C$93:$CA$93,Model!$A89) + IF(wplyw_cen_import_wlaczony,'Tablica IO'!AX323*INDEX(Model!$C$2:$CA$2,Model!$A89),'Tablica IO'!AX323*1)</f>
        <v>0</v>
      </c>
      <c r="AY89" s="224" cm="1">
        <f t="array" aca="1" ref="AY89" ca="1">'Tablica IO'!AY245*INDEX(Model!$C$93:$CA$93,Model!$A89) + IF(wplyw_cen_import_wlaczony,'Tablica IO'!AY323*INDEX(Model!$C$2:$CA$2,Model!$A89),'Tablica IO'!AY323*1)</f>
        <v>0</v>
      </c>
      <c r="AZ89" s="224" cm="1">
        <f t="array" aca="1" ref="AZ89" ca="1">'Tablica IO'!AZ245*INDEX(Model!$C$93:$CA$93,Model!$A89) + IF(wplyw_cen_import_wlaczony,'Tablica IO'!AZ323*INDEX(Model!$C$2:$CA$2,Model!$A89),'Tablica IO'!AZ323*1)</f>
        <v>0</v>
      </c>
      <c r="BA89" s="224" cm="1">
        <f t="array" aca="1" ref="BA89" ca="1">'Tablica IO'!BA245*INDEX(Model!$C$93:$CA$93,Model!$A89) + IF(wplyw_cen_import_wlaczony,'Tablica IO'!BA323*INDEX(Model!$C$2:$CA$2,Model!$A89),'Tablica IO'!BA323*1)</f>
        <v>0</v>
      </c>
      <c r="BB89" s="224" cm="1">
        <f t="array" aca="1" ref="BB89" ca="1">'Tablica IO'!BB245*INDEX(Model!$C$93:$CA$93,Model!$A89) + IF(wplyw_cen_import_wlaczony,'Tablica IO'!BB323*INDEX(Model!$C$2:$CA$2,Model!$A89),'Tablica IO'!BB323*1)</f>
        <v>0</v>
      </c>
      <c r="BC89" s="224" cm="1">
        <f t="array" aca="1" ref="BC89" ca="1">'Tablica IO'!BC245*INDEX(Model!$C$93:$CA$93,Model!$A89) + IF(wplyw_cen_import_wlaczony,'Tablica IO'!BC323*INDEX(Model!$C$2:$CA$2,Model!$A89),'Tablica IO'!BC323*1)</f>
        <v>0</v>
      </c>
      <c r="BD89" s="224" cm="1">
        <f t="array" aca="1" ref="BD89" ca="1">'Tablica IO'!BD245*INDEX(Model!$C$93:$CA$93,Model!$A89) + IF(wplyw_cen_import_wlaczony,'Tablica IO'!BD323*INDEX(Model!$C$2:$CA$2,Model!$A89),'Tablica IO'!BD323*1)</f>
        <v>0</v>
      </c>
      <c r="BE89" s="224" cm="1">
        <f t="array" aca="1" ref="BE89" ca="1">'Tablica IO'!BE245*INDEX(Model!$C$93:$CA$93,Model!$A89) + IF(wplyw_cen_import_wlaczony,'Tablica IO'!BE323*INDEX(Model!$C$2:$CA$2,Model!$A89),'Tablica IO'!BE323*1)</f>
        <v>0</v>
      </c>
      <c r="BF89" s="224" cm="1">
        <f t="array" aca="1" ref="BF89" ca="1">'Tablica IO'!BF245*INDEX(Model!$C$93:$CA$93,Model!$A89) + IF(wplyw_cen_import_wlaczony,'Tablica IO'!BF323*INDEX(Model!$C$2:$CA$2,Model!$A89),'Tablica IO'!BF323*1)</f>
        <v>0</v>
      </c>
      <c r="BG89" s="224" cm="1">
        <f t="array" aca="1" ref="BG89" ca="1">'Tablica IO'!BG245*INDEX(Model!$C$93:$CA$93,Model!$A89) + IF(wplyw_cen_import_wlaczony,'Tablica IO'!BG323*INDEX(Model!$C$2:$CA$2,Model!$A89),'Tablica IO'!BG323*1)</f>
        <v>0</v>
      </c>
      <c r="BH89" s="224" cm="1">
        <f t="array" aca="1" ref="BH89" ca="1">'Tablica IO'!BH245*INDEX(Model!$C$93:$CA$93,Model!$A89) + IF(wplyw_cen_import_wlaczony,'Tablica IO'!BH323*INDEX(Model!$C$2:$CA$2,Model!$A89),'Tablica IO'!BH323*1)</f>
        <v>0</v>
      </c>
      <c r="BI89" s="224" cm="1">
        <f t="array" aca="1" ref="BI89" ca="1">'Tablica IO'!BI245*INDEX(Model!$C$93:$CA$93,Model!$A89) + IF(wplyw_cen_import_wlaczony,'Tablica IO'!BI323*INDEX(Model!$C$2:$CA$2,Model!$A89),'Tablica IO'!BI323*1)</f>
        <v>0</v>
      </c>
      <c r="BJ89" s="224" cm="1">
        <f t="array" aca="1" ref="BJ89" ca="1">'Tablica IO'!BJ245*INDEX(Model!$C$93:$CA$93,Model!$A89) + IF(wplyw_cen_import_wlaczony,'Tablica IO'!BJ323*INDEX(Model!$C$2:$CA$2,Model!$A89),'Tablica IO'!BJ323*1)</f>
        <v>0</v>
      </c>
      <c r="BK89" s="224" cm="1">
        <f t="array" aca="1" ref="BK89" ca="1">'Tablica IO'!BK245*INDEX(Model!$C$93:$CA$93,Model!$A89) + IF(wplyw_cen_import_wlaczony,'Tablica IO'!BK323*INDEX(Model!$C$2:$CA$2,Model!$A89),'Tablica IO'!BK323*1)</f>
        <v>0</v>
      </c>
      <c r="BL89" s="224" cm="1">
        <f t="array" aca="1" ref="BL89" ca="1">'Tablica IO'!BL245*INDEX(Model!$C$93:$CA$93,Model!$A89) + IF(wplyw_cen_import_wlaczony,'Tablica IO'!BL323*INDEX(Model!$C$2:$CA$2,Model!$A89),'Tablica IO'!BL323*1)</f>
        <v>0</v>
      </c>
      <c r="BM89" s="224" cm="1">
        <f t="array" aca="1" ref="BM89" ca="1">'Tablica IO'!BM245*INDEX(Model!$C$93:$CA$93,Model!$A89) + IF(wplyw_cen_import_wlaczony,'Tablica IO'!BM323*INDEX(Model!$C$2:$CA$2,Model!$A89),'Tablica IO'!BM323*1)</f>
        <v>0</v>
      </c>
      <c r="BN89" s="224" cm="1">
        <f t="array" aca="1" ref="BN89" ca="1">'Tablica IO'!BN245*INDEX(Model!$C$93:$CA$93,Model!$A89) + IF(wplyw_cen_import_wlaczony,'Tablica IO'!BN323*INDEX(Model!$C$2:$CA$2,Model!$A89),'Tablica IO'!BN323*1)</f>
        <v>0</v>
      </c>
      <c r="BO89" s="224" cm="1">
        <f t="array" aca="1" ref="BO89" ca="1">'Tablica IO'!BO245*INDEX(Model!$C$93:$CA$93,Model!$A89) + IF(wplyw_cen_import_wlaczony,'Tablica IO'!BO323*INDEX(Model!$C$2:$CA$2,Model!$A89),'Tablica IO'!BO323*1)</f>
        <v>0</v>
      </c>
      <c r="BP89" s="224" cm="1">
        <f t="array" aca="1" ref="BP89" ca="1">'Tablica IO'!BP245*INDEX(Model!$C$93:$CA$93,Model!$A89) + IF(wplyw_cen_import_wlaczony,'Tablica IO'!BP323*INDEX(Model!$C$2:$CA$2,Model!$A89),'Tablica IO'!BP323*1)</f>
        <v>0</v>
      </c>
      <c r="BQ89" s="224" cm="1">
        <f t="array" aca="1" ref="BQ89" ca="1">'Tablica IO'!BQ245*INDEX(Model!$C$93:$CA$93,Model!$A89) + IF(wplyw_cen_import_wlaczony,'Tablica IO'!BQ323*INDEX(Model!$C$2:$CA$2,Model!$A89),'Tablica IO'!BQ323*1)</f>
        <v>0</v>
      </c>
      <c r="BR89" s="224" cm="1">
        <f t="array" aca="1" ref="BR89" ca="1">'Tablica IO'!BR245*INDEX(Model!$C$93:$CA$93,Model!$A89) + IF(wplyw_cen_import_wlaczony,'Tablica IO'!BR323*INDEX(Model!$C$2:$CA$2,Model!$A89),'Tablica IO'!BR323*1)</f>
        <v>0</v>
      </c>
      <c r="BS89" s="224" cm="1">
        <f t="array" aca="1" ref="BS89" ca="1">'Tablica IO'!BS245*INDEX(Model!$C$93:$CA$93,Model!$A89) + IF(wplyw_cen_import_wlaczony,'Tablica IO'!BS323*INDEX(Model!$C$2:$CA$2,Model!$A89),'Tablica IO'!BS323*1)</f>
        <v>0</v>
      </c>
      <c r="BT89" s="224" cm="1">
        <f t="array" aca="1" ref="BT89" ca="1">'Tablica IO'!BT245*INDEX(Model!$C$93:$CA$93,Model!$A89) + IF(wplyw_cen_import_wlaczony,'Tablica IO'!BT323*INDEX(Model!$C$2:$CA$2,Model!$A89),'Tablica IO'!BT323*1)</f>
        <v>0</v>
      </c>
      <c r="BU89" s="224" cm="1">
        <f t="array" aca="1" ref="BU89" ca="1">'Tablica IO'!BU245*INDEX(Model!$C$93:$CA$93,Model!$A89) + IF(wplyw_cen_import_wlaczony,'Tablica IO'!BU323*INDEX(Model!$C$2:$CA$2,Model!$A89),'Tablica IO'!BU323*1)</f>
        <v>0</v>
      </c>
      <c r="BV89" s="224" cm="1">
        <f t="array" aca="1" ref="BV89" ca="1">'Tablica IO'!BV245*INDEX(Model!$C$93:$CA$93,Model!$A89) + IF(wplyw_cen_import_wlaczony,'Tablica IO'!BV323*INDEX(Model!$C$2:$CA$2,Model!$A89),'Tablica IO'!BV323*1)</f>
        <v>0</v>
      </c>
      <c r="BW89" s="224" cm="1">
        <f t="array" aca="1" ref="BW89" ca="1">'Tablica IO'!BW245*INDEX(Model!$C$93:$CA$93,Model!$A89) + IF(wplyw_cen_import_wlaczony,'Tablica IO'!BW323*INDEX(Model!$C$2:$CA$2,Model!$A89),'Tablica IO'!BW323*1)</f>
        <v>0</v>
      </c>
      <c r="BX89" s="224" cm="1">
        <f t="array" aca="1" ref="BX89" ca="1">'Tablica IO'!BX245*INDEX(Model!$C$93:$CA$93,Model!$A89) + IF(wplyw_cen_import_wlaczony,'Tablica IO'!BX323*INDEX(Model!$C$2:$CA$2,Model!$A89),'Tablica IO'!BX323*1)</f>
        <v>0</v>
      </c>
      <c r="BY89" s="224" cm="1">
        <f t="array" aca="1" ref="BY89" ca="1">'Tablica IO'!BY245*INDEX(Model!$C$93:$CA$93,Model!$A89) + IF(wplyw_cen_import_wlaczony,'Tablica IO'!BY323*INDEX(Model!$C$2:$CA$2,Model!$A89),'Tablica IO'!BY323*1)</f>
        <v>0</v>
      </c>
      <c r="BZ89" s="224" cm="1">
        <f t="array" aca="1" ref="BZ89" ca="1">'Tablica IO'!BZ245*INDEX(Model!$C$93:$CA$93,Model!$A89) + IF(wplyw_cen_import_wlaczony,'Tablica IO'!BZ323*INDEX(Model!$C$2:$CA$2,Model!$A89),'Tablica IO'!BZ323*1)</f>
        <v>0</v>
      </c>
      <c r="CA89" s="224" cm="1">
        <f t="array" aca="1" ref="CA89" ca="1">'Tablica IO'!CA245*INDEX(Model!$C$93:$CA$93,Model!$A89) + IF(wplyw_cen_import_wlaczony,'Tablica IO'!CA323*INDEX(Model!$C$2:$CA$2,Model!$A89),'Tablica IO'!CA323*1)</f>
        <v>0</v>
      </c>
      <c r="CB89" s="248">
        <f ca="1">'Tablica IO'!CD245*INDEX(Model!$C$93:$CA$93,Model!$A89)+'Tablica IO'!CD323*INDEX(Model!$C$2:$CA$2,Model!$A89)</f>
        <v>2.4055880926410994E-3</v>
      </c>
      <c r="CC89" s="190">
        <f ca="1">'Tablica IO'!CE245*INDEX(Model!$C$93:$CA$93,Model!$A89)+'Tablica IO'!CE323*INDEX(Model!$C$2:$CA$2,Model!$A89)</f>
        <v>0</v>
      </c>
      <c r="CD89" s="190">
        <f ca="1">'Tablica IO'!CF245*INDEX(Model!$C$93:$CA$93,Model!$A89)+'Tablica IO'!CF323*INDEX(Model!$C$2:$CA$2,Model!$A89)</f>
        <v>0</v>
      </c>
      <c r="CE89" s="191">
        <f ca="1">'Tablica IO'!CG245*INDEX(Model!$C$93:$CA$93,Model!$A89)+'Tablica IO'!CG323*INDEX(Model!$C$2:$CA$2,Model!$A89)</f>
        <v>0</v>
      </c>
    </row>
    <row r="90" spans="1:83" ht="14.4" thickBot="1" x14ac:dyDescent="0.3">
      <c r="B90" s="181"/>
      <c r="C90" s="182"/>
      <c r="D90" s="182"/>
      <c r="E90" s="182"/>
      <c r="F90" s="182"/>
      <c r="G90" s="182"/>
      <c r="H90" s="182"/>
      <c r="I90" s="182"/>
      <c r="J90" s="182"/>
      <c r="K90" s="182"/>
      <c r="L90" s="182"/>
      <c r="M90" s="182"/>
      <c r="N90" s="182"/>
      <c r="O90" s="182"/>
      <c r="P90" s="182"/>
      <c r="Q90" s="182"/>
      <c r="R90" s="182"/>
      <c r="S90" s="182"/>
      <c r="T90" s="182"/>
      <c r="U90" s="182"/>
      <c r="V90" s="182"/>
      <c r="W90" s="182"/>
      <c r="X90" s="182"/>
      <c r="Y90" s="182"/>
      <c r="Z90" s="182"/>
      <c r="AA90" s="182"/>
      <c r="AB90" s="182"/>
      <c r="AC90" s="182"/>
      <c r="AD90" s="182"/>
      <c r="AE90" s="182"/>
      <c r="AF90" s="182"/>
      <c r="AG90" s="182"/>
      <c r="AH90" s="182"/>
      <c r="AI90" s="182"/>
      <c r="AJ90" s="182"/>
      <c r="AK90" s="182"/>
      <c r="AL90" s="182"/>
      <c r="AM90" s="182"/>
      <c r="AN90" s="182"/>
      <c r="AO90" s="182"/>
      <c r="AP90" s="182"/>
      <c r="AQ90" s="182"/>
      <c r="AR90" s="182"/>
      <c r="AS90" s="182"/>
      <c r="AT90" s="182"/>
      <c r="AU90" s="182"/>
      <c r="AV90" s="182"/>
      <c r="AW90" s="182"/>
      <c r="AX90" s="182"/>
      <c r="AY90" s="182"/>
      <c r="AZ90" s="182"/>
      <c r="BA90" s="182"/>
      <c r="BB90" s="182"/>
      <c r="BC90" s="182"/>
      <c r="BD90" s="182"/>
      <c r="BE90" s="182"/>
      <c r="BF90" s="182"/>
      <c r="BG90" s="182"/>
      <c r="BH90" s="182"/>
      <c r="BI90" s="182"/>
      <c r="BJ90" s="182"/>
      <c r="BK90" s="182"/>
      <c r="BL90" s="182"/>
      <c r="BM90" s="182"/>
      <c r="BN90" s="182"/>
      <c r="BO90" s="182"/>
      <c r="BP90" s="182"/>
      <c r="BQ90" s="182"/>
      <c r="BR90" s="182"/>
      <c r="BS90" s="182"/>
      <c r="BT90" s="182"/>
      <c r="BU90" s="182"/>
      <c r="BV90" s="182"/>
      <c r="BW90" s="182"/>
      <c r="BX90" s="182"/>
      <c r="BY90" s="182"/>
      <c r="BZ90" s="182"/>
      <c r="CA90" s="182"/>
      <c r="CB90" s="183"/>
      <c r="CC90" s="184"/>
      <c r="CD90" s="184"/>
      <c r="CE90" s="185"/>
    </row>
    <row r="91" spans="1:83" ht="20.399999999999999" thickBot="1" x14ac:dyDescent="0.3">
      <c r="B91" s="226" t="s">
        <v>199</v>
      </c>
      <c r="C91" s="227">
        <v>0.60501632398083183</v>
      </c>
      <c r="D91" s="227">
        <v>0.48298653356448717</v>
      </c>
      <c r="E91" s="227">
        <v>0.43530992096449717</v>
      </c>
      <c r="F91" s="227">
        <v>0.39664938869197763</v>
      </c>
      <c r="G91" s="227">
        <v>0.50722126064346917</v>
      </c>
      <c r="H91" s="227">
        <v>0.77852249099979409</v>
      </c>
      <c r="I91" s="227">
        <v>0.70124746933036386</v>
      </c>
      <c r="J91" s="227">
        <v>0.36619912706944968</v>
      </c>
      <c r="K91" s="227">
        <v>0.7382292116514344</v>
      </c>
      <c r="L91" s="227">
        <v>0.4765289472450121</v>
      </c>
      <c r="M91" s="227">
        <v>0.66874847027759488</v>
      </c>
      <c r="N91" s="227">
        <v>0.69081013131890268</v>
      </c>
      <c r="O91" s="227">
        <v>0.70916678747410888</v>
      </c>
      <c r="P91" s="227">
        <v>0.66694170939689468</v>
      </c>
      <c r="Q91" s="227">
        <v>0.86848971791210294</v>
      </c>
      <c r="R91" s="227">
        <v>0.6958470903336953</v>
      </c>
      <c r="S91" s="227">
        <v>0.70145376246680635</v>
      </c>
      <c r="T91" s="227">
        <v>0.71848111134716419</v>
      </c>
      <c r="U91" s="227">
        <v>0.64140265448920708</v>
      </c>
      <c r="V91" s="227">
        <v>0.79334816277253795</v>
      </c>
      <c r="W91" s="227">
        <v>0.62347309064240342</v>
      </c>
      <c r="X91" s="227">
        <v>0.83331292383823985</v>
      </c>
      <c r="Y91" s="227">
        <v>0.71011182191256372</v>
      </c>
      <c r="Z91" s="227">
        <v>0.63351236428121427</v>
      </c>
      <c r="AA91" s="227">
        <v>0.83453099063129443</v>
      </c>
      <c r="AB91" s="227">
        <v>0.64693699666347659</v>
      </c>
      <c r="AC91" s="227">
        <v>0.66795761717113888</v>
      </c>
      <c r="AD91" s="227">
        <v>0.58624714237008912</v>
      </c>
      <c r="AE91" s="227">
        <v>0.53870851144406329</v>
      </c>
      <c r="AF91" s="227">
        <v>0.5589442710105581</v>
      </c>
      <c r="AG91" s="227">
        <v>0.2887324615079862</v>
      </c>
      <c r="AH91" s="227">
        <v>0.61079525369467658</v>
      </c>
      <c r="AI91" s="227">
        <v>0.3375465149798757</v>
      </c>
      <c r="AJ91" s="227">
        <v>0.60776331482754098</v>
      </c>
      <c r="AK91" s="227">
        <v>0.37789197822254794</v>
      </c>
      <c r="AL91" s="227">
        <v>0.48057784555278948</v>
      </c>
      <c r="AM91" s="227">
        <v>0.30601554323764513</v>
      </c>
      <c r="AN91" s="227">
        <v>0.52904227853442143</v>
      </c>
      <c r="AO91" s="227">
        <v>0.65447440868579532</v>
      </c>
      <c r="AP91" s="227">
        <v>0.50386187693899809</v>
      </c>
      <c r="AQ91" s="227">
        <v>0.47937556931576858</v>
      </c>
      <c r="AR91" s="227">
        <v>0.56171582520312702</v>
      </c>
      <c r="AS91" s="227">
        <v>0.55384204120421121</v>
      </c>
      <c r="AT91" s="227">
        <v>0.62214826893186481</v>
      </c>
      <c r="AU91" s="227">
        <v>0.49593914318309729</v>
      </c>
      <c r="AV91" s="227">
        <v>0.55605475447117414</v>
      </c>
      <c r="AW91" s="227">
        <v>0.406872996965711</v>
      </c>
      <c r="AX91" s="227">
        <v>0.51239305818455494</v>
      </c>
      <c r="AY91" s="227">
        <v>0.31952147007154891</v>
      </c>
      <c r="AZ91" s="227">
        <v>0.55170662709056117</v>
      </c>
      <c r="BA91" s="227">
        <v>0.55750024643677643</v>
      </c>
      <c r="BB91" s="227">
        <v>0.41875180551570501</v>
      </c>
      <c r="BC91" s="227">
        <v>0.3273148390660473</v>
      </c>
      <c r="BD91" s="227">
        <v>0.43355728571550395</v>
      </c>
      <c r="BE91" s="227">
        <v>0.41693217098121843</v>
      </c>
      <c r="BF91" s="227">
        <v>0.2960354229175462</v>
      </c>
      <c r="BG91" s="227">
        <v>0.5611500265865067</v>
      </c>
      <c r="BH91" s="227">
        <v>0.37289056143167382</v>
      </c>
      <c r="BI91" s="227">
        <v>0.28091019418108587</v>
      </c>
      <c r="BJ91" s="227">
        <v>0.34485173164868149</v>
      </c>
      <c r="BK91" s="227">
        <v>0.24676556405735736</v>
      </c>
      <c r="BL91" s="227">
        <v>0.82175357182888398</v>
      </c>
      <c r="BM91" s="227">
        <v>0.39334060121321313</v>
      </c>
      <c r="BN91" s="227">
        <v>0.5176548116266031</v>
      </c>
      <c r="BO91" s="227">
        <v>0.41597619918543727</v>
      </c>
      <c r="BP91" s="227">
        <v>0.20191767893344897</v>
      </c>
      <c r="BQ91" s="227">
        <v>0.2032132324925742</v>
      </c>
      <c r="BR91" s="227">
        <v>0.3924467334291008</v>
      </c>
      <c r="BS91" s="227">
        <v>0.30887683063761318</v>
      </c>
      <c r="BT91" s="227">
        <v>0.43296697304908072</v>
      </c>
      <c r="BU91" s="227">
        <v>0.45496019866605691</v>
      </c>
      <c r="BV91" s="227">
        <v>0.451130543733685</v>
      </c>
      <c r="BW91" s="227">
        <v>0.53245911388501876</v>
      </c>
      <c r="BX91" s="227">
        <v>0.66929846120277114</v>
      </c>
      <c r="BY91" s="227">
        <v>0.2634617083212889</v>
      </c>
      <c r="BZ91" s="227">
        <v>0.30938049039833782</v>
      </c>
      <c r="CA91" s="228">
        <v>0</v>
      </c>
      <c r="CB91" s="183"/>
      <c r="CC91" s="184"/>
      <c r="CD91" s="184"/>
      <c r="CE91" s="185"/>
    </row>
    <row r="92" spans="1:83" ht="21" thickBot="1" x14ac:dyDescent="0.3">
      <c r="CB92" s="241" t="s">
        <v>200</v>
      </c>
      <c r="CC92" s="242" t="s">
        <v>201</v>
      </c>
      <c r="CD92" s="242" t="s">
        <v>202</v>
      </c>
      <c r="CE92" s="243" t="s">
        <v>203</v>
      </c>
    </row>
    <row r="93" spans="1:83" ht="21" thickBot="1" x14ac:dyDescent="0.5">
      <c r="B93" s="170" t="s">
        <v>204</v>
      </c>
      <c r="C93" s="193">
        <f t="shared" ref="C93:AH93" ca="1" si="75">IF(petla_kosztow_materialowych_wlaczona,SUM(C13:C89)+C10,C10+C91)</f>
        <v>1.2002596802949734</v>
      </c>
      <c r="D93" s="168">
        <f t="shared" ca="1" si="75"/>
        <v>3.8265865568035515</v>
      </c>
      <c r="E93" s="168">
        <f t="shared" ca="1" si="75"/>
        <v>1.0951822425556297</v>
      </c>
      <c r="F93" s="168">
        <f t="shared" ca="1" si="75"/>
        <v>1.0962399794256821</v>
      </c>
      <c r="G93" s="168">
        <f t="shared" ca="1" si="75"/>
        <v>1.0690166647014863</v>
      </c>
      <c r="H93" s="168">
        <f t="shared" ca="1" si="75"/>
        <v>1.4201342394682359</v>
      </c>
      <c r="I93" s="168">
        <f t="shared" ca="1" si="75"/>
        <v>1.1510171391780941</v>
      </c>
      <c r="J93" s="168">
        <f t="shared" ca="1" si="75"/>
        <v>1.6669716111877424</v>
      </c>
      <c r="K93" s="168">
        <f t="shared" ca="1" si="75"/>
        <v>1.0636149830849488</v>
      </c>
      <c r="L93" s="168">
        <f t="shared" ca="1" si="75"/>
        <v>1.0715966772265753</v>
      </c>
      <c r="M93" s="168">
        <f t="shared" ca="1" si="75"/>
        <v>1.154580864874077</v>
      </c>
      <c r="N93" s="168">
        <f t="shared" ca="1" si="75"/>
        <v>1.3160129947657091</v>
      </c>
      <c r="O93" s="168">
        <f t="shared" ca="1" si="75"/>
        <v>1.1124504502704269</v>
      </c>
      <c r="P93" s="168">
        <f t="shared" ca="1" si="75"/>
        <v>1.0687597171995546</v>
      </c>
      <c r="Q93" s="168">
        <f t="shared" ca="1" si="75"/>
        <v>1.0171961155054856</v>
      </c>
      <c r="R93" s="168">
        <f t="shared" ca="1" si="75"/>
        <v>1.0527674529573532</v>
      </c>
      <c r="S93" s="168">
        <f t="shared" ca="1" si="75"/>
        <v>1.0887801800746111</v>
      </c>
      <c r="T93" s="168">
        <f t="shared" ca="1" si="75"/>
        <v>1.129880095641679</v>
      </c>
      <c r="U93" s="168">
        <f t="shared" ca="1" si="75"/>
        <v>1.0638575211643038</v>
      </c>
      <c r="V93" s="168">
        <f t="shared" ca="1" si="75"/>
        <v>1.0445769279821226</v>
      </c>
      <c r="W93" s="168">
        <f t="shared" ca="1" si="75"/>
        <v>1.053661482273192</v>
      </c>
      <c r="X93" s="168">
        <f t="shared" ca="1" si="75"/>
        <v>1.0375775920961612</v>
      </c>
      <c r="Y93" s="168">
        <f t="shared" ca="1" si="75"/>
        <v>1.0450972042762305</v>
      </c>
      <c r="Z93" s="168">
        <f t="shared" ca="1" si="75"/>
        <v>1.0583027703079166</v>
      </c>
      <c r="AA93" s="168">
        <f t="shared" ca="1" si="75"/>
        <v>1.0423283629881759</v>
      </c>
      <c r="AB93" s="168">
        <f t="shared" ca="1" si="75"/>
        <v>1.0481786341773351</v>
      </c>
      <c r="AC93" s="168">
        <f t="shared" ca="1" si="75"/>
        <v>1.1195685736376828</v>
      </c>
      <c r="AD93" s="168">
        <f t="shared" ca="1" si="75"/>
        <v>1.0632956023237559</v>
      </c>
      <c r="AE93" s="168">
        <f t="shared" ca="1" si="75"/>
        <v>1.0490296165910127</v>
      </c>
      <c r="AF93" s="168">
        <f t="shared" ca="1" si="75"/>
        <v>1.0843946079581523</v>
      </c>
      <c r="AG93" s="168">
        <f t="shared" ca="1" si="75"/>
        <v>1.0584737537113931</v>
      </c>
      <c r="AH93" s="168">
        <f t="shared" ca="1" si="75"/>
        <v>1.0560984382281466</v>
      </c>
      <c r="AI93" s="168">
        <f t="shared" ref="AI93:BN93" ca="1" si="76">IF(petla_kosztow_materialowych_wlaczona,SUM(AI13:AI89)+AI10,AI10+AI91)</f>
        <v>1.0637205590660905</v>
      </c>
      <c r="AJ93" s="168">
        <f t="shared" ca="1" si="76"/>
        <v>1.0589494149807184</v>
      </c>
      <c r="AK93" s="168">
        <f t="shared" ca="1" si="76"/>
        <v>1.0323181426641781</v>
      </c>
      <c r="AL93" s="168">
        <f t="shared" ca="1" si="76"/>
        <v>1.0760862184427165</v>
      </c>
      <c r="AM93" s="168">
        <f t="shared" ca="1" si="76"/>
        <v>1.0617737212281202</v>
      </c>
      <c r="AN93" s="168">
        <f t="shared" ca="1" si="76"/>
        <v>1.0470064285398692</v>
      </c>
      <c r="AO93" s="168">
        <f t="shared" ca="1" si="76"/>
        <v>1.0460867955808366</v>
      </c>
      <c r="AP93" s="168">
        <f t="shared" ca="1" si="76"/>
        <v>1.0529215769192168</v>
      </c>
      <c r="AQ93" s="168">
        <f t="shared" ca="1" si="76"/>
        <v>1.0972392428381568</v>
      </c>
      <c r="AR93" s="168">
        <f t="shared" ca="1" si="76"/>
        <v>1.1351119380306143</v>
      </c>
      <c r="AS93" s="168">
        <f t="shared" ca="1" si="76"/>
        <v>1.0711218750847835</v>
      </c>
      <c r="AT93" s="168">
        <f t="shared" ca="1" si="76"/>
        <v>1.0432567794125283</v>
      </c>
      <c r="AU93" s="168">
        <f t="shared" ca="1" si="76"/>
        <v>1.048376717705112</v>
      </c>
      <c r="AV93" s="168">
        <f t="shared" ca="1" si="76"/>
        <v>1.0437714141552388</v>
      </c>
      <c r="AW93" s="168">
        <f t="shared" ca="1" si="76"/>
        <v>1.0617161433101237</v>
      </c>
      <c r="AX93" s="168">
        <f t="shared" ca="1" si="76"/>
        <v>1.0621274906996292</v>
      </c>
      <c r="AY93" s="168">
        <f t="shared" ca="1" si="76"/>
        <v>1.0575741178042204</v>
      </c>
      <c r="AZ93" s="168">
        <f t="shared" ca="1" si="76"/>
        <v>1.0476617133899935</v>
      </c>
      <c r="BA93" s="168">
        <f t="shared" ca="1" si="76"/>
        <v>1.0691108422520275</v>
      </c>
      <c r="BB93" s="168">
        <f t="shared" ca="1" si="76"/>
        <v>1.0416760711869151</v>
      </c>
      <c r="BC93" s="168">
        <f t="shared" ca="1" si="76"/>
        <v>1.0535029241251599</v>
      </c>
      <c r="BD93" s="168">
        <f t="shared" ca="1" si="76"/>
        <v>1.0591522605017911</v>
      </c>
      <c r="BE93" s="168">
        <f t="shared" ca="1" si="76"/>
        <v>1.0498670891843833</v>
      </c>
      <c r="BF93" s="168">
        <f t="shared" ca="1" si="76"/>
        <v>1.0826192450372054</v>
      </c>
      <c r="BG93" s="168">
        <f t="shared" ca="1" si="76"/>
        <v>1.0447252302641918</v>
      </c>
      <c r="BH93" s="168">
        <f t="shared" ca="1" si="76"/>
        <v>1.0371880508340012</v>
      </c>
      <c r="BI93" s="168">
        <f t="shared" ca="1" si="76"/>
        <v>1.0241001331928159</v>
      </c>
      <c r="BJ93" s="168">
        <f t="shared" ca="1" si="76"/>
        <v>1.0405072022954118</v>
      </c>
      <c r="BK93" s="168">
        <f t="shared" ca="1" si="76"/>
        <v>1.1280797272984855</v>
      </c>
      <c r="BL93" s="168">
        <f t="shared" ca="1" si="76"/>
        <v>1.0532927194771533</v>
      </c>
      <c r="BM93" s="168">
        <f t="shared" ca="1" si="76"/>
        <v>1.1284716236248551</v>
      </c>
      <c r="BN93" s="168">
        <f t="shared" ca="1" si="76"/>
        <v>1.1056758901000729</v>
      </c>
      <c r="BO93" s="168">
        <f t="shared" ref="BO93:CA93" ca="1" si="77">IF(petla_kosztow_materialowych_wlaczona,SUM(BO13:BO89)+BO10,BO10+BO91)</f>
        <v>1.1422451599135854</v>
      </c>
      <c r="BP93" s="168">
        <f t="shared" ca="1" si="77"/>
        <v>1.120726962115528</v>
      </c>
      <c r="BQ93" s="168">
        <f t="shared" ca="1" si="77"/>
        <v>1.1207715456214156</v>
      </c>
      <c r="BR93" s="168">
        <f t="shared" ca="1" si="77"/>
        <v>1.0681691490700458</v>
      </c>
      <c r="BS93" s="168">
        <f t="shared" ca="1" si="77"/>
        <v>1.1342789815657512</v>
      </c>
      <c r="BT93" s="168">
        <f t="shared" ca="1" si="77"/>
        <v>1.0903198318038116</v>
      </c>
      <c r="BU93" s="168">
        <f t="shared" ca="1" si="77"/>
        <v>1.0705274014280197</v>
      </c>
      <c r="BV93" s="168">
        <f t="shared" ca="1" si="77"/>
        <v>1.0663449164022538</v>
      </c>
      <c r="BW93" s="168">
        <f t="shared" ca="1" si="77"/>
        <v>1.0736096330077298</v>
      </c>
      <c r="BX93" s="168">
        <f t="shared" ca="1" si="77"/>
        <v>1.1313595805839172</v>
      </c>
      <c r="BY93" s="168">
        <f t="shared" ca="1" si="77"/>
        <v>1.062193279368528</v>
      </c>
      <c r="BZ93" s="168">
        <f t="shared" ca="1" si="77"/>
        <v>1.0511717217458827</v>
      </c>
      <c r="CA93" s="174">
        <f t="shared" ca="1" si="77"/>
        <v>1.0133426721826215</v>
      </c>
      <c r="CB93" s="192">
        <f ca="1">SUM(CB13:CB89)</f>
        <v>1.1599604251907574</v>
      </c>
      <c r="CC93" s="175">
        <f ca="1">SUM(CC13:CC89)</f>
        <v>1.1005129683611738</v>
      </c>
      <c r="CD93" s="175">
        <f ca="1">SUM(CD13:CD89)</f>
        <v>1.0432568405907898</v>
      </c>
      <c r="CE93" s="176">
        <f ca="1">SUM(CE13:CE89)</f>
        <v>1.1183032115303151</v>
      </c>
    </row>
    <row r="94" spans="1:83" ht="14.4" thickBot="1" x14ac:dyDescent="0.3"/>
    <row r="95" spans="1:83" ht="14.4" thickBot="1" x14ac:dyDescent="0.3">
      <c r="B95" s="180" t="s">
        <v>205</v>
      </c>
      <c r="C95" s="229">
        <f ca="1">ROUND(((C93-C7)/C7)-IF(C3&lt;&gt;0,C3,0),4)</f>
        <v>0.20030000000000001</v>
      </c>
      <c r="D95" s="229">
        <f t="shared" ref="D95:BO95" ca="1" si="78">ROUND(((D93-D7)/D7)-IF(D3&lt;&gt;0,D3,0),4)</f>
        <v>0.8266</v>
      </c>
      <c r="E95" s="229">
        <f t="shared" ca="1" si="78"/>
        <v>9.5200000000000007E-2</v>
      </c>
      <c r="F95" s="229">
        <f t="shared" ca="1" si="78"/>
        <v>9.6199999999999994E-2</v>
      </c>
      <c r="G95" s="229">
        <f t="shared" ca="1" si="78"/>
        <v>6.9000000000000006E-2</v>
      </c>
      <c r="H95" s="229">
        <f t="shared" ca="1" si="78"/>
        <v>0.42009999999999997</v>
      </c>
      <c r="I95" s="229">
        <f t="shared" ca="1" si="78"/>
        <v>0.151</v>
      </c>
      <c r="J95" s="229">
        <f t="shared" ca="1" si="78"/>
        <v>0.66700000000000004</v>
      </c>
      <c r="K95" s="229">
        <f t="shared" ca="1" si="78"/>
        <v>6.3600000000000004E-2</v>
      </c>
      <c r="L95" s="229">
        <f t="shared" ca="1" si="78"/>
        <v>7.1599999999999997E-2</v>
      </c>
      <c r="M95" s="229">
        <f t="shared" ca="1" si="78"/>
        <v>0.15459999999999999</v>
      </c>
      <c r="N95" s="229">
        <f t="shared" ca="1" si="78"/>
        <v>0.316</v>
      </c>
      <c r="O95" s="229">
        <f t="shared" ca="1" si="78"/>
        <v>0.1125</v>
      </c>
      <c r="P95" s="229">
        <f t="shared" ca="1" si="78"/>
        <v>6.88E-2</v>
      </c>
      <c r="Q95" s="229">
        <f t="shared" ca="1" si="78"/>
        <v>1.72E-2</v>
      </c>
      <c r="R95" s="229">
        <f t="shared" ca="1" si="78"/>
        <v>5.28E-2</v>
      </c>
      <c r="S95" s="229">
        <f t="shared" ca="1" si="78"/>
        <v>8.8800000000000004E-2</v>
      </c>
      <c r="T95" s="229">
        <f t="shared" ca="1" si="78"/>
        <v>0.12989999999999999</v>
      </c>
      <c r="U95" s="229">
        <f t="shared" ca="1" si="78"/>
        <v>6.3899999999999998E-2</v>
      </c>
      <c r="V95" s="229">
        <f t="shared" ca="1" si="78"/>
        <v>4.4600000000000001E-2</v>
      </c>
      <c r="W95" s="229">
        <f t="shared" ca="1" si="78"/>
        <v>5.3699999999999998E-2</v>
      </c>
      <c r="X95" s="229">
        <f t="shared" ca="1" si="78"/>
        <v>3.7600000000000001E-2</v>
      </c>
      <c r="Y95" s="229">
        <f t="shared" ca="1" si="78"/>
        <v>4.5100000000000001E-2</v>
      </c>
      <c r="Z95" s="229">
        <f t="shared" ca="1" si="78"/>
        <v>5.8299999999999998E-2</v>
      </c>
      <c r="AA95" s="229">
        <f t="shared" ca="1" si="78"/>
        <v>4.2299999999999997E-2</v>
      </c>
      <c r="AB95" s="229">
        <f t="shared" ca="1" si="78"/>
        <v>4.82E-2</v>
      </c>
      <c r="AC95" s="229">
        <f t="shared" ca="1" si="78"/>
        <v>0.1196</v>
      </c>
      <c r="AD95" s="229">
        <f t="shared" ca="1" si="78"/>
        <v>6.3299999999999995E-2</v>
      </c>
      <c r="AE95" s="229">
        <f t="shared" ca="1" si="78"/>
        <v>4.9000000000000002E-2</v>
      </c>
      <c r="AF95" s="229">
        <f t="shared" ca="1" si="78"/>
        <v>8.4400000000000003E-2</v>
      </c>
      <c r="AG95" s="229">
        <f t="shared" ca="1" si="78"/>
        <v>5.8500000000000003E-2</v>
      </c>
      <c r="AH95" s="229">
        <f t="shared" ca="1" si="78"/>
        <v>5.6099999999999997E-2</v>
      </c>
      <c r="AI95" s="229">
        <f t="shared" ca="1" si="78"/>
        <v>6.3700000000000007E-2</v>
      </c>
      <c r="AJ95" s="229">
        <f t="shared" ca="1" si="78"/>
        <v>5.8900000000000001E-2</v>
      </c>
      <c r="AK95" s="229">
        <f t="shared" ca="1" si="78"/>
        <v>3.2300000000000002E-2</v>
      </c>
      <c r="AL95" s="229">
        <f t="shared" ca="1" si="78"/>
        <v>7.6100000000000001E-2</v>
      </c>
      <c r="AM95" s="229">
        <f t="shared" ca="1" si="78"/>
        <v>6.1800000000000001E-2</v>
      </c>
      <c r="AN95" s="229">
        <f t="shared" ca="1" si="78"/>
        <v>4.7E-2</v>
      </c>
      <c r="AO95" s="229">
        <f t="shared" ca="1" si="78"/>
        <v>4.6100000000000002E-2</v>
      </c>
      <c r="AP95" s="229">
        <f t="shared" ca="1" si="78"/>
        <v>5.2900000000000003E-2</v>
      </c>
      <c r="AQ95" s="229">
        <f t="shared" ca="1" si="78"/>
        <v>9.7199999999999995E-2</v>
      </c>
      <c r="AR95" s="229">
        <f t="shared" ca="1" si="78"/>
        <v>0.1351</v>
      </c>
      <c r="AS95" s="229">
        <f t="shared" ca="1" si="78"/>
        <v>7.1099999999999997E-2</v>
      </c>
      <c r="AT95" s="229">
        <f t="shared" ca="1" si="78"/>
        <v>4.3299999999999998E-2</v>
      </c>
      <c r="AU95" s="229">
        <f t="shared" ca="1" si="78"/>
        <v>4.8399999999999999E-2</v>
      </c>
      <c r="AV95" s="229">
        <f t="shared" ca="1" si="78"/>
        <v>4.3799999999999999E-2</v>
      </c>
      <c r="AW95" s="229">
        <f t="shared" ca="1" si="78"/>
        <v>6.1699999999999998E-2</v>
      </c>
      <c r="AX95" s="229">
        <f t="shared" ca="1" si="78"/>
        <v>6.2100000000000002E-2</v>
      </c>
      <c r="AY95" s="229">
        <f t="shared" ca="1" si="78"/>
        <v>5.7599999999999998E-2</v>
      </c>
      <c r="AZ95" s="229">
        <f t="shared" ca="1" si="78"/>
        <v>4.7699999999999999E-2</v>
      </c>
      <c r="BA95" s="229">
        <f t="shared" ca="1" si="78"/>
        <v>6.9099999999999995E-2</v>
      </c>
      <c r="BB95" s="229">
        <f t="shared" ca="1" si="78"/>
        <v>4.1700000000000001E-2</v>
      </c>
      <c r="BC95" s="229">
        <f t="shared" ca="1" si="78"/>
        <v>5.3499999999999999E-2</v>
      </c>
      <c r="BD95" s="229">
        <f t="shared" ca="1" si="78"/>
        <v>5.9200000000000003E-2</v>
      </c>
      <c r="BE95" s="229">
        <f t="shared" ca="1" si="78"/>
        <v>4.99E-2</v>
      </c>
      <c r="BF95" s="229">
        <f t="shared" ca="1" si="78"/>
        <v>8.2600000000000007E-2</v>
      </c>
      <c r="BG95" s="229">
        <f t="shared" ca="1" si="78"/>
        <v>4.4699999999999997E-2</v>
      </c>
      <c r="BH95" s="229">
        <f t="shared" ca="1" si="78"/>
        <v>3.7199999999999997E-2</v>
      </c>
      <c r="BI95" s="229">
        <f t="shared" ca="1" si="78"/>
        <v>2.41E-2</v>
      </c>
      <c r="BJ95" s="229">
        <f t="shared" ca="1" si="78"/>
        <v>4.0500000000000001E-2</v>
      </c>
      <c r="BK95" s="229">
        <f t="shared" ca="1" si="78"/>
        <v>0.12809999999999999</v>
      </c>
      <c r="BL95" s="229">
        <f t="shared" ca="1" si="78"/>
        <v>5.33E-2</v>
      </c>
      <c r="BM95" s="229">
        <f t="shared" ca="1" si="78"/>
        <v>0.1285</v>
      </c>
      <c r="BN95" s="229">
        <f t="shared" ca="1" si="78"/>
        <v>0.1057</v>
      </c>
      <c r="BO95" s="229">
        <f t="shared" ca="1" si="78"/>
        <v>0.14219999999999999</v>
      </c>
      <c r="BP95" s="229">
        <f t="shared" ref="BP95:CA95" ca="1" si="79">ROUND(((BP93-BP7)/BP7)-IF(BP3&lt;&gt;0,BP3,0),4)</f>
        <v>0.1207</v>
      </c>
      <c r="BQ95" s="229">
        <f t="shared" ca="1" si="79"/>
        <v>0.1208</v>
      </c>
      <c r="BR95" s="229">
        <f t="shared" ca="1" si="79"/>
        <v>6.8199999999999997E-2</v>
      </c>
      <c r="BS95" s="229">
        <f t="shared" ca="1" si="79"/>
        <v>0.1343</v>
      </c>
      <c r="BT95" s="229">
        <f t="shared" ca="1" si="79"/>
        <v>9.0300000000000005E-2</v>
      </c>
      <c r="BU95" s="229">
        <f t="shared" ca="1" si="79"/>
        <v>7.0499999999999993E-2</v>
      </c>
      <c r="BV95" s="229">
        <f t="shared" ca="1" si="79"/>
        <v>6.6299999999999998E-2</v>
      </c>
      <c r="BW95" s="229">
        <f t="shared" ca="1" si="79"/>
        <v>7.3599999999999999E-2</v>
      </c>
      <c r="BX95" s="229">
        <f t="shared" ca="1" si="79"/>
        <v>0.13139999999999999</v>
      </c>
      <c r="BY95" s="229">
        <f t="shared" ca="1" si="79"/>
        <v>6.2199999999999998E-2</v>
      </c>
      <c r="BZ95" s="229">
        <f t="shared" ca="1" si="79"/>
        <v>5.1200000000000002E-2</v>
      </c>
      <c r="CA95" s="229">
        <f t="shared" ca="1" si="79"/>
        <v>1.3299999999999999E-2</v>
      </c>
      <c r="CB95" s="230">
        <f ca="1">ROUND((CB93-CB4)/CB4,4)</f>
        <v>0.16</v>
      </c>
      <c r="CC95" s="229">
        <f ca="1">ROUND((CC93-CC4)/CC4,4)</f>
        <v>0.10050000000000001</v>
      </c>
      <c r="CD95" s="229">
        <f ca="1">ROUND((CD93-CD4)/CD4,4)</f>
        <v>4.3299999999999998E-2</v>
      </c>
      <c r="CE95" s="231">
        <f ca="1">ROUND((CE93-CE4)/CE4,4)</f>
        <v>0.1183</v>
      </c>
    </row>
  </sheetData>
  <conditionalFormatting sqref="C2:CA2">
    <cfRule type="cellIs" dxfId="1" priority="2" operator="notEqual">
      <formula>1</formula>
    </cfRule>
  </conditionalFormatting>
  <conditionalFormatting sqref="C3:CA3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A232-078E-4663-A89E-AB40B66ED139}">
  <sheetPr codeName="Arkusz5"/>
  <dimension ref="A1:Y82"/>
  <sheetViews>
    <sheetView showGridLines="0" showRowColHeaders="0" topLeftCell="B1" zoomScaleNormal="100" workbookViewId="0">
      <selection activeCell="C3" sqref="C3:E8"/>
    </sheetView>
  </sheetViews>
  <sheetFormatPr defaultColWidth="0" defaultRowHeight="14.4" zeroHeight="1" x14ac:dyDescent="0.3"/>
  <cols>
    <col min="1" max="1" width="65.33203125" hidden="1" customWidth="1"/>
    <col min="2" max="2" width="2.44140625" customWidth="1"/>
    <col min="3" max="3" width="8.88671875" customWidth="1"/>
    <col min="4" max="5" width="9.33203125" customWidth="1"/>
    <col min="6" max="6" width="2.33203125" customWidth="1"/>
    <col min="7" max="9" width="9.33203125" customWidth="1"/>
    <col min="10" max="10" width="14.5546875" customWidth="1"/>
    <col min="11" max="11" width="9.33203125" customWidth="1"/>
    <col min="12" max="12" width="11.33203125" customWidth="1"/>
    <col min="13" max="13" width="10.33203125" customWidth="1"/>
    <col min="14" max="22" width="8.88671875" customWidth="1"/>
    <col min="23" max="23" width="11.88671875" customWidth="1"/>
    <col min="24" max="24" width="11.44140625" customWidth="1"/>
    <col min="25" max="25" width="8.88671875" customWidth="1"/>
    <col min="26" max="16384" width="2" hidden="1"/>
  </cols>
  <sheetData>
    <row r="1" spans="1:25" s="232" customFormat="1" x14ac:dyDescent="0.3">
      <c r="A1" s="233"/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</row>
    <row r="2" spans="1:25" s="232" customFormat="1" ht="15" thickBot="1" x14ac:dyDescent="0.35">
      <c r="A2" s="237" t="b">
        <v>1</v>
      </c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</row>
    <row r="3" spans="1:25" s="235" customFormat="1" x14ac:dyDescent="0.3">
      <c r="A3" s="237" t="b">
        <v>1</v>
      </c>
      <c r="B3" s="233"/>
      <c r="C3" s="273" t="s">
        <v>206</v>
      </c>
      <c r="D3" s="274"/>
      <c r="E3" s="275"/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  <c r="W3" s="234"/>
      <c r="X3" s="234"/>
      <c r="Y3" s="234"/>
    </row>
    <row r="4" spans="1:25" s="235" customFormat="1" x14ac:dyDescent="0.3">
      <c r="A4" s="237" t="b">
        <v>1</v>
      </c>
      <c r="B4" s="233"/>
      <c r="C4" s="276"/>
      <c r="D4" s="277"/>
      <c r="E4" s="278"/>
      <c r="F4" s="234"/>
      <c r="G4" s="234"/>
      <c r="H4" s="234"/>
      <c r="I4" s="234"/>
      <c r="J4" s="234"/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  <c r="W4" s="234"/>
      <c r="X4" s="234"/>
      <c r="Y4" s="234"/>
    </row>
    <row r="5" spans="1:25" s="235" customFormat="1" x14ac:dyDescent="0.3">
      <c r="A5" s="233"/>
      <c r="B5" s="233"/>
      <c r="C5" s="276"/>
      <c r="D5" s="277"/>
      <c r="E5" s="278"/>
      <c r="F5" s="234"/>
      <c r="G5" s="234"/>
      <c r="H5" s="234"/>
      <c r="I5" s="234"/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34"/>
      <c r="X5" s="234"/>
      <c r="Y5" s="234"/>
    </row>
    <row r="6" spans="1:25" s="235" customFormat="1" x14ac:dyDescent="0.3">
      <c r="A6" s="236" t="s">
        <v>111</v>
      </c>
      <c r="B6" s="233"/>
      <c r="C6" s="276"/>
      <c r="D6" s="277"/>
      <c r="E6" s="278"/>
      <c r="F6" s="234"/>
      <c r="G6" s="234"/>
      <c r="H6" s="234"/>
      <c r="I6" s="234"/>
      <c r="J6" s="234"/>
      <c r="K6" s="234"/>
      <c r="L6" s="234"/>
      <c r="M6" s="234"/>
      <c r="N6" s="234"/>
      <c r="O6" s="234"/>
      <c r="P6" s="234"/>
      <c r="Q6" s="234"/>
      <c r="R6" s="234"/>
      <c r="S6" s="234"/>
      <c r="T6" s="234"/>
      <c r="U6" s="234"/>
      <c r="V6" s="234"/>
      <c r="W6" s="234"/>
      <c r="X6" s="234"/>
      <c r="Y6" s="234"/>
    </row>
    <row r="7" spans="1:25" s="235" customFormat="1" x14ac:dyDescent="0.3">
      <c r="A7" s="236" t="s">
        <v>112</v>
      </c>
      <c r="B7" s="233"/>
      <c r="C7" s="276"/>
      <c r="D7" s="277"/>
      <c r="E7" s="278"/>
      <c r="F7" s="234"/>
      <c r="G7" s="234"/>
      <c r="H7" s="234"/>
      <c r="I7" s="234"/>
      <c r="J7" s="234"/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</row>
    <row r="8" spans="1:25" s="235" customFormat="1" ht="15" thickBot="1" x14ac:dyDescent="0.35">
      <c r="A8" s="236" t="s">
        <v>113</v>
      </c>
      <c r="B8" s="233"/>
      <c r="C8" s="279"/>
      <c r="D8" s="280"/>
      <c r="E8" s="281"/>
      <c r="F8" s="234"/>
      <c r="G8" s="234"/>
      <c r="H8" s="234"/>
      <c r="I8" s="234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</row>
    <row r="9" spans="1:25" s="235" customFormat="1" x14ac:dyDescent="0.3">
      <c r="A9" s="236" t="s">
        <v>114</v>
      </c>
      <c r="B9" s="233"/>
      <c r="C9" s="234"/>
      <c r="D9" s="234"/>
      <c r="E9" s="234"/>
      <c r="F9" s="234"/>
      <c r="G9" s="234"/>
      <c r="H9" s="234"/>
      <c r="I9" s="234"/>
      <c r="J9" s="234"/>
      <c r="K9" s="234"/>
      <c r="L9" s="234"/>
      <c r="M9" s="234"/>
      <c r="N9" s="234"/>
      <c r="O9" s="234"/>
      <c r="P9" s="234"/>
      <c r="Q9" s="234"/>
      <c r="R9" s="234"/>
      <c r="S9" s="234"/>
      <c r="T9" s="234"/>
      <c r="U9" s="234"/>
      <c r="V9" s="234"/>
      <c r="W9" s="234"/>
      <c r="X9" s="234"/>
      <c r="Y9" s="234"/>
    </row>
    <row r="10" spans="1:25" s="235" customFormat="1" ht="15" thickBot="1" x14ac:dyDescent="0.35">
      <c r="A10" s="236" t="s">
        <v>115</v>
      </c>
      <c r="B10" s="233"/>
      <c r="C10" s="234"/>
      <c r="D10" s="234"/>
      <c r="E10" s="234"/>
      <c r="F10" s="234"/>
      <c r="G10" s="234"/>
      <c r="H10" s="234"/>
      <c r="I10" s="234"/>
      <c r="J10" s="234"/>
      <c r="K10" s="234"/>
      <c r="L10" s="234"/>
      <c r="M10" s="234"/>
      <c r="N10" s="234"/>
      <c r="O10" s="234"/>
      <c r="P10" s="234"/>
      <c r="Q10" s="234"/>
      <c r="R10" s="234"/>
      <c r="S10" s="234"/>
      <c r="T10" s="234"/>
      <c r="U10" s="234"/>
      <c r="V10" s="234"/>
      <c r="W10" s="234"/>
      <c r="X10" s="234"/>
      <c r="Y10" s="234"/>
    </row>
    <row r="11" spans="1:25" s="234" customFormat="1" ht="18" x14ac:dyDescent="0.35">
      <c r="A11" s="236" t="s">
        <v>116</v>
      </c>
      <c r="B11" s="233"/>
      <c r="C11" s="239" t="s">
        <v>207</v>
      </c>
      <c r="D11" s="282" t="s">
        <v>111</v>
      </c>
      <c r="E11" s="282"/>
      <c r="F11" s="282"/>
      <c r="G11" s="282"/>
      <c r="H11" s="282"/>
      <c r="I11" s="282"/>
      <c r="J11" s="282"/>
      <c r="K11" s="282"/>
      <c r="L11" s="283"/>
    </row>
    <row r="12" spans="1:25" s="234" customFormat="1" ht="21" thickBot="1" x14ac:dyDescent="0.4">
      <c r="A12" s="236" t="s">
        <v>117</v>
      </c>
      <c r="B12" s="233"/>
      <c r="C12" s="245" t="s">
        <v>208</v>
      </c>
      <c r="D12" s="284">
        <v>10</v>
      </c>
      <c r="E12" s="284"/>
      <c r="F12" s="284"/>
      <c r="G12" s="284"/>
      <c r="H12" s="284"/>
      <c r="I12" s="284"/>
      <c r="J12" s="284"/>
      <c r="K12" s="284"/>
      <c r="L12" s="285"/>
    </row>
    <row r="13" spans="1:25" s="234" customFormat="1" ht="18" x14ac:dyDescent="0.35">
      <c r="A13" s="236" t="s">
        <v>118</v>
      </c>
      <c r="B13" s="233"/>
      <c r="C13" s="240" t="s">
        <v>207</v>
      </c>
      <c r="D13" s="282" t="s">
        <v>112</v>
      </c>
      <c r="E13" s="282"/>
      <c r="F13" s="282"/>
      <c r="G13" s="282"/>
      <c r="H13" s="282"/>
      <c r="I13" s="282"/>
      <c r="J13" s="282"/>
      <c r="K13" s="282"/>
      <c r="L13" s="283"/>
    </row>
    <row r="14" spans="1:25" s="234" customFormat="1" ht="21" thickBot="1" x14ac:dyDescent="0.4">
      <c r="A14" s="236" t="s">
        <v>119</v>
      </c>
      <c r="B14" s="233"/>
      <c r="C14" s="238" t="s">
        <v>209</v>
      </c>
      <c r="D14" s="284">
        <v>2</v>
      </c>
      <c r="E14" s="284"/>
      <c r="F14" s="284"/>
      <c r="G14" s="284"/>
      <c r="H14" s="284"/>
      <c r="I14" s="284"/>
      <c r="J14" s="284"/>
      <c r="K14" s="284"/>
      <c r="L14" s="285"/>
    </row>
    <row r="15" spans="1:25" s="234" customFormat="1" x14ac:dyDescent="0.3">
      <c r="A15" s="236" t="s">
        <v>120</v>
      </c>
      <c r="B15" s="233"/>
    </row>
    <row r="16" spans="1:25" s="234" customFormat="1" x14ac:dyDescent="0.3">
      <c r="A16" s="236" t="s">
        <v>121</v>
      </c>
      <c r="B16" s="233"/>
    </row>
    <row r="17" spans="1:2" s="234" customFormat="1" x14ac:dyDescent="0.3">
      <c r="A17" s="236" t="s">
        <v>122</v>
      </c>
      <c r="B17" s="233"/>
    </row>
    <row r="18" spans="1:2" s="234" customFormat="1" x14ac:dyDescent="0.3">
      <c r="A18" s="236" t="s">
        <v>123</v>
      </c>
      <c r="B18" s="233"/>
    </row>
    <row r="19" spans="1:2" s="234" customFormat="1" x14ac:dyDescent="0.3">
      <c r="A19" s="236" t="s">
        <v>124</v>
      </c>
      <c r="B19" s="233"/>
    </row>
    <row r="20" spans="1:2" s="234" customFormat="1" x14ac:dyDescent="0.3">
      <c r="A20" s="236" t="s">
        <v>125</v>
      </c>
      <c r="B20" s="233"/>
    </row>
    <row r="21" spans="1:2" s="234" customFormat="1" x14ac:dyDescent="0.3">
      <c r="A21" s="236" t="s">
        <v>126</v>
      </c>
      <c r="B21" s="233"/>
    </row>
    <row r="22" spans="1:2" s="234" customFormat="1" x14ac:dyDescent="0.3">
      <c r="A22" s="236" t="s">
        <v>127</v>
      </c>
      <c r="B22" s="233"/>
    </row>
    <row r="23" spans="1:2" s="234" customFormat="1" x14ac:dyDescent="0.3">
      <c r="A23" s="236" t="s">
        <v>128</v>
      </c>
      <c r="B23" s="233"/>
    </row>
    <row r="24" spans="1:2" s="234" customFormat="1" x14ac:dyDescent="0.3">
      <c r="A24" s="236" t="s">
        <v>129</v>
      </c>
      <c r="B24" s="233"/>
    </row>
    <row r="25" spans="1:2" s="234" customFormat="1" x14ac:dyDescent="0.3">
      <c r="A25" s="236" t="s">
        <v>130</v>
      </c>
      <c r="B25" s="233"/>
    </row>
    <row r="26" spans="1:2" s="234" customFormat="1" x14ac:dyDescent="0.3">
      <c r="A26" s="236" t="s">
        <v>131</v>
      </c>
      <c r="B26" s="233"/>
    </row>
    <row r="27" spans="1:2" s="234" customFormat="1" x14ac:dyDescent="0.3">
      <c r="A27" s="236" t="s">
        <v>132</v>
      </c>
      <c r="B27" s="233"/>
    </row>
    <row r="28" spans="1:2" s="234" customFormat="1" x14ac:dyDescent="0.3">
      <c r="A28" s="236" t="s">
        <v>133</v>
      </c>
      <c r="B28" s="233"/>
    </row>
    <row r="29" spans="1:2" s="234" customFormat="1" x14ac:dyDescent="0.3">
      <c r="A29" s="199" t="s">
        <v>134</v>
      </c>
      <c r="B29" s="233"/>
    </row>
    <row r="30" spans="1:2" s="234" customFormat="1" x14ac:dyDescent="0.3">
      <c r="A30" s="199" t="s">
        <v>135</v>
      </c>
      <c r="B30" s="233"/>
    </row>
    <row r="31" spans="1:2" s="234" customFormat="1" x14ac:dyDescent="0.3">
      <c r="A31" s="199" t="s">
        <v>136</v>
      </c>
      <c r="B31" s="233"/>
    </row>
    <row r="32" spans="1:2" s="234" customFormat="1" x14ac:dyDescent="0.3">
      <c r="A32" s="199" t="s">
        <v>137</v>
      </c>
      <c r="B32" s="233"/>
    </row>
    <row r="33" spans="1:2" s="234" customFormat="1" x14ac:dyDescent="0.3">
      <c r="A33" s="199" t="s">
        <v>138</v>
      </c>
      <c r="B33" s="233"/>
    </row>
    <row r="34" spans="1:2" s="234" customFormat="1" x14ac:dyDescent="0.3">
      <c r="A34" s="199" t="s">
        <v>139</v>
      </c>
      <c r="B34" s="233"/>
    </row>
    <row r="35" spans="1:2" hidden="1" x14ac:dyDescent="0.3">
      <c r="A35" s="199" t="s">
        <v>140</v>
      </c>
    </row>
    <row r="36" spans="1:2" hidden="1" x14ac:dyDescent="0.3">
      <c r="A36" s="199" t="s">
        <v>141</v>
      </c>
    </row>
    <row r="37" spans="1:2" hidden="1" x14ac:dyDescent="0.3">
      <c r="A37" s="199" t="s">
        <v>142</v>
      </c>
    </row>
    <row r="38" spans="1:2" hidden="1" x14ac:dyDescent="0.3">
      <c r="A38" s="199" t="s">
        <v>143</v>
      </c>
    </row>
    <row r="39" spans="1:2" hidden="1" x14ac:dyDescent="0.3">
      <c r="A39" s="199" t="s">
        <v>144</v>
      </c>
    </row>
    <row r="40" spans="1:2" hidden="1" x14ac:dyDescent="0.3">
      <c r="A40" s="199" t="s">
        <v>145</v>
      </c>
    </row>
    <row r="41" spans="1:2" hidden="1" x14ac:dyDescent="0.3">
      <c r="A41" s="199" t="s">
        <v>146</v>
      </c>
    </row>
    <row r="42" spans="1:2" hidden="1" x14ac:dyDescent="0.3">
      <c r="A42" s="199" t="s">
        <v>147</v>
      </c>
    </row>
    <row r="43" spans="1:2" hidden="1" x14ac:dyDescent="0.3">
      <c r="A43" s="199" t="s">
        <v>148</v>
      </c>
    </row>
    <row r="44" spans="1:2" hidden="1" x14ac:dyDescent="0.3">
      <c r="A44" s="199" t="s">
        <v>149</v>
      </c>
    </row>
    <row r="45" spans="1:2" hidden="1" x14ac:dyDescent="0.3">
      <c r="A45" s="199" t="s">
        <v>150</v>
      </c>
    </row>
    <row r="46" spans="1:2" hidden="1" x14ac:dyDescent="0.3">
      <c r="A46" s="199" t="s">
        <v>151</v>
      </c>
    </row>
    <row r="47" spans="1:2" hidden="1" x14ac:dyDescent="0.3">
      <c r="A47" s="199" t="s">
        <v>152</v>
      </c>
    </row>
    <row r="48" spans="1:2" hidden="1" x14ac:dyDescent="0.3">
      <c r="A48" s="199" t="s">
        <v>153</v>
      </c>
    </row>
    <row r="49" spans="1:1" hidden="1" x14ac:dyDescent="0.3">
      <c r="A49" s="199" t="s">
        <v>154</v>
      </c>
    </row>
    <row r="50" spans="1:1" hidden="1" x14ac:dyDescent="0.3">
      <c r="A50" s="199" t="s">
        <v>155</v>
      </c>
    </row>
    <row r="51" spans="1:1" hidden="1" x14ac:dyDescent="0.3">
      <c r="A51" s="199" t="s">
        <v>156</v>
      </c>
    </row>
    <row r="52" spans="1:1" hidden="1" x14ac:dyDescent="0.3">
      <c r="A52" s="199" t="s">
        <v>157</v>
      </c>
    </row>
    <row r="53" spans="1:1" hidden="1" x14ac:dyDescent="0.3">
      <c r="A53" s="199" t="s">
        <v>158</v>
      </c>
    </row>
    <row r="54" spans="1:1" hidden="1" x14ac:dyDescent="0.3">
      <c r="A54" s="199" t="s">
        <v>159</v>
      </c>
    </row>
    <row r="55" spans="1:1" hidden="1" x14ac:dyDescent="0.3">
      <c r="A55" s="199" t="s">
        <v>160</v>
      </c>
    </row>
    <row r="56" spans="1:1" hidden="1" x14ac:dyDescent="0.3">
      <c r="A56" s="199" t="s">
        <v>161</v>
      </c>
    </row>
    <row r="57" spans="1:1" hidden="1" x14ac:dyDescent="0.3">
      <c r="A57" s="199" t="s">
        <v>162</v>
      </c>
    </row>
    <row r="58" spans="1:1" hidden="1" x14ac:dyDescent="0.3">
      <c r="A58" s="199" t="s">
        <v>163</v>
      </c>
    </row>
    <row r="59" spans="1:1" hidden="1" x14ac:dyDescent="0.3">
      <c r="A59" s="199" t="s">
        <v>164</v>
      </c>
    </row>
    <row r="60" spans="1:1" hidden="1" x14ac:dyDescent="0.3">
      <c r="A60" s="199" t="s">
        <v>165</v>
      </c>
    </row>
    <row r="61" spans="1:1" hidden="1" x14ac:dyDescent="0.3">
      <c r="A61" s="199" t="s">
        <v>166</v>
      </c>
    </row>
    <row r="62" spans="1:1" hidden="1" x14ac:dyDescent="0.3">
      <c r="A62" s="199" t="s">
        <v>167</v>
      </c>
    </row>
    <row r="63" spans="1:1" hidden="1" x14ac:dyDescent="0.3">
      <c r="A63" s="199" t="s">
        <v>168</v>
      </c>
    </row>
    <row r="64" spans="1:1" hidden="1" x14ac:dyDescent="0.3">
      <c r="A64" s="199" t="s">
        <v>169</v>
      </c>
    </row>
    <row r="65" spans="1:1" hidden="1" x14ac:dyDescent="0.3">
      <c r="A65" s="199" t="s">
        <v>170</v>
      </c>
    </row>
    <row r="66" spans="1:1" hidden="1" x14ac:dyDescent="0.3">
      <c r="A66" s="199" t="s">
        <v>171</v>
      </c>
    </row>
    <row r="67" spans="1:1" hidden="1" x14ac:dyDescent="0.3">
      <c r="A67" s="199" t="s">
        <v>172</v>
      </c>
    </row>
    <row r="68" spans="1:1" hidden="1" x14ac:dyDescent="0.3">
      <c r="A68" s="199" t="s">
        <v>173</v>
      </c>
    </row>
    <row r="69" spans="1:1" hidden="1" x14ac:dyDescent="0.3">
      <c r="A69" s="199" t="s">
        <v>174</v>
      </c>
    </row>
    <row r="70" spans="1:1" hidden="1" x14ac:dyDescent="0.3">
      <c r="A70" s="199" t="s">
        <v>175</v>
      </c>
    </row>
    <row r="71" spans="1:1" hidden="1" x14ac:dyDescent="0.3">
      <c r="A71" s="199" t="s">
        <v>176</v>
      </c>
    </row>
    <row r="72" spans="1:1" hidden="1" x14ac:dyDescent="0.3">
      <c r="A72" s="199" t="s">
        <v>177</v>
      </c>
    </row>
    <row r="73" spans="1:1" hidden="1" x14ac:dyDescent="0.3">
      <c r="A73" s="199" t="s">
        <v>178</v>
      </c>
    </row>
    <row r="74" spans="1:1" hidden="1" x14ac:dyDescent="0.3">
      <c r="A74" s="199" t="s">
        <v>179</v>
      </c>
    </row>
    <row r="75" spans="1:1" hidden="1" x14ac:dyDescent="0.3">
      <c r="A75" s="199" t="s">
        <v>180</v>
      </c>
    </row>
    <row r="76" spans="1:1" hidden="1" x14ac:dyDescent="0.3">
      <c r="A76" s="199" t="s">
        <v>181</v>
      </c>
    </row>
    <row r="77" spans="1:1" hidden="1" x14ac:dyDescent="0.3">
      <c r="A77" s="199" t="s">
        <v>182</v>
      </c>
    </row>
    <row r="78" spans="1:1" hidden="1" x14ac:dyDescent="0.3">
      <c r="A78" s="199" t="s">
        <v>183</v>
      </c>
    </row>
    <row r="79" spans="1:1" hidden="1" x14ac:dyDescent="0.3">
      <c r="A79" s="199" t="s">
        <v>184</v>
      </c>
    </row>
    <row r="80" spans="1:1" hidden="1" x14ac:dyDescent="0.3">
      <c r="A80" s="199" t="s">
        <v>185</v>
      </c>
    </row>
    <row r="81" spans="1:1" hidden="1" x14ac:dyDescent="0.3">
      <c r="A81" s="199" t="s">
        <v>186</v>
      </c>
    </row>
    <row r="82" spans="1:1" hidden="1" x14ac:dyDescent="0.3">
      <c r="A82" s="199" t="s">
        <v>187</v>
      </c>
    </row>
  </sheetData>
  <sheetProtection sheet="1" objects="1" scenarios="1"/>
  <mergeCells count="5">
    <mergeCell ref="C3:E8"/>
    <mergeCell ref="D13:L13"/>
    <mergeCell ref="D14:L14"/>
    <mergeCell ref="D12:L12"/>
    <mergeCell ref="D11:L11"/>
  </mergeCells>
  <dataValidations count="3">
    <dataValidation type="decimal" errorStyle="warning" operator="greaterThanOrEqual" allowBlank="1" showInputMessage="1" showErrorMessage="1" errorTitle="Błąd!" error="Podaną błędną wartość. Upewnij się, że podana została liczba oraz że jest ona nieujemna." promptTitle="Cena produktów importowanych." prompt="Wprowadź ile ma wynieść cena produktów importowanych dla wybranego sektora." sqref="D12" xr:uid="{EC571302-2D0E-4BBF-99D3-1C5636CA2828}">
      <formula1>0</formula1>
    </dataValidation>
    <dataValidation type="decimal" errorStyle="warning" operator="greaterThanOrEqual" allowBlank="1" showInputMessage="1" showErrorMessage="1" errorTitle="Błąd!" error="Podaną błędną wartość. Upewnij się, że podana została liczba oraz że jest ona nieujemna." promptTitle="Zaburzenie wartości dodanej." prompt="Wprowadź ile ma wynieść zaburzenie wartości dodanej dla wybranego sektora." sqref="D14" xr:uid="{B414DB0D-A633-490F-8A95-157FBF3585D6}">
      <formula1>0</formula1>
    </dataValidation>
    <dataValidation type="list" allowBlank="1" showInputMessage="1" showErrorMessage="1" promptTitle="Sektory." prompt="Wybierz interesujący cię sektor." sqref="D11 D13" xr:uid="{4B6698E9-DA1B-4047-A0B8-E68188F07517}">
      <formula1>$A$6:$A$82</formula1>
    </dataValidation>
  </dataValidations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4" r:id="rId4" name="Check Box 14">
              <controlPr locked="0" defaultSize="0" autoFill="0" autoLine="0" autoPict="0">
                <anchor moveWithCells="1">
                  <from>
                    <xdr:col>6</xdr:col>
                    <xdr:colOff>114300</xdr:colOff>
                    <xdr:row>4</xdr:row>
                    <xdr:rowOff>0</xdr:rowOff>
                  </from>
                  <to>
                    <xdr:col>11</xdr:col>
                    <xdr:colOff>647700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5" name="Check Box 15">
              <controlPr locked="0" defaultSize="0" autoFill="0" autoLine="0" autoPict="0">
                <anchor moveWithCells="1">
                  <from>
                    <xdr:col>6</xdr:col>
                    <xdr:colOff>114300</xdr:colOff>
                    <xdr:row>4</xdr:row>
                    <xdr:rowOff>182880</xdr:rowOff>
                  </from>
                  <to>
                    <xdr:col>11</xdr:col>
                    <xdr:colOff>647700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Check Box 16">
              <controlPr locked="0" defaultSize="0" autoFill="0" autoLine="0" autoPict="0">
                <anchor moveWithCells="1">
                  <from>
                    <xdr:col>6</xdr:col>
                    <xdr:colOff>114300</xdr:colOff>
                    <xdr:row>6</xdr:row>
                    <xdr:rowOff>83820</xdr:rowOff>
                  </from>
                  <to>
                    <xdr:col>11</xdr:col>
                    <xdr:colOff>647700</xdr:colOff>
                    <xdr:row>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3</vt:i4>
      </vt:variant>
    </vt:vector>
  </HeadingPairs>
  <TitlesOfParts>
    <vt:vector size="6" baseType="lpstr">
      <vt:lpstr>Tablica IO</vt:lpstr>
      <vt:lpstr>Model</vt:lpstr>
      <vt:lpstr>Prezentacja</vt:lpstr>
      <vt:lpstr>petla_kosztow_materialowych_wlaczona</vt:lpstr>
      <vt:lpstr>petla_placowa_wlaczona</vt:lpstr>
      <vt:lpstr>wplyw_cen_import_wlaczony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map</dc:creator>
  <cp:keywords/>
  <dc:description/>
  <cp:lastModifiedBy>Przemysław Szymczak</cp:lastModifiedBy>
  <cp:revision/>
  <dcterms:created xsi:type="dcterms:W3CDTF">2023-03-05T18:40:53Z</dcterms:created>
  <dcterms:modified xsi:type="dcterms:W3CDTF">2025-02-12T16:56:06Z</dcterms:modified>
  <cp:category/>
  <cp:contentStatus/>
</cp:coreProperties>
</file>